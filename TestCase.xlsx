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 5540\Downloads\"/>
    </mc:Choice>
  </mc:AlternateContent>
  <xr:revisionPtr revIDLastSave="0" documentId="13_ncr:1_{30DA0353-713B-42E2-9732-4A6B3CA7C194}" xr6:coauthVersionLast="47" xr6:coauthVersionMax="47" xr10:uidLastSave="{00000000-0000-0000-0000-000000000000}"/>
  <bookViews>
    <workbookView xWindow="28680" yWindow="-120" windowWidth="29040" windowHeight="15840" tabRatio="886" firstSheet="2" activeTab="2" xr2:uid="{00000000-000D-0000-FFFF-FFFF00000000}"/>
  </bookViews>
  <sheets>
    <sheet name="0.1.Master Screen" sheetId="7" state="hidden" r:id="rId1"/>
    <sheet name="MOB-010 点検実施 (Inspection Execut" sheetId="83" r:id="rId2"/>
    <sheet name="MOB-010 指摘事項 (Add issue)" sheetId="84" r:id="rId3"/>
    <sheet name="MOB-012 Report Summary" sheetId="88" state="hidden" r:id="rId4"/>
    <sheet name="IT Testcase_UIUX" sheetId="120" state="hidden" r:id="rId5"/>
    <sheet name="IT Testcase_Role Metric" sheetId="122" state="hidden" r:id="rId6"/>
  </sheets>
  <definedNames>
    <definedName name="_A1">#REF!</definedName>
    <definedName name="A">#REF!</definedName>
    <definedName name="aaaaaaaaaaaaa">#REF!</definedName>
    <definedName name="aaaaaaaaaaaaaa">#REF!</definedName>
    <definedName name="ACTION">#REF!</definedName>
    <definedName name="ＢＯ">#REF!</definedName>
    <definedName name="ＢＯ保守">#REF!</definedName>
    <definedName name="cccccc">#REF!</definedName>
    <definedName name="data21">#REF!</definedName>
    <definedName name="data31">#REF!</definedName>
    <definedName name="data32">#REF!</definedName>
    <definedName name="data33">#REF!</definedName>
    <definedName name="data36">#REF!</definedName>
    <definedName name="kkkkk">#REF!</definedName>
    <definedName name="PBNEC">#REF!</definedName>
    <definedName name="PBNEC2">#REF!</definedName>
    <definedName name="PBNEC2保守">#REF!</definedName>
    <definedName name="PBNEC保守">#REF!</definedName>
    <definedName name="ＰＤ">#REF!</definedName>
    <definedName name="ＰＤ保守">#REF!</definedName>
    <definedName name="ＰＲ">#REF!</definedName>
    <definedName name="ＰＲ保守">#REF!</definedName>
    <definedName name="q">#REF!</definedName>
    <definedName name="s">#REF!</definedName>
    <definedName name="SEL">#REF!</definedName>
    <definedName name="SQLNET">#REF!</definedName>
    <definedName name="SQLNET保守">#REF!</definedName>
    <definedName name="ss">#REF!</definedName>
    <definedName name="STEP">#REF!</definedName>
    <definedName name="SYSTEMSCOPE">#REF!</definedName>
    <definedName name="SYSTEMSCOPE保守">#REF!</definedName>
    <definedName name="TableNo">#REF!</definedName>
    <definedName name="TUXALL">#REF!</definedName>
    <definedName name="TUXALL保守">#REF!</definedName>
    <definedName name="TUXEDO">#REF!</definedName>
    <definedName name="TUXEDO保守">#REF!</definedName>
    <definedName name="ＷＥＢサーバＨＷ">#REF!</definedName>
    <definedName name="ＷＥＢサーバＨＷ保守">#REF!</definedName>
    <definedName name="ＷＥＢサーバＳＷ">#REF!</definedName>
    <definedName name="wrn.すべて印刷.">#REF!</definedName>
    <definedName name="wrn.ｿｰｽ1.">#REF!</definedName>
    <definedName name="Z_AE2F63CC_E07F_4747_8278_8F85456B20EF_.wvu.PrintArea" localSheetId="5">'IT Testcase_Role Metric'!$B$4:$H$20</definedName>
    <definedName name="Z_AE2F63CC_E07F_4747_8278_8F85456B20EF_.wvu.PrintArea" localSheetId="4">'IT Testcase_UIUX'!$B$5:$H$13</definedName>
    <definedName name="Z_AE2F63CC_E07F_4747_8278_8F85456B20EF_.wvu.PrintArea" localSheetId="2">'MOB-010 指摘事項 (Add issue)'!$B$5:$D$25</definedName>
    <definedName name="Z_AE2F63CC_E07F_4747_8278_8F85456B20EF_.wvu.PrintArea" localSheetId="1">'MOB-010 点検実施 (Inspection Execut'!$B$5:$D$21</definedName>
    <definedName name="Z_AE2F63CC_E07F_4747_8278_8F85456B20EF_.wvu.PrintArea" localSheetId="3">'MOB-012 Report Summary'!$B$5:$D$23</definedName>
    <definedName name="Z_C796C481_2006_4593_96AB_3AAF2BC86DD8_.wvu.FilterData" localSheetId="0" hidden="1">'0.1.Master Screen'!$A$12:$AA$66</definedName>
    <definedName name="インプラント有無">#REF!</definedName>
    <definedName name="エンドユーザ名">#REF!</definedName>
    <definedName name="ゲートウェイサーバＨＷ">#REF!</definedName>
    <definedName name="ゲートウェイサーバＨＷ保守">#REF!</definedName>
    <definedName name="ゲートウェイサーバＳＷ">#REF!</definedName>
    <definedName name="ｽﾃｰﾀｽ">#REF!</definedName>
    <definedName name="バーコード読み取りによる検査選択と作業開始">#REF!</definedName>
    <definedName name="ファックス番号">#REF!</definedName>
    <definedName name="ﾚﾋﾞｭｰ密度基準値">#REF!</definedName>
    <definedName name="ﾚﾋﾞｭｰ密度目標値">#REF!</definedName>
    <definedName name="事業部名">#REF!</definedName>
    <definedName name="件名">#REF!</definedName>
    <definedName name="伊賀SV台数">#REF!</definedName>
    <definedName name="会社名">#REF!</definedName>
    <definedName name="住所1">#REF!</definedName>
    <definedName name="住所2">#REF!</definedName>
    <definedName name="備考">#REF!</definedName>
    <definedName name="出力済み検査の検査再開から出力まで">#REF!</definedName>
    <definedName name="出力済み検査の画像確認から再出力まで">#REF!</definedName>
    <definedName name="北勢SV台数">#REF!</definedName>
    <definedName name="南勢志摩SV台数">#REF!</definedName>
    <definedName name="単純Ｘ線撮影の作業ワークフローの提供">#REF!</definedName>
    <definedName name="受注見込年月">#REF!</definedName>
    <definedName name="在宅ＰＣ">#REF!</definedName>
    <definedName name="在宅ＰＣ保守">#REF!</definedName>
    <definedName name="在宅ｻｰﾊﾞ">#REF!</definedName>
    <definedName name="在宅ｻｰﾊﾞＳＷ">#REF!</definedName>
    <definedName name="在宅ｻｰﾊﾞ保守">#REF!</definedName>
    <definedName name="基幹ＡＰサーバＨＷ">#REF!</definedName>
    <definedName name="基幹ＡＰサーバＨＷ保守">#REF!</definedName>
    <definedName name="基幹ＡＰサーバＳＷ">#REF!</definedName>
    <definedName name="基幹ＤＢサーバＨＷ">#REF!</definedName>
    <definedName name="基幹ＤＢサーバＨＷ保守">#REF!</definedName>
    <definedName name="基幹ＤＢサーバＳＷ">#REF!</definedName>
    <definedName name="基幹ＤＢサーバＳＷ保守">#REF!</definedName>
    <definedName name="売上区分名">#REF!</definedName>
    <definedName name="売上区分小計">#REF!</definedName>
    <definedName name="売上詳細区分名">#REF!</definedName>
    <definedName name="得意先名">#REF!</definedName>
    <definedName name="情報系サーバＨＷ">#REF!</definedName>
    <definedName name="情報系サーバＨＷ保守">#REF!</definedName>
    <definedName name="情報系サーバＳＷ">#REF!</definedName>
    <definedName name="情報系サーバＳＷ保守">#REF!</definedName>
    <definedName name="指摘率基準値">#REF!</definedName>
    <definedName name="指摘率目標値">#REF!</definedName>
    <definedName name="提供金額">#REF!</definedName>
    <definedName name="支払条件">#REF!</definedName>
    <definedName name="最大ﾚﾋﾞｭｰ密度">#REF!</definedName>
    <definedName name="最大指摘率">#REF!</definedName>
    <definedName name="月間スケジュール抽出クエリー">#REF!</definedName>
    <definedName name="未出力検査の削除">#REF!</definedName>
    <definedName name="松阪SV台数">#REF!</definedName>
    <definedName name="検収日">#REF!</definedName>
    <definedName name="検査の共有">#REF!</definedName>
    <definedName name="検査の自動削除">#REF!</definedName>
    <definedName name="津SV台数">#REF!</definedName>
    <definedName name="発行年月日">#REF!</definedName>
    <definedName name="県">#REF!</definedName>
    <definedName name="確定度">#REF!</definedName>
    <definedName name="紀北SV台数">#REF!</definedName>
    <definedName name="紀南SV台数">#REF!</definedName>
    <definedName name="納品日">#REF!</definedName>
    <definedName name="複数検査の実施から出力まで">#REF!</definedName>
    <definedName name="見積伝票番号">#REF!</definedName>
    <definedName name="見積金額合計">#REF!</definedName>
    <definedName name="計数入力サーバＨＷ">#REF!</definedName>
    <definedName name="計数入力サーバＨＷ保守">#REF!</definedName>
    <definedName name="計数入力サーバＳＷ">#REF!</definedName>
    <definedName name="計数入力サーバＳＷ保守">#REF!</definedName>
    <definedName name="運用保守サーバＨＷ">#REF!</definedName>
    <definedName name="運用保守サーバＨＷ保守">#REF!</definedName>
    <definedName name="運用保守サーバＳＷ">#REF!</definedName>
    <definedName name="部門名">#REF!</definedName>
    <definedName name="郵便番号">#REF!</definedName>
    <definedName name="開発サーバＨＷ">#REF!</definedName>
    <definedName name="開発サーバＨＷ保守">#REF!</definedName>
    <definedName name="開発サーバＳＷ">#REF!</definedName>
    <definedName name="開発サーバＳＷ保守">#REF!</definedName>
    <definedName name="電話番号">#REF!</definedName>
  </definedNames>
  <calcPr calcId="191029"/>
  <customWorkbookViews>
    <customWorkbookView name="SiDD" guid="{BACE4BB9-C60D-48D2-B5A3-FDB38E6E35CB}" maximized="1" windowWidth="0" windowHeight="0" activeSheetId="0"/>
    <customWorkbookView name="Filter 1" guid="{4B9A121C-0697-4647-B23C-2C361752E22D}" maximized="1" windowWidth="0" windowHeight="0" activeSheetId="0"/>
    <customWorkbookView name="YenLTB" guid="{C796C481-2006-4593-96AB-3AAF2BC86DD8}" maximized="1" windowWidth="0" windowHeight="0" activeSheetId="0"/>
    <customWorkbookView name="Duyên" guid="{D7B8BC6D-933E-49B7-8A06-29B33385D972}" maximized="1" windowWidth="0" windowHeight="0" activeSheetId="0"/>
    <customWorkbookView name="NghiaDV" guid="{DC155C91-A652-4452-8C47-C3750B688016}" maximized="1" windowWidth="0" windowHeight="0" activeSheetId="0"/>
    <customWorkbookView name="AnhNDT" guid="{6A02564D-A716-4C11-98A1-6AC4694BA208}" maximized="1" windowWidth="0" windowHeight="0" activeSheetId="0"/>
    <customWorkbookView name="Duyên 2" guid="{B629642E-CE22-40FF-8B29-E24A524DE9B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7" i="122" l="1"/>
  <c r="AW7" i="122"/>
  <c r="AR7" i="122"/>
  <c r="AM7" i="122"/>
  <c r="AH7" i="122"/>
  <c r="BB7" i="120"/>
  <c r="AW7" i="120"/>
  <c r="AR7" i="120"/>
  <c r="AM7" i="120"/>
  <c r="AH7" i="120"/>
  <c r="P16" i="88"/>
  <c r="P10" i="88"/>
  <c r="P9" i="88"/>
  <c r="M9" i="88"/>
  <c r="L9" i="88"/>
  <c r="P8" i="88"/>
  <c r="M8" i="88"/>
  <c r="L8" i="88"/>
  <c r="P7" i="88"/>
  <c r="M7" i="88"/>
  <c r="L7" i="88"/>
  <c r="P6" i="88"/>
  <c r="M6" i="88"/>
  <c r="L6" i="88"/>
  <c r="P5" i="88"/>
  <c r="O16" i="84"/>
  <c r="K9" i="84"/>
  <c r="J9" i="84"/>
  <c r="K8" i="84"/>
  <c r="J8" i="84"/>
  <c r="K7" i="84"/>
  <c r="J7" i="84"/>
  <c r="K6" i="84"/>
  <c r="J6" i="84"/>
  <c r="Q16" i="83"/>
  <c r="N16" i="83"/>
  <c r="M16" i="83"/>
  <c r="K9" i="83"/>
  <c r="J9" i="83"/>
  <c r="K8" i="83"/>
  <c r="J8" i="83"/>
  <c r="K7" i="83"/>
  <c r="J7" i="83"/>
  <c r="J10" i="83" s="1"/>
  <c r="K6" i="83"/>
  <c r="K10" i="83" s="1"/>
  <c r="J6" i="83"/>
  <c r="F18" i="7"/>
  <c r="R8" i="88" l="1"/>
  <c r="AC7" i="120"/>
  <c r="O19" i="120"/>
  <c r="O15" i="120"/>
  <c r="O14" i="120"/>
  <c r="O23" i="120"/>
  <c r="BB8" i="120"/>
  <c r="C17" i="83"/>
  <c r="B14" i="120"/>
  <c r="C17" i="88"/>
  <c r="C18" i="83"/>
  <c r="C17" i="84"/>
  <c r="B13" i="122"/>
  <c r="B15" i="120"/>
  <c r="C18" i="88"/>
  <c r="C19" i="83"/>
  <c r="C18" i="84"/>
  <c r="B14" i="122"/>
  <c r="B16" i="120"/>
  <c r="B17" i="120"/>
  <c r="B19" i="120"/>
  <c r="B20" i="120"/>
  <c r="C19" i="88"/>
  <c r="C20" i="83"/>
  <c r="C23" i="83"/>
  <c r="C24" i="83"/>
  <c r="C25" i="83"/>
  <c r="C26" i="83"/>
  <c r="C19" i="84"/>
  <c r="C20" i="84"/>
  <c r="B15" i="122"/>
  <c r="B21" i="120"/>
  <c r="B23" i="120" s="1"/>
  <c r="C20" i="88"/>
  <c r="C21" i="88"/>
  <c r="C27" i="83"/>
  <c r="C21" i="84"/>
  <c r="C22" i="84"/>
  <c r="B16" i="122"/>
  <c r="B17" i="122"/>
  <c r="C22" i="88"/>
  <c r="C28" i="83"/>
  <c r="C23" i="84"/>
  <c r="C24" i="84"/>
  <c r="B18" i="122"/>
  <c r="B19" i="122"/>
  <c r="C24" i="88"/>
  <c r="C25" i="88"/>
  <c r="C29" i="83"/>
  <c r="C26" i="84"/>
  <c r="C26" i="88"/>
  <c r="C30" i="83"/>
  <c r="C31" i="83"/>
  <c r="C27" i="84"/>
  <c r="C27" i="88"/>
  <c r="C32" i="83"/>
  <c r="C33" i="83"/>
  <c r="C28" i="84"/>
  <c r="C28" i="88"/>
  <c r="C30" i="88"/>
  <c r="C34" i="83"/>
  <c r="C35" i="83"/>
  <c r="C36" i="83"/>
  <c r="C29" i="84"/>
  <c r="C30" i="84"/>
  <c r="C31" i="84"/>
  <c r="C31" i="88"/>
  <c r="C37" i="83"/>
  <c r="C32" i="84"/>
  <c r="C32" i="88"/>
  <c r="C38" i="83"/>
  <c r="C33" i="84"/>
  <c r="C34" i="84"/>
  <c r="C35" i="84"/>
  <c r="C33" i="88"/>
  <c r="C39" i="83"/>
  <c r="C40" i="83"/>
  <c r="C36" i="84"/>
  <c r="C34" i="88"/>
  <c r="C41" i="83"/>
  <c r="C42" i="83"/>
  <c r="C37" i="84"/>
  <c r="C38" i="84"/>
  <c r="C39" i="84"/>
  <c r="C35" i="88"/>
  <c r="C36" i="88"/>
  <c r="C43" i="83"/>
  <c r="C40" i="84"/>
  <c r="C37" i="88"/>
  <c r="C44" i="83"/>
  <c r="C41" i="84"/>
  <c r="C38" i="88"/>
  <c r="C45" i="83"/>
  <c r="C42" i="84"/>
  <c r="C39" i="88"/>
  <c r="C40" i="88"/>
  <c r="C46" i="83"/>
  <c r="C47" i="83"/>
  <c r="C43" i="84"/>
  <c r="C41" i="88"/>
  <c r="C48" i="83"/>
  <c r="C44" i="84"/>
  <c r="C45" i="84"/>
  <c r="C42" i="88"/>
  <c r="C49" i="83"/>
  <c r="C46" i="84"/>
  <c r="C43" i="88"/>
  <c r="C50" i="83"/>
  <c r="C47" i="84"/>
  <c r="C44" i="88"/>
  <c r="C51" i="83"/>
  <c r="C48" i="84"/>
  <c r="C50" i="84"/>
  <c r="C45" i="88"/>
  <c r="C46" i="88"/>
  <c r="C47" i="88"/>
  <c r="C52" i="83"/>
  <c r="C53" i="83" s="1"/>
  <c r="C54" i="83"/>
  <c r="C55" i="83"/>
  <c r="C57" i="83"/>
  <c r="C51" i="84"/>
  <c r="C52" i="84"/>
  <c r="C48" i="88"/>
  <c r="C58" i="83"/>
  <c r="C59" i="83"/>
  <c r="C53" i="84"/>
  <c r="C49" i="88"/>
  <c r="C50" i="88"/>
  <c r="C60" i="83"/>
  <c r="C54" i="84"/>
  <c r="C51" i="88"/>
  <c r="C61" i="83"/>
  <c r="C55" i="84"/>
  <c r="C56" i="84"/>
  <c r="C57" i="84"/>
  <c r="C52" i="88"/>
  <c r="C62" i="83"/>
  <c r="C58" i="84"/>
  <c r="C53" i="88"/>
  <c r="C63" i="83"/>
  <c r="C64" i="83"/>
  <c r="C65" i="83"/>
  <c r="C66" i="83"/>
  <c r="C59" i="84"/>
  <c r="C60" i="84"/>
  <c r="C61" i="84"/>
  <c r="C62" i="84"/>
  <c r="C63" i="84"/>
  <c r="C54" i="88"/>
  <c r="C55" i="88"/>
  <c r="C67" i="83"/>
  <c r="C64" i="84"/>
  <c r="C56" i="88"/>
  <c r="C68" i="83"/>
  <c r="C69" i="83"/>
  <c r="C70" i="83"/>
  <c r="C65" i="84"/>
  <c r="C66" i="84"/>
  <c r="C57" i="88"/>
  <c r="C58" i="88"/>
  <c r="C71" i="83"/>
  <c r="C72" i="83"/>
  <c r="C67" i="84"/>
  <c r="C59" i="88"/>
  <c r="C73" i="83"/>
  <c r="C74" i="83"/>
  <c r="C68" i="84"/>
  <c r="C60" i="88"/>
  <c r="C75" i="83"/>
  <c r="C69" i="84"/>
  <c r="C61" i="88"/>
  <c r="C62" i="88"/>
  <c r="C76" i="83"/>
  <c r="C70" i="84"/>
  <c r="C63" i="88"/>
  <c r="C77" i="83"/>
  <c r="C78" i="83"/>
  <c r="C71" i="84"/>
  <c r="C64" i="88"/>
  <c r="C79" i="83"/>
  <c r="C72" i="84"/>
  <c r="C65" i="88"/>
  <c r="C66" i="88"/>
  <c r="C67" i="88"/>
  <c r="C80" i="83"/>
  <c r="C73" i="84"/>
  <c r="C68" i="88"/>
  <c r="C81" i="83"/>
  <c r="C74" i="84"/>
  <c r="C69" i="88"/>
  <c r="C70" i="88"/>
  <c r="C71" i="88"/>
  <c r="C82" i="83"/>
  <c r="C83" i="83"/>
  <c r="C84" i="83"/>
  <c r="C85" i="83"/>
  <c r="C76" i="84"/>
  <c r="C72" i="88"/>
  <c r="C86" i="83"/>
  <c r="C77" i="84"/>
  <c r="C78" i="84"/>
  <c r="C79" i="84"/>
  <c r="C73" i="88"/>
  <c r="C74" i="88"/>
  <c r="C87" i="83"/>
  <c r="C80" i="84"/>
  <c r="C81" i="84"/>
  <c r="C82" i="84"/>
  <c r="C83" i="84" s="1"/>
  <c r="C75" i="88"/>
  <c r="C76" i="88"/>
  <c r="C88" i="83"/>
  <c r="C84" i="84"/>
  <c r="C85" i="84"/>
  <c r="C86" i="84"/>
  <c r="C77" i="88"/>
  <c r="C90" i="83"/>
  <c r="C91" i="83"/>
  <c r="C92" i="83"/>
  <c r="C87" i="84"/>
  <c r="C78" i="88"/>
  <c r="C79" i="88"/>
  <c r="C93" i="83"/>
  <c r="C94" i="83"/>
  <c r="C88" i="84"/>
  <c r="C80" i="88"/>
  <c r="C95" i="83"/>
  <c r="C96" i="83"/>
  <c r="C89" i="84"/>
  <c r="C81" i="88"/>
  <c r="C97" i="83"/>
  <c r="C90" i="84"/>
  <c r="C82" i="88"/>
  <c r="C98" i="83"/>
  <c r="C99" i="83"/>
  <c r="C91" i="84"/>
  <c r="C92" i="84"/>
  <c r="C93" i="84"/>
  <c r="C83" i="88"/>
  <c r="C84" i="88"/>
  <c r="C100" i="83"/>
  <c r="C94" i="84"/>
  <c r="C85" i="88"/>
  <c r="C101" i="83"/>
  <c r="C95" i="84"/>
  <c r="C86" i="88"/>
  <c r="C87" i="88"/>
  <c r="C102" i="83"/>
  <c r="C96" i="84"/>
  <c r="C88" i="88"/>
  <c r="C103" i="83"/>
  <c r="C97" i="84"/>
  <c r="C98" i="84"/>
  <c r="C89" i="88"/>
  <c r="C90" i="88"/>
  <c r="C91" i="88"/>
  <c r="C104" i="83"/>
  <c r="C99" i="84"/>
  <c r="C92" i="88"/>
  <c r="C105" i="83"/>
  <c r="C100" i="84"/>
  <c r="C101" i="84"/>
  <c r="C93" i="88"/>
  <c r="C106" i="83"/>
  <c r="C102" i="84"/>
  <c r="C103" i="84"/>
  <c r="C94" i="88"/>
  <c r="C107" i="83"/>
  <c r="C108" i="83"/>
  <c r="C104" i="84"/>
  <c r="C105" i="84"/>
  <c r="C106" i="84"/>
  <c r="C95" i="88"/>
  <c r="C109" i="83"/>
  <c r="C107" i="84"/>
  <c r="C108" i="84"/>
  <c r="C109" i="84"/>
  <c r="C96" i="88"/>
  <c r="C97" i="88"/>
  <c r="C110" i="83"/>
  <c r="C111" i="83"/>
  <c r="C112" i="83"/>
  <c r="C110" i="84"/>
  <c r="C111" i="84"/>
  <c r="C98" i="88"/>
  <c r="C113" i="83"/>
  <c r="C114" i="83"/>
  <c r="C112" i="84"/>
  <c r="C99" i="88"/>
  <c r="C115" i="83"/>
  <c r="C113" i="84"/>
  <c r="C100" i="88"/>
  <c r="C101" i="88"/>
  <c r="C116" i="83"/>
  <c r="C117" i="83"/>
  <c r="C118" i="83" s="1"/>
  <c r="C114" i="84"/>
  <c r="C102" i="88"/>
  <c r="C103" i="88"/>
  <c r="C119" i="83"/>
  <c r="C115" i="84"/>
  <c r="C104" i="88"/>
  <c r="C105" i="88"/>
  <c r="C120" i="83"/>
  <c r="C116" i="84"/>
  <c r="C106" i="88"/>
  <c r="C107" i="88"/>
  <c r="C108" i="88"/>
  <c r="C109" i="88"/>
  <c r="C121" i="83"/>
  <c r="C117" i="84"/>
  <c r="C110" i="88"/>
  <c r="C111" i="88"/>
  <c r="C112" i="88"/>
  <c r="C122" i="83"/>
  <c r="C123" i="83"/>
  <c r="C118" i="84"/>
  <c r="C113" i="88"/>
  <c r="C124" i="83"/>
  <c r="C119" i="84"/>
  <c r="C120" i="84"/>
  <c r="C114" i="88"/>
  <c r="C125" i="83"/>
  <c r="C121" i="84"/>
  <c r="C115" i="88"/>
  <c r="C126" i="83"/>
  <c r="C122" i="84"/>
  <c r="C116" i="88"/>
  <c r="C127" i="83"/>
  <c r="C123" i="84"/>
  <c r="C124" i="84"/>
  <c r="C125" i="84"/>
  <c r="C117" i="88"/>
  <c r="C128" i="83"/>
  <c r="C126" i="84"/>
  <c r="C118" i="88"/>
  <c r="C119" i="88"/>
  <c r="C130" i="83"/>
  <c r="C127" i="84"/>
  <c r="C128" i="84"/>
  <c r="C130" i="84"/>
  <c r="C120" i="88"/>
  <c r="C131" i="83"/>
  <c r="C132" i="83"/>
  <c r="C131" i="84"/>
  <c r="C132" i="84"/>
  <c r="C121" i="88"/>
  <c r="C122" i="88"/>
  <c r="C133" i="83"/>
  <c r="C133" i="84"/>
  <c r="C123" i="88"/>
  <c r="C124" i="88"/>
  <c r="C134" i="83"/>
  <c r="C134" i="84"/>
  <c r="C125" i="88"/>
  <c r="C135" i="83"/>
  <c r="C135" i="84"/>
  <c r="C136" i="84"/>
  <c r="C126" i="88"/>
  <c r="C127" i="88"/>
  <c r="C128" i="88" s="1"/>
  <c r="C136" i="83"/>
  <c r="C137" i="84"/>
  <c r="C138" i="84"/>
  <c r="C129" i="88"/>
  <c r="C130" i="88"/>
  <c r="C137" i="83"/>
  <c r="C139" i="84"/>
  <c r="C140" i="84"/>
  <c r="C131" i="88"/>
  <c r="C138" i="83"/>
  <c r="C141" i="84"/>
  <c r="C132" i="88"/>
  <c r="C139" i="83"/>
  <c r="C142" i="84"/>
  <c r="C133" i="88"/>
  <c r="C134" i="88"/>
  <c r="C140" i="83"/>
  <c r="C143" i="84"/>
  <c r="C135" i="88"/>
  <c r="C136" i="88"/>
  <c r="C141" i="83"/>
  <c r="C144" i="84"/>
  <c r="C137" i="88"/>
  <c r="C142" i="83"/>
  <c r="C143" i="83"/>
  <c r="C145" i="84"/>
  <c r="C146" i="84"/>
  <c r="C138" i="88"/>
  <c r="C144" i="83"/>
  <c r="C145" i="83"/>
  <c r="C146" i="83"/>
  <c r="C147" i="84"/>
  <c r="C139" i="88"/>
  <c r="C140" i="88"/>
  <c r="C147" i="83"/>
  <c r="C148" i="84"/>
  <c r="C141" i="88"/>
  <c r="C148" i="83"/>
  <c r="C149" i="83"/>
  <c r="C149" i="84"/>
  <c r="C142" i="88"/>
  <c r="C143" i="88"/>
  <c r="C144" i="88"/>
  <c r="C150" i="83"/>
  <c r="C151" i="83"/>
  <c r="C150" i="84"/>
  <c r="C145" i="88"/>
  <c r="C146" i="88"/>
  <c r="C152" i="83"/>
  <c r="C153" i="83"/>
  <c r="C151" i="84"/>
  <c r="C147" i="88"/>
  <c r="C154" i="83"/>
  <c r="C152" i="84"/>
  <c r="C148" i="88"/>
  <c r="C156" i="83"/>
  <c r="C153" i="84"/>
  <c r="C149" i="88"/>
  <c r="C157" i="83"/>
  <c r="C154" i="84"/>
  <c r="C150" i="88"/>
  <c r="C151" i="88"/>
  <c r="C158" i="83"/>
  <c r="C159" i="83"/>
  <c r="C155" i="84"/>
  <c r="C152" i="88"/>
  <c r="C153" i="88"/>
  <c r="C154" i="88"/>
  <c r="C155" i="88"/>
  <c r="C160" i="83"/>
  <c r="C156" i="84"/>
  <c r="C157" i="84"/>
  <c r="C156" i="88"/>
  <c r="C161" i="83"/>
  <c r="C158" i="84"/>
  <c r="C157" i="88"/>
  <c r="C162" i="83"/>
  <c r="C159" i="84"/>
  <c r="C158" i="88"/>
  <c r="C163" i="83"/>
  <c r="C164" i="83"/>
  <c r="C160" i="84"/>
  <c r="C161" i="84"/>
  <c r="C159" i="88"/>
  <c r="C165" i="83"/>
  <c r="C162" i="84"/>
  <c r="C160" i="88"/>
  <c r="C161" i="88"/>
  <c r="C166" i="83"/>
  <c r="C167" i="83"/>
  <c r="C163" i="84"/>
  <c r="C162" i="88"/>
  <c r="C163" i="88"/>
  <c r="C164" i="88"/>
  <c r="C168" i="83"/>
  <c r="C164" i="84"/>
  <c r="C165" i="88"/>
  <c r="C169" i="83"/>
  <c r="C165" i="84"/>
  <c r="C166" i="84"/>
  <c r="C167" i="84"/>
  <c r="C166" i="88"/>
  <c r="C170" i="83"/>
  <c r="C168" i="84"/>
  <c r="C167" i="88"/>
  <c r="C171" i="83"/>
  <c r="C172" i="83"/>
  <c r="C169" i="84"/>
  <c r="C170" i="84"/>
  <c r="C168" i="88"/>
  <c r="C169" i="88"/>
  <c r="C173" i="83"/>
  <c r="C171" i="84"/>
  <c r="C170" i="88"/>
  <c r="C171" i="88"/>
  <c r="C172" i="88"/>
  <c r="C174" i="83"/>
  <c r="C175" i="83"/>
  <c r="C176" i="83"/>
  <c r="C172" i="84"/>
  <c r="C173" i="84"/>
  <c r="C173" i="88"/>
  <c r="C179" i="83"/>
  <c r="C174" i="84"/>
  <c r="C174" i="88"/>
  <c r="C175" i="88"/>
  <c r="C180" i="83"/>
  <c r="C181" i="83"/>
  <c r="C175" i="84"/>
  <c r="C176" i="84"/>
  <c r="C176" i="88"/>
  <c r="C182" i="83"/>
  <c r="C183" i="83"/>
  <c r="C177" i="84"/>
  <c r="C177" i="88"/>
  <c r="C184" i="83"/>
  <c r="C185" i="83"/>
  <c r="C178" i="84"/>
  <c r="C178" i="88"/>
  <c r="C179" i="88"/>
  <c r="C186" i="83"/>
  <c r="C179" i="84"/>
  <c r="C180" i="84"/>
  <c r="C181" i="84"/>
  <c r="C180" i="88"/>
  <c r="C181" i="88"/>
  <c r="C182" i="88"/>
  <c r="C183" i="88"/>
  <c r="C187" i="83"/>
  <c r="C188" i="83"/>
  <c r="C189" i="83"/>
  <c r="C182" i="84"/>
  <c r="C183" i="84"/>
  <c r="C184" i="88"/>
  <c r="C190" i="83"/>
  <c r="C184" i="84"/>
  <c r="C185" i="88"/>
  <c r="C186" i="88"/>
  <c r="C191" i="83"/>
  <c r="C192" i="83"/>
  <c r="C185" i="84"/>
  <c r="C187" i="84"/>
  <c r="C187" i="88"/>
  <c r="C193" i="83"/>
  <c r="C188" i="84"/>
  <c r="C189" i="84"/>
  <c r="C190" i="84"/>
  <c r="C188" i="88"/>
  <c r="C194" i="83"/>
  <c r="C195" i="83"/>
  <c r="C191" i="84"/>
  <c r="C189" i="88"/>
  <c r="C196" i="83"/>
  <c r="C192" i="84"/>
  <c r="C190" i="88"/>
  <c r="C191" i="88"/>
  <c r="C197" i="83"/>
  <c r="C198" i="83"/>
  <c r="C193" i="84"/>
  <c r="C194" i="84"/>
  <c r="C192" i="88"/>
  <c r="C199" i="83"/>
  <c r="C200" i="83"/>
  <c r="C201" i="83"/>
  <c r="C195" i="84"/>
  <c r="C196" i="84"/>
  <c r="C197" i="84"/>
  <c r="C193" i="88"/>
  <c r="C202" i="83"/>
  <c r="C198" i="84"/>
  <c r="C199" i="84"/>
  <c r="C194" i="88"/>
  <c r="C203" i="83"/>
  <c r="C200" i="84"/>
  <c r="C195" i="88"/>
  <c r="C196" i="88"/>
  <c r="C204" i="83"/>
  <c r="C205" i="83"/>
  <c r="C201" i="84"/>
  <c r="C197" i="88"/>
  <c r="C198" i="88"/>
  <c r="C206" i="83"/>
  <c r="C207" i="83"/>
  <c r="C208" i="83"/>
  <c r="C202" i="84"/>
  <c r="C199" i="88"/>
  <c r="C200" i="88"/>
  <c r="C209" i="83"/>
  <c r="C203" i="84"/>
  <c r="C201" i="88"/>
  <c r="C202" i="88"/>
  <c r="C210" i="83"/>
  <c r="C211" i="83"/>
  <c r="C204" i="84"/>
  <c r="C203" i="88"/>
  <c r="C212" i="83"/>
  <c r="C205" i="84"/>
  <c r="C204" i="88"/>
  <c r="C213" i="83"/>
  <c r="C214" i="83"/>
  <c r="C215" i="83"/>
  <c r="C206" i="84"/>
  <c r="C207" i="84"/>
  <c r="C205" i="88"/>
  <c r="C216" i="83"/>
  <c r="C208" i="84"/>
  <c r="C206" i="88"/>
  <c r="C217" i="83"/>
  <c r="C209" i="84"/>
  <c r="C210" i="84"/>
  <c r="C207" i="88"/>
  <c r="C208" i="88"/>
  <c r="C218" i="83"/>
  <c r="C219" i="83"/>
  <c r="C211" i="84"/>
  <c r="C209" i="88"/>
  <c r="C220" i="83"/>
  <c r="C221" i="83"/>
  <c r="C212" i="84"/>
  <c r="C210" i="88"/>
  <c r="C211" i="88"/>
  <c r="C212" i="88"/>
  <c r="C222" i="83"/>
  <c r="C223" i="83"/>
  <c r="C224" i="83"/>
  <c r="C225" i="83"/>
  <c r="C213" i="84"/>
  <c r="C214" i="84"/>
  <c r="C213" i="88"/>
  <c r="C226" i="83"/>
  <c r="C227" i="83"/>
  <c r="C215" i="84"/>
  <c r="C214" i="88"/>
  <c r="C228" i="83"/>
  <c r="C216" i="84"/>
  <c r="C215" i="88"/>
  <c r="C229" i="83"/>
  <c r="C217" i="84"/>
  <c r="C218" i="84"/>
  <c r="C216" i="88"/>
  <c r="C217" i="88"/>
  <c r="C230" i="83"/>
  <c r="C219" i="84"/>
  <c r="C218" i="88"/>
  <c r="C231" i="83"/>
  <c r="C220" i="84"/>
  <c r="C219" i="88"/>
  <c r="C232" i="83"/>
  <c r="C221" i="84"/>
  <c r="C222" i="84"/>
  <c r="C223" i="84"/>
  <c r="C224" i="84"/>
  <c r="C220" i="88"/>
  <c r="C221" i="88"/>
  <c r="C233" i="83"/>
  <c r="C234" i="83"/>
  <c r="C235" i="83"/>
  <c r="C225" i="84"/>
  <c r="C226" i="84"/>
  <c r="C222" i="88"/>
  <c r="C223" i="88"/>
  <c r="C236" i="83"/>
  <c r="C237" i="83"/>
  <c r="C227" i="84"/>
  <c r="C228" i="84"/>
  <c r="C229" i="84"/>
  <c r="C224" i="88"/>
  <c r="C225" i="88"/>
  <c r="C238" i="83"/>
  <c r="C230" i="84"/>
  <c r="C226" i="88"/>
  <c r="C227" i="88"/>
  <c r="C228" i="88"/>
  <c r="C239" i="83"/>
  <c r="C240" i="83"/>
  <c r="C242" i="83" s="1"/>
  <c r="C231" i="84"/>
  <c r="C229" i="88"/>
  <c r="C243" i="83"/>
  <c r="C232" i="84"/>
  <c r="C230" i="88"/>
  <c r="C231" i="88"/>
  <c r="C232" i="88"/>
  <c r="C244" i="83"/>
  <c r="C233" i="84"/>
  <c r="C234" i="84"/>
  <c r="C233" i="88"/>
  <c r="C234" i="88"/>
  <c r="C235" i="88"/>
  <c r="C245" i="83"/>
  <c r="C246" i="83"/>
  <c r="C247" i="83"/>
  <c r="C235" i="84"/>
  <c r="C236" i="88"/>
  <c r="C248" i="83"/>
  <c r="C249" i="83"/>
  <c r="C236" i="84"/>
  <c r="C237" i="84"/>
  <c r="C237" i="88"/>
  <c r="C238" i="88"/>
  <c r="C250" i="83"/>
  <c r="C238" i="84"/>
  <c r="C239" i="88"/>
  <c r="C240" i="88"/>
  <c r="C251" i="83"/>
  <c r="C239" i="84"/>
  <c r="C241" i="88"/>
  <c r="C252" i="83"/>
  <c r="C240" i="84"/>
  <c r="C241" i="84"/>
  <c r="C242" i="84"/>
  <c r="C242" i="88"/>
  <c r="C243" i="88"/>
  <c r="C253" i="83"/>
  <c r="C254" i="83"/>
  <c r="C243" i="84"/>
  <c r="C244" i="84"/>
  <c r="C245" i="84"/>
  <c r="C244" i="88"/>
  <c r="C245" i="88"/>
  <c r="C255" i="83"/>
  <c r="C246" i="84"/>
  <c r="C247" i="84"/>
  <c r="C246" i="88"/>
  <c r="C256" i="83"/>
  <c r="C257" i="83"/>
  <c r="C248" i="84"/>
  <c r="C247" i="88"/>
  <c r="C248" i="88"/>
  <c r="C258" i="83"/>
  <c r="C249" i="84"/>
  <c r="C250" i="84"/>
  <c r="C249" i="88"/>
  <c r="C250" i="88"/>
  <c r="C260" i="83"/>
  <c r="C261" i="83"/>
  <c r="C251" i="84"/>
  <c r="C252" i="84"/>
  <c r="C251" i="88"/>
  <c r="C262" i="83"/>
  <c r="C263" i="83"/>
  <c r="C264" i="83"/>
  <c r="C265" i="83"/>
  <c r="C253" i="84"/>
  <c r="C254" i="84"/>
  <c r="C252" i="88"/>
  <c r="C266" i="83"/>
  <c r="C255" i="84"/>
  <c r="C256" i="84"/>
  <c r="C257" i="84"/>
  <c r="C253" i="88"/>
  <c r="C254" i="88"/>
  <c r="C255" i="88"/>
  <c r="C267" i="83"/>
  <c r="C268" i="83"/>
  <c r="C269" i="83"/>
  <c r="C258" i="84"/>
  <c r="C259" i="84"/>
  <c r="C260" i="84"/>
  <c r="C261" i="84" s="1"/>
  <c r="C262" i="84"/>
  <c r="C256" i="88"/>
  <c r="C270" i="83"/>
  <c r="C271" i="83"/>
  <c r="C263" i="84"/>
  <c r="C257" i="88"/>
  <c r="C258" i="88"/>
  <c r="C259" i="88"/>
  <c r="C260" i="88"/>
  <c r="C272" i="83"/>
  <c r="C274" i="83"/>
  <c r="C275" i="83"/>
  <c r="C264" i="84"/>
  <c r="C265" i="84"/>
  <c r="C261" i="88"/>
  <c r="C262" i="88"/>
  <c r="C276" i="83"/>
  <c r="C277" i="83"/>
  <c r="C266" i="84"/>
  <c r="C263" i="88"/>
  <c r="C278" i="83"/>
  <c r="C268" i="84"/>
  <c r="C264" i="88"/>
  <c r="C279" i="83"/>
  <c r="C280" i="83"/>
  <c r="C269" i="84"/>
  <c r="C270" i="84"/>
  <c r="C265" i="88"/>
  <c r="C281" i="83"/>
  <c r="C282" i="83"/>
  <c r="C283" i="83"/>
  <c r="C271" i="84"/>
  <c r="C266" i="88"/>
  <c r="C284" i="83"/>
  <c r="C272" i="84"/>
  <c r="C274" i="84"/>
  <c r="C275" i="84"/>
  <c r="C267" i="88"/>
  <c r="C268" i="88"/>
  <c r="C269" i="88"/>
  <c r="C285" i="83"/>
  <c r="C276" i="84"/>
  <c r="C270" i="88"/>
  <c r="C271" i="88"/>
  <c r="C287" i="83"/>
  <c r="C288" i="83"/>
  <c r="C272" i="88"/>
  <c r="C289" i="83"/>
  <c r="C290" i="83"/>
  <c r="C291" i="83"/>
  <c r="C292" i="83"/>
  <c r="C273" i="88"/>
  <c r="C274" i="88"/>
  <c r="C275" i="88"/>
  <c r="C293" i="83"/>
  <c r="C276" i="88"/>
  <c r="C294" i="83"/>
  <c r="C277" i="88"/>
  <c r="C295" i="83"/>
  <c r="C278" i="88"/>
  <c r="C279" i="88"/>
  <c r="C296" i="83"/>
  <c r="C297" i="83"/>
  <c r="C280" i="88"/>
  <c r="C281" i="88"/>
  <c r="C298" i="83"/>
  <c r="C282" i="88"/>
  <c r="C299" i="83"/>
  <c r="C283" i="88"/>
  <c r="C300" i="83"/>
  <c r="C301" i="83"/>
  <c r="C284" i="88"/>
  <c r="C285" i="88"/>
  <c r="C286" i="88"/>
  <c r="C287" i="88"/>
  <c r="C302" i="83"/>
  <c r="C288" i="88"/>
  <c r="C303" i="83"/>
  <c r="C304" i="83"/>
  <c r="C289" i="88"/>
  <c r="C290" i="88"/>
  <c r="C305" i="83"/>
  <c r="C306" i="83"/>
  <c r="C307" i="83"/>
  <c r="C291" i="88"/>
  <c r="C292" i="88"/>
  <c r="C308" i="83"/>
  <c r="C309" i="83"/>
  <c r="C310" i="83"/>
  <c r="C312" i="83"/>
  <c r="C313" i="83"/>
  <c r="C293" i="88"/>
  <c r="C294" i="88"/>
  <c r="C314" i="83"/>
  <c r="C315" i="83"/>
  <c r="C316" i="83"/>
  <c r="C317" i="83"/>
  <c r="C318" i="83"/>
  <c r="C295" i="88"/>
  <c r="C296" i="88"/>
  <c r="C319" i="83"/>
  <c r="C297" i="88"/>
  <c r="C298" i="88"/>
  <c r="C320" i="83"/>
  <c r="C321" i="83"/>
  <c r="C299" i="88"/>
  <c r="C322" i="83"/>
  <c r="C300" i="88"/>
  <c r="C323" i="83"/>
  <c r="C301" i="88"/>
  <c r="C324" i="83"/>
  <c r="C302" i="88"/>
  <c r="C325" i="83"/>
  <c r="C326" i="83"/>
  <c r="C327" i="83"/>
  <c r="C328" i="83"/>
  <c r="C303" i="88"/>
  <c r="C304" i="88"/>
  <c r="C305" i="88"/>
  <c r="C329" i="83"/>
  <c r="C306" i="88"/>
  <c r="C307" i="88"/>
  <c r="C330" i="83"/>
  <c r="C308" i="88"/>
  <c r="C331" i="83"/>
  <c r="C309" i="88"/>
  <c r="C310" i="88"/>
  <c r="C332" i="83"/>
  <c r="C311" i="88"/>
  <c r="C333" i="83"/>
  <c r="C312" i="88"/>
  <c r="C334" i="83"/>
  <c r="C313" i="88"/>
  <c r="C335" i="83"/>
  <c r="C314" i="88"/>
  <c r="C336" i="83"/>
  <c r="C315" i="88"/>
  <c r="C316" i="88"/>
  <c r="C337" i="83"/>
  <c r="C338" i="83"/>
  <c r="C339" i="83"/>
  <c r="C317" i="88"/>
  <c r="C340" i="83"/>
  <c r="C341" i="83"/>
  <c r="C342" i="83"/>
  <c r="C318" i="88"/>
  <c r="C319" i="88"/>
  <c r="C343" i="83"/>
  <c r="C344" i="83"/>
  <c r="C320" i="88"/>
  <c r="C345" i="83"/>
  <c r="C321" i="88"/>
  <c r="C346" i="83"/>
  <c r="C322" i="88"/>
  <c r="C347" i="83"/>
  <c r="C323" i="88"/>
  <c r="C324" i="88"/>
  <c r="C348" i="83"/>
  <c r="C349" i="83"/>
  <c r="C325" i="88"/>
  <c r="C326" i="88"/>
  <c r="C327" i="88"/>
  <c r="C350" i="83"/>
  <c r="C351" i="83"/>
  <c r="C328" i="88"/>
  <c r="C329" i="88"/>
  <c r="C352" i="83"/>
  <c r="C330" i="88"/>
  <c r="C331" i="88"/>
  <c r="C353" i="83"/>
  <c r="C354" i="83"/>
  <c r="C332" i="88"/>
  <c r="C333" i="88"/>
  <c r="C355" i="83"/>
  <c r="C334" i="88"/>
  <c r="C356" i="83"/>
  <c r="C335" i="88"/>
  <c r="C357" i="83"/>
  <c r="C358" i="83"/>
  <c r="C336" i="88"/>
  <c r="C337" i="88"/>
  <c r="C359" i="83"/>
  <c r="C360" i="83"/>
  <c r="C361" i="83"/>
  <c r="C362" i="83"/>
  <c r="C338" i="88"/>
  <c r="C363" i="83"/>
  <c r="C339" i="88"/>
  <c r="C364" i="83"/>
  <c r="C365" i="83"/>
  <c r="C340" i="88"/>
  <c r="C341" i="88"/>
  <c r="C366" i="83"/>
  <c r="C342" i="88"/>
  <c r="C367" i="83"/>
  <c r="C343" i="88"/>
  <c r="C344" i="88"/>
  <c r="C368" i="83"/>
  <c r="C369" i="83"/>
  <c r="C345" i="88"/>
  <c r="C346" i="88"/>
  <c r="C370" i="83"/>
  <c r="C347" i="88"/>
  <c r="C371" i="83"/>
  <c r="C372" i="83"/>
  <c r="C373" i="83"/>
  <c r="C348" i="88"/>
  <c r="C374" i="83"/>
  <c r="C375" i="83"/>
  <c r="C349" i="88"/>
  <c r="C376" i="83"/>
  <c r="C350" i="88"/>
  <c r="C351" i="88"/>
  <c r="C352" i="88"/>
  <c r="C377" i="83"/>
  <c r="C353" i="88"/>
  <c r="C378" i="83"/>
  <c r="C354" i="88"/>
  <c r="C355" i="88"/>
  <c r="C379" i="83"/>
  <c r="C356" i="88"/>
  <c r="C380" i="83"/>
  <c r="C382" i="83"/>
  <c r="C357" i="88"/>
  <c r="C358" i="88"/>
  <c r="C383" i="83"/>
  <c r="C384" i="83" s="1"/>
  <c r="C385" i="83"/>
  <c r="C359" i="88"/>
  <c r="C387" i="83" a="1"/>
  <c r="C360" i="88"/>
  <c r="C361" i="88"/>
  <c r="C362" i="88"/>
  <c r="C363" i="88"/>
  <c r="C364" i="88"/>
  <c r="C365" i="88"/>
  <c r="C366" i="88"/>
  <c r="C367" i="88"/>
  <c r="C368" i="88"/>
  <c r="C369" i="88"/>
  <c r="C370" i="88"/>
  <c r="C371" i="88"/>
  <c r="C372" i="88"/>
  <c r="C373" i="88"/>
  <c r="C374" i="88"/>
  <c r="C375" i="88"/>
  <c r="C376" i="88"/>
  <c r="C377" i="88"/>
  <c r="C378" i="88"/>
  <c r="C379" i="88"/>
  <c r="C380" i="88"/>
  <c r="C381" i="88"/>
  <c r="C382" i="88"/>
  <c r="C383" i="88"/>
  <c r="C384" i="88"/>
  <c r="C385" i="88"/>
  <c r="C386" i="88"/>
  <c r="C387" i="88"/>
  <c r="C388" i="88"/>
  <c r="C389" i="88"/>
  <c r="C390" i="88"/>
  <c r="C391" i="88"/>
  <c r="C392" i="88"/>
  <c r="C393" i="88"/>
  <c r="C394" i="88"/>
  <c r="C395" i="88"/>
  <c r="C396" i="88"/>
  <c r="C397" i="88"/>
  <c r="C398" i="88"/>
  <c r="C399" i="88"/>
  <c r="C400" i="88"/>
  <c r="C401" i="88"/>
  <c r="C402" i="88"/>
  <c r="C403" i="88"/>
  <c r="C404" i="88"/>
  <c r="C405" i="88"/>
  <c r="C406" i="88"/>
  <c r="C407" i="88"/>
  <c r="C408" i="88"/>
  <c r="C409" i="88"/>
  <c r="C410" i="88"/>
  <c r="C411" i="88"/>
  <c r="C412" i="88"/>
  <c r="C413" i="88"/>
  <c r="C414" i="88"/>
  <c r="C415" i="88"/>
  <c r="C416" i="88"/>
  <c r="C417" i="88"/>
  <c r="C418" i="88"/>
  <c r="C419" i="88"/>
  <c r="C420" i="88"/>
  <c r="C421" i="88"/>
  <c r="C422" i="88"/>
  <c r="C423" i="88"/>
  <c r="C424" i="88"/>
  <c r="C425" i="88"/>
  <c r="C426" i="88"/>
  <c r="C427" i="88"/>
  <c r="C428" i="88"/>
  <c r="C429" i="88"/>
  <c r="C430" i="88"/>
  <c r="C431" i="88"/>
  <c r="C432" i="88"/>
  <c r="C433" i="88"/>
  <c r="C434" i="88"/>
  <c r="C435" i="88"/>
  <c r="C436" i="88"/>
  <c r="C437" i="88"/>
  <c r="C439" i="88"/>
  <c r="C440" i="88"/>
  <c r="C441" i="88"/>
  <c r="C442" i="88"/>
  <c r="C443" i="88"/>
  <c r="C444" i="88"/>
  <c r="C445" i="88"/>
  <c r="C446" i="88"/>
  <c r="C447" i="88"/>
  <c r="C448" i="88"/>
  <c r="C449" i="88"/>
  <c r="C450" i="88"/>
  <c r="C451" i="88"/>
  <c r="C452" i="88"/>
  <c r="C453" i="88"/>
  <c r="C454" i="88"/>
  <c r="C455" i="88"/>
  <c r="C456" i="88"/>
  <c r="C457" i="88"/>
  <c r="C458" i="88"/>
  <c r="C459" i="88"/>
  <c r="C460" i="88"/>
  <c r="C461" i="88"/>
  <c r="C462" i="88"/>
  <c r="C463" i="88"/>
  <c r="C464" i="88"/>
  <c r="C465" i="88"/>
  <c r="C466" i="88"/>
  <c r="C467" i="88"/>
  <c r="C468" i="88"/>
  <c r="C469" i="88"/>
  <c r="C470" i="88"/>
  <c r="C471" i="88"/>
  <c r="C472" i="88"/>
  <c r="C473" i="88"/>
  <c r="C474" i="88"/>
  <c r="C475" i="88"/>
  <c r="C476" i="88"/>
  <c r="C477" i="88"/>
  <c r="C478" i="88"/>
  <c r="C479" i="88"/>
  <c r="C480" i="88"/>
  <c r="C481" i="88"/>
  <c r="C482" i="88"/>
  <c r="C483" i="88"/>
  <c r="C484" i="88"/>
  <c r="C485" i="88"/>
  <c r="C486" i="88"/>
  <c r="C487" i="88"/>
  <c r="C488" i="88"/>
  <c r="C489" i="88"/>
  <c r="C490" i="88"/>
  <c r="C491" i="88"/>
  <c r="C492" i="88"/>
  <c r="C493" i="88"/>
  <c r="C494" i="88"/>
  <c r="C495" i="88"/>
  <c r="C496" i="88"/>
  <c r="C497" i="88"/>
  <c r="C498" i="88"/>
  <c r="C499" i="88"/>
  <c r="C500" i="88"/>
  <c r="C501" i="88"/>
  <c r="C502" i="88"/>
  <c r="C503" i="88"/>
  <c r="C504" i="88"/>
  <c r="C505" i="88"/>
  <c r="C506" i="88"/>
  <c r="C507" i="88"/>
  <c r="C508" i="88"/>
  <c r="C509" i="88"/>
  <c r="C510" i="88"/>
  <c r="C511" i="88"/>
  <c r="C512" i="88"/>
  <c r="C513" i="88"/>
  <c r="C514" i="88"/>
  <c r="C515" i="88"/>
  <c r="C516" i="88"/>
  <c r="C517" i="88"/>
  <c r="C518" i="88"/>
  <c r="C519" i="88"/>
  <c r="C520" i="88"/>
  <c r="C521" i="88"/>
  <c r="C522" i="88"/>
  <c r="C523" i="88"/>
  <c r="C524" i="88"/>
  <c r="C525" i="88"/>
  <c r="C526" i="88"/>
  <c r="C527" i="88"/>
  <c r="C528" i="88"/>
  <c r="C529" i="88"/>
  <c r="C530" i="88"/>
  <c r="C531" i="88"/>
  <c r="C532" i="88"/>
  <c r="C533" i="88"/>
  <c r="C534" i="88"/>
  <c r="C535" i="88"/>
  <c r="C536" i="88"/>
  <c r="C537" i="88"/>
  <c r="C538" i="88"/>
  <c r="C539" i="88"/>
  <c r="C540" i="88"/>
  <c r="C541" i="88"/>
  <c r="C542" i="88"/>
  <c r="C543" i="88"/>
  <c r="C544" i="88"/>
  <c r="C545" i="88"/>
  <c r="C546" i="88"/>
  <c r="C547" i="88"/>
  <c r="C548" i="88"/>
  <c r="C549" i="88"/>
  <c r="C550" i="88"/>
  <c r="C551" i="88"/>
  <c r="C552" i="88"/>
  <c r="C553" i="88"/>
  <c r="C554" i="88"/>
  <c r="C555" i="88"/>
  <c r="C556" i="88"/>
  <c r="C557" i="88"/>
  <c r="C558" i="88"/>
  <c r="C559" i="88"/>
  <c r="C560" i="88"/>
  <c r="C561" i="88"/>
  <c r="C562" i="88"/>
  <c r="C563" i="88"/>
  <c r="C564" i="88"/>
  <c r="C565" i="88"/>
  <c r="C566" i="88"/>
  <c r="C567" i="88"/>
  <c r="C568" i="88"/>
  <c r="C569" i="88"/>
  <c r="C570" i="88"/>
  <c r="C571" i="88"/>
  <c r="C572" i="88"/>
  <c r="C573" i="88"/>
  <c r="C574" i="88"/>
  <c r="C575" i="88"/>
  <c r="C576" i="88"/>
  <c r="C577" i="88"/>
  <c r="C578" i="88"/>
  <c r="C579" i="88"/>
  <c r="C580" i="88"/>
  <c r="C581" i="88"/>
  <c r="C582" i="88"/>
  <c r="C583" i="88"/>
  <c r="C584" i="88"/>
  <c r="C585" i="88"/>
  <c r="C586" i="88"/>
  <c r="C587" i="88"/>
  <c r="C588" i="88"/>
  <c r="C589" i="88"/>
  <c r="C590" i="88"/>
  <c r="C591" i="88"/>
  <c r="C592" i="88"/>
  <c r="C593" i="88"/>
  <c r="C594" i="88"/>
  <c r="C595" i="88"/>
  <c r="C596" i="88"/>
  <c r="C597" i="88"/>
  <c r="C598" i="88"/>
  <c r="C599" i="88"/>
  <c r="C600" i="88"/>
  <c r="C601" i="88"/>
  <c r="C602" i="88"/>
  <c r="C603" i="88"/>
  <c r="C604" i="88"/>
  <c r="C605" i="88"/>
  <c r="C606" i="88"/>
  <c r="C607" i="88"/>
  <c r="C608" i="88"/>
  <c r="C609" i="88"/>
  <c r="C610" i="88"/>
  <c r="C611" i="88"/>
  <c r="C612" i="88"/>
  <c r="C613" i="88"/>
  <c r="C614" i="88"/>
  <c r="C615" i="88"/>
  <c r="C616" i="88"/>
  <c r="C617" i="88"/>
  <c r="C618" i="88"/>
  <c r="C619" i="88"/>
  <c r="C620" i="88"/>
  <c r="C621" i="88"/>
  <c r="C622" i="88"/>
  <c r="C623" i="88"/>
  <c r="C624" i="88"/>
  <c r="C625" i="88"/>
  <c r="C626" i="88"/>
  <c r="C627" i="88"/>
  <c r="C628" i="88"/>
  <c r="C629" i="88"/>
  <c r="C630" i="88"/>
  <c r="C631" i="88"/>
  <c r="C632" i="88"/>
  <c r="C633" i="88"/>
  <c r="C634" i="88"/>
  <c r="C635" i="88"/>
  <c r="C636" i="88"/>
  <c r="C637" i="88"/>
  <c r="C638" i="88"/>
  <c r="C639" i="88"/>
  <c r="C640" i="88"/>
  <c r="C641" i="88"/>
  <c r="C642" i="88"/>
  <c r="C643" i="88"/>
  <c r="C644" i="88"/>
  <c r="C645" i="88"/>
  <c r="C646" i="88"/>
  <c r="C647" i="88"/>
  <c r="C648" i="88"/>
  <c r="C649" i="88"/>
  <c r="C650" i="88"/>
  <c r="C651" i="88"/>
  <c r="C652" i="88"/>
  <c r="C653" i="88"/>
  <c r="C654" i="88"/>
  <c r="C655" i="88"/>
  <c r="C656" i="88"/>
  <c r="C657" i="88"/>
  <c r="C658" i="88"/>
  <c r="C659" i="88"/>
  <c r="C660" i="88"/>
  <c r="C661" i="88"/>
  <c r="C662" i="88"/>
  <c r="C663" i="88"/>
  <c r="C664" i="88"/>
  <c r="C665" i="88"/>
  <c r="C666" i="88"/>
  <c r="C667" i="88"/>
  <c r="C668" i="88"/>
  <c r="C669" i="88"/>
  <c r="C670" i="88"/>
  <c r="C671" i="88"/>
  <c r="C672" i="88"/>
  <c r="C673" i="88"/>
  <c r="C674" i="88"/>
  <c r="C675" i="88"/>
  <c r="C676" i="88"/>
  <c r="C677" i="88"/>
  <c r="C678" i="88"/>
  <c r="C679" i="88"/>
  <c r="C680" i="88"/>
  <c r="C681" i="88"/>
  <c r="C682" i="88"/>
  <c r="C683" i="88"/>
  <c r="C684" i="88"/>
  <c r="C685" i="88"/>
  <c r="C686" i="88"/>
  <c r="C687" i="88"/>
  <c r="C688" i="88"/>
  <c r="C689" i="88"/>
  <c r="C690" i="88"/>
  <c r="C691" i="88"/>
  <c r="C692" i="88"/>
  <c r="C693" i="88"/>
  <c r="C694" i="88"/>
  <c r="C695" i="88"/>
  <c r="C696" i="88"/>
  <c r="C697" i="88"/>
  <c r="C698" i="88"/>
  <c r="C699" i="88"/>
  <c r="C700" i="88"/>
  <c r="C701" i="88"/>
  <c r="C702" i="88"/>
  <c r="C703" i="88"/>
  <c r="C704" i="88"/>
  <c r="C705" i="88"/>
  <c r="C706" i="88"/>
  <c r="C707" i="88"/>
  <c r="C708" i="88"/>
  <c r="C709" i="88"/>
  <c r="C710" i="88"/>
  <c r="C711" i="88"/>
  <c r="C712" i="88"/>
  <c r="C713" i="88"/>
  <c r="C714" i="88"/>
  <c r="C715" i="88"/>
  <c r="C716" i="88"/>
  <c r="C718" i="88"/>
  <c r="C719" i="88"/>
  <c r="C720" i="88"/>
  <c r="C721" i="88"/>
  <c r="C722" i="88"/>
  <c r="C723" i="88"/>
  <c r="C724" i="88"/>
  <c r="C725" i="88"/>
  <c r="C726" i="88"/>
  <c r="C727" i="88"/>
  <c r="C728" i="88"/>
  <c r="C729" i="88"/>
  <c r="C730" i="88"/>
  <c r="C731" i="88"/>
  <c r="C732" i="88"/>
  <c r="C733" i="88"/>
  <c r="C734" i="88"/>
  <c r="C735" i="88"/>
  <c r="C736" i="88"/>
  <c r="C737" i="88"/>
  <c r="C738" i="88"/>
  <c r="C739" i="88"/>
  <c r="C740" i="88"/>
  <c r="C741" i="88"/>
  <c r="C742" i="88"/>
  <c r="C743" i="88"/>
  <c r="C744" i="88"/>
  <c r="C745" i="88"/>
  <c r="C746" i="88"/>
  <c r="C747" i="88"/>
  <c r="C748" i="88"/>
  <c r="C749" i="88"/>
  <c r="C750" i="88"/>
  <c r="C751" i="88"/>
  <c r="C752" i="88"/>
  <c r="C753" i="88"/>
  <c r="C754" i="88"/>
  <c r="C755" i="88"/>
  <c r="C756" i="88"/>
  <c r="C757" i="88"/>
  <c r="C758" i="88"/>
  <c r="C759" i="88"/>
  <c r="C760" i="88"/>
  <c r="C761" i="88"/>
  <c r="C762" i="88"/>
  <c r="C763" i="88"/>
  <c r="C764" i="88"/>
  <c r="C765" i="88"/>
  <c r="C766" i="88"/>
  <c r="C767" i="88"/>
  <c r="C768" i="88"/>
  <c r="C769" i="88"/>
  <c r="C770" i="88"/>
  <c r="C771" i="88"/>
  <c r="C772" i="88"/>
  <c r="C773" i="88"/>
  <c r="C774" i="88"/>
  <c r="C775" i="88"/>
  <c r="C776" i="88"/>
  <c r="C777" i="88"/>
  <c r="C778" i="88"/>
  <c r="C779" i="88"/>
  <c r="C780" i="88"/>
  <c r="C781" i="88"/>
  <c r="C782" i="88"/>
  <c r="C783" i="88"/>
  <c r="C784" i="88"/>
  <c r="C785" i="88"/>
  <c r="C786" i="88"/>
  <c r="C787" i="88"/>
  <c r="C788" i="88"/>
  <c r="C789" i="88"/>
  <c r="C790" i="88"/>
  <c r="C791" i="88"/>
  <c r="C792" i="88"/>
  <c r="C793" i="88"/>
  <c r="C794" i="88"/>
  <c r="C795" i="88"/>
  <c r="C796" i="88"/>
  <c r="C797" i="88"/>
  <c r="C798" i="88"/>
  <c r="C799" i="88"/>
  <c r="C800" i="88"/>
  <c r="C801" i="88"/>
  <c r="C802" i="88"/>
  <c r="C803" i="88"/>
  <c r="C804" i="88"/>
  <c r="C805" i="88"/>
  <c r="C806" i="88"/>
  <c r="C807" i="88"/>
  <c r="C808" i="88"/>
  <c r="C809" i="88"/>
  <c r="C810" i="88"/>
  <c r="C811" i="88"/>
  <c r="C812" i="88"/>
  <c r="C813" i="88"/>
  <c r="C814" i="88"/>
  <c r="C815" i="88"/>
  <c r="C816" i="88"/>
  <c r="C817" i="88"/>
  <c r="C818" i="88"/>
  <c r="C819" i="88"/>
  <c r="C820" i="88"/>
  <c r="C821" i="88"/>
  <c r="C822" i="88"/>
  <c r="C823" i="88"/>
  <c r="C824" i="88"/>
  <c r="C825" i="88"/>
  <c r="C826" i="88"/>
  <c r="C827" i="88"/>
  <c r="C828" i="88"/>
  <c r="C829" i="88"/>
  <c r="C830" i="88"/>
  <c r="C831" i="88"/>
  <c r="C832" i="88"/>
  <c r="C833" i="88"/>
  <c r="C834" i="88"/>
  <c r="C835" i="88"/>
  <c r="C836" i="88"/>
  <c r="C837" i="88"/>
  <c r="C838" i="88"/>
  <c r="C839" i="88"/>
  <c r="C840" i="88"/>
  <c r="C841" i="88"/>
  <c r="C842" i="88"/>
  <c r="C843" i="88"/>
  <c r="C844" i="88"/>
  <c r="C845" i="88"/>
  <c r="C846" i="88"/>
  <c r="C847" i="88"/>
  <c r="C848" i="88"/>
  <c r="C849" i="88"/>
  <c r="C850" i="88"/>
  <c r="C851" i="88"/>
  <c r="C852" i="88"/>
  <c r="C853" i="88"/>
  <c r="C854" i="88"/>
  <c r="C855" i="88"/>
  <c r="C856" i="88"/>
  <c r="C857" i="88" s="1"/>
  <c r="C858" i="88"/>
  <c r="C387" i="83" l="1"/>
  <c r="M5" i="88"/>
  <c r="M10" i="88" s="1"/>
  <c r="L5" i="88"/>
  <c r="L10" i="88" s="1"/>
  <c r="AC7" i="122"/>
  <c r="AR8" i="122" s="1"/>
  <c r="AH8" i="120"/>
  <c r="BG7" i="120"/>
  <c r="BG8" i="120" s="1"/>
  <c r="AW8" i="120"/>
  <c r="AR8" i="120"/>
  <c r="AM8" i="120"/>
  <c r="C277" i="84"/>
  <c r="B20" i="122"/>
  <c r="B24" i="120"/>
  <c r="B25" i="120" s="1"/>
  <c r="C388" i="83"/>
  <c r="C389" i="83"/>
  <c r="C278" i="84"/>
  <c r="C390" i="83"/>
  <c r="C391" i="83"/>
  <c r="C392" i="83"/>
  <c r="C393" i="83"/>
  <c r="C394" i="83"/>
  <c r="C395" i="83"/>
  <c r="C396" i="83"/>
  <c r="C397" i="83"/>
  <c r="C398" i="83"/>
  <c r="C399" i="83"/>
  <c r="C400" i="83"/>
  <c r="C401" i="83"/>
  <c r="C402" i="83"/>
  <c r="C403" i="83"/>
  <c r="C404" i="83"/>
  <c r="C405" i="83"/>
  <c r="C406" i="83"/>
  <c r="C407" i="83"/>
  <c r="C408" i="83"/>
  <c r="C409" i="83"/>
  <c r="C410" i="83"/>
  <c r="C411" i="83"/>
  <c r="C412" i="83"/>
  <c r="C413" i="83"/>
  <c r="C414" i="83"/>
  <c r="C415" i="83"/>
  <c r="C416" i="83"/>
  <c r="C417" i="83"/>
  <c r="C418" i="83"/>
  <c r="C419" i="83"/>
  <c r="C420" i="83"/>
  <c r="C421" i="83"/>
  <c r="C422" i="83"/>
  <c r="C423" i="83"/>
  <c r="C424" i="83"/>
  <c r="C425" i="83"/>
  <c r="C426" i="83"/>
  <c r="C427" i="83"/>
  <c r="C428" i="83"/>
  <c r="C429" i="83"/>
  <c r="C430" i="83"/>
  <c r="C431" i="83"/>
  <c r="C432" i="83"/>
  <c r="C433" i="83"/>
  <c r="C434" i="83"/>
  <c r="C435" i="83"/>
  <c r="C436" i="83"/>
  <c r="C437" i="83"/>
  <c r="C438" i="83"/>
  <c r="C439" i="83"/>
  <c r="C440" i="83"/>
  <c r="C441" i="83"/>
  <c r="C442" i="83"/>
  <c r="C443" i="83"/>
  <c r="C444" i="83"/>
  <c r="C445" i="83"/>
  <c r="C446" i="83"/>
  <c r="C447" i="83"/>
  <c r="C448" i="83"/>
  <c r="C449" i="83"/>
  <c r="C450" i="83"/>
  <c r="C451" i="83"/>
  <c r="C453" i="83"/>
  <c r="C454" i="83"/>
  <c r="C455" i="83"/>
  <c r="C456" i="83"/>
  <c r="C457" i="83"/>
  <c r="C458" i="83"/>
  <c r="C459" i="83"/>
  <c r="C460" i="83"/>
  <c r="C461" i="83"/>
  <c r="C462" i="83"/>
  <c r="C463" i="83"/>
  <c r="C464" i="83"/>
  <c r="C466" i="83"/>
  <c r="C467" i="83"/>
  <c r="C468" i="83"/>
  <c r="K5" i="84" l="1"/>
  <c r="K10" i="84" s="1"/>
  <c r="J5" i="84"/>
  <c r="J10" i="84" s="1"/>
  <c r="BB8" i="122"/>
  <c r="AW8" i="122"/>
  <c r="BG7" i="122"/>
  <c r="BG8" i="122" s="1"/>
  <c r="AM8" i="122"/>
  <c r="AH8" i="122"/>
  <c r="AC8" i="122" s="1"/>
  <c r="AC8" i="1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tc={81375cc9-ee06-4338-a825-c0aca0094326}</author>
    <author>tc={1a1eea5b-3a57-483b-8f7b-201f338ada17}</author>
    <author/>
  </authors>
  <commentList>
    <comment ref="R11" authorId="0" shapeId="0" xr:uid="{81375CC9-EE06-4338-A825-C0ACA0094326}">
      <text>
        <t>[Threaded comment]
Your version of Excel allows you to read this threaded comment; however, any edits to it will get removed if the file is opened in a newer version of Excel. Learn more: https://go.microsoft.com/fwlink/?linkid=870924
Comment:
    5: Rất tốt 
- Tài liệu đầy đủ, rõ ràng, logic và dễ hiểu.
- Bao quát toàn bộ yêu cầu nghiệp vụ và kỹ thuật.
- Có hình ảnh minh họa, flow, mockup giúp dễ hình dung.
- Không có lỗi chính tả, định dạng thống nhất.
- Các mục liên kết logic chặt chẽ (requirement ↔ design ↔ screen ↔ DB).
- Có cân nhắc cả exception, validation
- Có thể dùng trực tiếp để coding mà không cần hỏi thêm.
4: Tốt
- Tài liệu tương đối đầy đủ, rõ ràng.
- Đáp ứng phần lớn yêu cầu nghiệp vụ.
- Có một số điểm chưa rõ hoặc thiếu minor detail (nhưng không ảnh hưởng đến hiểu tổng thể).
- Có thể coding với ít câu hỏi bổ sung.
- Cấu trúc và format nhìn chung thống nhất.
3: Trung bình
- Tài liệu cơ bản đáp ứng yêu cầu nhưng chưa chi tiết.
- Một số phần chưa mô tả đầy đủ (ví dụ: xử lý lỗi, điều kiện rẽ nhánh, field definition chưa rõ).
- Còn lỗi định dạng hoặc logic nhỏ.
- Cần trao đổi thêm để coding chính xác.
2: Kém
- Nhiều phần thiếu hoặc sai so với requirement.
- Mô tả mơ hồ, không thể hiện rõ flow hoặc logic xử lý.
- Không thể coding nếu không hỏi lại nhiều.
- Nhiều lỗi chính tả, cấu trúc thiếu nhất quán.
- Không thể hiện mối liên hệ giữa các module / DB / màn hình.
1: Rất kém
- Tài liệu không thể sử dụng được cho coding.
- Thiếu nghiêm trọng nội dung, sai lệch với requirement.
- Không có cấu trúc, format lộn xộn.
- Không thể hiện được logic xử lý hoặc flow.
- Cần làm lại từ đầu.</t>
      </text>
    </comment>
    <comment ref="U11" authorId="1" shapeId="0" xr:uid="{1A1EEA5B-3A57-483B-8F7B-201F338ADA17}">
      <text>
        <t>[Threaded comment]
Your version of Excel allows you to read this threaded comment; however, any edits to it will get removed if the file is opened in a newer version of Excel. Learn more: https://go.microsoft.com/fwlink/?linkid=870924
Comment:
    Do là code vẫn còn bug để dễ hiểu:
5: Hầu hết không có các lỗi nghiêm trọng như không giống BD.
4: Có vẻ outdated BD một vài nơi, nhưng không đáng kể.
3: Sai nhiều gần như đã lâu không đọc BD.
2: Gần như không test được, các nút dropdown không load được data, các logic branch ở các element không đủ, save thì tậm tịt.
1: Không thể test được, xử lý cẩu thả, nếu test tiếp phải log quá nhiều bug, đề nghị implement lại.</t>
      </text>
    </comment>
    <comment ref="F40" authorId="2" shapeId="0" xr:uid="{00000000-0006-0000-0600-000001000000}">
      <text>
        <r>
          <rPr>
            <sz val="11"/>
            <color rgb="FF000000"/>
            <rFont val="Calibri"/>
            <scheme val="minor"/>
          </rPr>
          <t>Màn này đã bỏ do merge chung vào MOB-008</t>
        </r>
      </text>
    </comment>
    <comment ref="F41" authorId="2" shapeId="0" xr:uid="{00000000-0006-0000-0600-000002000000}">
      <text>
        <r>
          <rPr>
            <sz val="11"/>
            <color rgb="FF000000"/>
            <rFont val="Calibri"/>
            <scheme val="minor"/>
          </rPr>
          <t>Màn này đã bỏ do merge chung vào MOB-008</t>
        </r>
      </text>
    </comment>
    <comment ref="F45" authorId="2" shapeId="0" xr:uid="{00000000-0006-0000-0600-000003000000}">
      <text>
        <r>
          <rPr>
            <sz val="11"/>
            <color rgb="FF000000"/>
            <rFont val="Calibri"/>
            <scheme val="minor"/>
          </rPr>
          <t>Hiện đổi thành MOB-14</t>
        </r>
      </text>
    </comment>
    <comment ref="F46" authorId="2" shapeId="0" xr:uid="{00000000-0006-0000-0600-000004000000}">
      <text>
        <r>
          <rPr>
            <sz val="11"/>
            <color rgb="FF000000"/>
            <rFont val="Calibri"/>
            <scheme val="minor"/>
          </rPr>
          <t>Màn 指摘事項詳細 này hiện không thấy có RD nữa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tc={ed4cbc35-a17a-4dd7-aa47-6bbd2bb2370f}</author>
    <author/>
    <author>tc={1ca51f4a-ea30-4e70-bff9-096c80bb341f}</author>
  </authors>
  <commentList>
    <comment ref="I74" authorId="0" shapeId="0" xr:uid="{ED4CBC35-A17A-4DD7-AA47-6BBD2BB2370F}">
      <text>
        <t>[Threaded comment]
Your version of Excel allows you to read this threaded comment; however, any edits to it will get removed if the file is opened in a newer version of Excel. Learn more: https://go.microsoft.com/fwlink/?linkid=870924
Comment:
    entity name chỉ có "点検" theo BD</t>
      </text>
    </comment>
    <comment ref="T288" authorId="1" shapeId="0" xr:uid="{00000000-0006-0000-5200-000001000000}">
      <text>
        <r>
          <rPr>
            <sz val="11"/>
            <color rgb="FF000000"/>
            <rFont val="Calibri"/>
            <scheme val="minor"/>
          </rPr>
          <t xml:space="preserve">SELECT e.usage_purpose,
ies.chk_float_voltage_num,                                                                        
ies.chk_electrolyte_level                                                                                                                                                                                                         
FROM rezil_esms_inspection.inspection_equipment_storage ies
        INNER JOIN site_location sl ON ies.site_location_id = sl.id                                                                                                                                        
        INNER JOIN equipment e ON ies.equipment_id = e.id
        INNER JOIN equipment_master em ON e.equipment_master_id = em.id
        INNER JOIN safety_equipment se ON em.safety_equipment_id = se.id
WHERE 
         ies.inspection_id = 1881
         AND ies.site_location_id = 2789
         ORDER BY ies.id;
LOIDH : Data lấy lên là do có last inspection
</t>
        </r>
      </text>
    </comment>
    <comment ref="T387" authorId="2" shapeId="0" xr:uid="{1CA51F4A-EA30-4E70-BFF9-096C80BB341F}">
      <text>
        <t>[Threaded comment]
Your version of Excel allows you to read this threaded comment; however, any edits to it will get removed if the file is opened in a newer version of Excel. Learn more: https://go.microsoft.com/fwlink/?linkid=870924
Comment:
    LoiDH: Lỗi do data, equiment đang thuộc 2 site khác nhau, đã điều chỉnh lại data và báo brse update sql thêm điều kiện equipment.site_id  = inspection.siteId</t>
      </text>
    </comment>
    <comment ref="T405" authorId="1" shapeId="0" xr:uid="{00000000-0006-0000-5200-000002000000}">
      <text>
        <r>
          <rPr>
            <sz val="11"/>
            <color rgb="FF000000"/>
            <rFont val="Calibri"/>
            <scheme val="minor"/>
          </rPr>
          <t>Đã đúng format YYYY/MM theo BD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tc={69ae6afd-fc42-4233-aaae-20515213f096}</author>
    <author>tc={b5dcefef-7734-4bab-a399-2cdbcf092197}</author>
    <author/>
    <author>tc={3c1e5707-dfbe-40e6-8a7d-1f7e3da1ef77}</author>
    <author>tc={e5f7357a-9d01-4cdb-a7f2-c1015bc51dba}</author>
    <author>tc={652c54af-41bb-4cea-a945-92c09d6a875d}</author>
    <author>tc={84c6a0f1-8cee-46c6-b6a8-5859c138a824}</author>
    <author>tc={8fa2a2cd-81ee-4be5-958f-e401f729f586}</author>
    <author>tc={41af9495-09b9-4c05-bdc1-1a4703fe537c}</author>
    <author>tc={20ef7c02-fc4e-4326-8c69-b3701d1057ad}</author>
  </authors>
  <commentList>
    <comment ref="J20" authorId="0" shapeId="0" xr:uid="{69AE6AFD-FC42-4233-AAAE-20515213F096}">
      <text>
        <t>[Threaded comment]
Your version of Excel allows you to read this threaded comment; however, any edits to it will get removed if the file is opened in a newer version of Excel. Learn more: https://go.microsoft.com/fwlink/?linkid=870924
Comment:
    phần này đã Q&amp;A chưa, phân quyền này khi nào làm</t>
      </text>
    </comment>
    <comment ref="I27" authorId="1" shapeId="0" xr:uid="{B5DCEFEF-7734-4BAB-A399-2CDBCF092197}">
      <text>
        <t>[Threaded comment]
Your version of Excel allows you to read this threaded comment; however, any edits to it will get removed if the file is opened in a newer version of Excel. Learn more: https://go.microsoft.com/fwlink/?linkid=870924
Comment:
    SiDD: SQL đã outdate, trong bd có thêm điều kiện join để lấy detected_inspection_id</t>
      </text>
    </comment>
    <comment ref="R27" authorId="2" shapeId="0" xr:uid="{00000000-0006-0000-5300-000001000000}">
      <text>
        <r>
          <rPr>
            <sz val="11"/>
            <color rgb="FF000000"/>
            <rFont val="Calibri"/>
            <scheme val="minor"/>
          </rPr>
          <t># 1. Hiển thị data theo truy vấn sau:
SELECT
    i.id,
    i.state,
    ir.safety_type,
    ir.repair_priority,
    ir.site_location_id,
    ir.safety_equipment_id,
    ir.equipment_id,
    ir.level1,
    ir.level2,
    ir.level3,
    ir.content,
    ir.location_information,
    ir.date_detected,
    ir.related_inspection,
    ir.attachment_ids,
    ir.date_repair_confirmed,
    ir.repair_content,
    -- JSON attachments bao gồm thông tin file
    COALESCE(
        JSON_ARRAYAGG(
            CASE
                WHEN ia.id IS NOT NULL THEN
                    JSON_OBJECT(
                        'id', ia.id,
                        'file_id', ia.file_id,
                        'note', ia.note,
                        'uploader_id', ia.uploader_id,
                        'updated_at', ia.updated_at,
                        'created_at', ia.created_at,
                        'file', JSON_OBJECT(
                            'id', f.id,
                            's3_key', f.s3_key,
                            's3_bucket', f.s3_bucket,
                            'created_at', f.created_at
                        )
                    )
            END
        ),
        JSON_ARRAY()
    ) AS attachments
FROM rezil_esms_inspection.issue i
-- Join revision mới nhất per issue
INNER JOIN rezil_esms_inspection.issue_revision ir
    ON ir.id = (
        SELECT ir2.id
        FROM rezil_esms_inspection.issue_revision ir2
        WHERE ir2.issue_id = i.id
        ORDER BY ir2.created_at DESC
        LIMIT 1
    )
-- Join attachment
LEFT JOIN rezil_esms_inspection.issue_attachment ia
    ON FIND_IN_SET(ia.id, ir.attachment_ids)
-- Join file table
LEFT JOIN file f
    ON f.id = ia.file_id
-- Lấy plan.work_start của inspection gần nhất
LEFT JOIN (
    SELECT
        p.work_start,
        p.site_id
    FROM rezil_esms_inspection.`plan` p
    INNER JOIN rezil_esms_inspection.inspection ins ON ins.id = p.inspection_id
    WHERE p.work_start &lt; NOW()
      AND p.site_id = 82
      AND ins.id != 263
    ORDER BY p.work_start DESC
    LIMIT 1
) AS previous_inspection_plan
    ON previous_inspection_plan.site_id = i.site_id
-- Filtering
WHERE i.site_id =82
AND (
        -- Những issue vẫn còn open
        i.state NOT IN (4, 99)
     OR (
        -- Những issue bị đổi trạng thái trong inspection hiện tại
        i.state IN (4, 99)
        AND i.closed_by_inspection_id = 263
     )
     OR (
        -- Những issue bị đổi trạng thái trực tiếp bên admin trong khoảng thời gian
        i.state IN (4, 99)
        AND i.closed_by_inspection_id IS NULL
        AND ir.created_at &gt; '2026-02-05 23:09:00'
        AND ir.created_at &lt; '2026-02-23 23:10:00'
     )
)
GROUP BY
    i.id,
    ir.id,
    i.created_at
ORDER BY i.created_at DESC
LIMIT 111
OFFSET 0;</t>
        </r>
      </text>
    </comment>
    <comment ref="R77" authorId="2" shapeId="0" xr:uid="{00000000-0006-0000-5300-000002000000}">
      <text>
        <r>
          <rPr>
            <sz val="11"/>
            <color rgb="FF000000"/>
            <rFont val="Calibri"/>
            <scheme val="minor"/>
          </rPr>
          <t># 1. Data hiển thị theo truy vấn sau 
SET @keyword = 'b';
SET @level1 = NULL;
SET @level2 = NULL;
SET @level3 = NULL;
SELECT
 it.id, it.level1, it.level2, it.level3,
 it.safety_type, it.content, it.repair_priority, it.is_advanced_remediation
FROM issue_template it
WHERE 1=1
 AND (@level1 IS NULL OR it.level1 = @level1)
 AND (@level2 IS NULL OR it.level2 = @level2)
 AND (@level3 IS NULL OR it.level3 = @level3)
 AND (
   @keyword = '' OR
   CAST(it.id AS CHAR) LIKE CONCAT('%', @keyword, '%')
   OR it.level1 IN (
     SELECT n.id FROM issue_node n
     WHERE n.level = 1
       AND n.name COLLATE utf8mb4_unicode_ci
           LIKE CONCAT('%', @keyword COLLATE utf8mb4_unicode_ci, '%')
   )
   OR it.level2 IN (
     SELECT n.id FROM issue_node n
     WHERE n.level = 2
       AND n.name COLLATE utf8mb4_unicode_ci
           LIKE CONCAT('%', @keyword COLLATE utf8mb4_unicode_ci, '%')
   )
   OR it.level3 IN (
     SELECT n.id FROM issue_node n
     WHERE n.level = 3
       AND n.name COLLATE utf8mb4_unicode_ci
           LIKE CONCAT('%', @keyword COLLATE utf8mb4_unicode_ci, '%')
   )
 );</t>
        </r>
      </text>
    </comment>
    <comment ref="D79" authorId="3" shapeId="0" xr:uid="{3C1E5707-DFBE-40E6-8A7D-1F7E3DA1EF77}">
      <text>
        <t>[Threaded comment]
Your version of Excel allows you to read this threaded comment; however, any edits to it will get removed if the file is opened in a newer version of Excel. Learn more: https://go.microsoft.com/fwlink/?linkid=870924
Comment:
    Chỗ này là title chứ nhỉ? Đâu phải date_repair_confirmed</t>
      </text>
    </comment>
    <comment ref="M100" authorId="4" shapeId="0" xr:uid="{E5F7357A-9D01-4CDB-A7F2-C1015BC51DBA}">
      <text>
        <t>[Threaded comment]
Your version of Excel allows you to read this threaded comment; however, any edits to it will get removed if the file is opened in a newer version of Excel. Learn more: https://go.microsoft.com/fwlink/?linkid=870924
Comment:
    NgocTTB: nhờ em lấy lại evidence nhé</t>
      </text>
    </comment>
    <comment ref="D133" authorId="5" shapeId="0" xr:uid="{652C54AF-41BB-4CEA-A945-92C09D6A875D}">
      <text>
        <t>[Threaded comment]
Your version of Excel allows you to read this threaded comment; however, any edits to it will get removed if the file is opened in a newer version of Excel. Learn more: https://go.microsoft.com/fwlink/?linkid=870924
Comment:
    Case này là title chứ nhỉ?</t>
      </text>
    </comment>
    <comment ref="I135" authorId="6" shapeId="0" xr:uid="{84C6A0F1-8CEE-46C6-B6A8-5859C138A824}">
      <text>
        <t>[Threaded comment]
Your version of Excel allows you to read this threaded comment; however, any edits to it will get removed if the file is opened in a newer version of Excel. Learn more: https://go.microsoft.com/fwlink/?linkid=870924
Comment:
    Chỗ này, theo BD thì đang có 2 case:
- Case đi vào từ bấm link tạo mới
- Case đi vào từ chọn template
=&gt; Cần tạo case riêng cho 2 trường hợp này. Nhờ SQA update lại TC
Link BD: https://docs.google.com/spreadsheets/d/15cDzvbNfkzFGCMNSGGeFc3lSmCai4iqh-TsnliCSUPU/edit?gid=1419243547#gid=1419243547&amp;range=AZ303:BV303</t>
      </text>
    </comment>
    <comment ref="M189" authorId="7" shapeId="0" xr:uid="{8FA2A2CD-81EE-4BE5-958F-E401F729F586}">
      <text>
        <t>[Threaded comment]
Your version of Excel allows you to read this threaded comment; however, any edits to it will get removed if the file is opened in a newer version of Excel. Learn more: https://go.microsoft.com/fwlink/?linkid=870924
Comment:
    NgocTTB: nhờ em chụp lại evidence</t>
      </text>
    </comment>
    <comment ref="M232" authorId="8" shapeId="0" xr:uid="{41AF9495-09B9-4C05-BDC1-1A4703FE537C}">
      <text>
        <t>[Threaded comment]
Your version of Excel allows you to read this threaded comment; however, any edits to it will get removed if the file is opened in a newer version of Excel. Learn more: https://go.microsoft.com/fwlink/?linkid=870924
Comment:
    Nhờ em lấy lại evidence nhé</t>
      </text>
    </comment>
    <comment ref="M233" authorId="9" shapeId="0" xr:uid="{20EF7C02-FC4E-4326-8C69-B3701D1057AD}">
      <text>
        <t>[Threaded comment]
Your version of Excel allows you to read this threaded comment; however, any edits to it will get removed if the file is opened in a newer version of Excel. Learn more: https://go.microsoft.com/fwlink/?linkid=870924
Comment:
    Nhờ em lấy lại evidence nhé</t>
      </text>
    </comment>
  </commentList>
</comments>
</file>

<file path=xl/sharedStrings.xml><?xml version="1.0" encoding="utf-8"?>
<sst xmlns="http://schemas.openxmlformats.org/spreadsheetml/2006/main" count="15123" uniqueCount="3333">
  <si>
    <t>Note</t>
  </si>
  <si>
    <t>IT</t>
  </si>
  <si>
    <t>Q&amp;A</t>
  </si>
  <si>
    <t>SQA</t>
  </si>
  <si>
    <t>YenLTB</t>
  </si>
  <si>
    <t>HoaNT</t>
  </si>
  <si>
    <t>NgocTTB</t>
  </si>
  <si>
    <t>FUNCTION/SCREEN/TASK LIST</t>
  </si>
  <si>
    <t>NO</t>
  </si>
  <si>
    <t>Category</t>
  </si>
  <si>
    <t>Group</t>
  </si>
  <si>
    <t>Master screen</t>
  </si>
  <si>
    <t>SCREEN CODE</t>
  </si>
  <si>
    <t>SCREEN NAME</t>
  </si>
  <si>
    <t>Fexibility Level</t>
  </si>
  <si>
    <t>OK</t>
  </si>
  <si>
    <t>ALL</t>
  </si>
  <si>
    <t>-</t>
  </si>
  <si>
    <t>MOB-001</t>
  </si>
  <si>
    <t>1 -  Easy</t>
  </si>
  <si>
    <t>MOB-002</t>
  </si>
  <si>
    <t>MOB-006</t>
  </si>
  <si>
    <t>2 - Normal</t>
  </si>
  <si>
    <t>MOB-007</t>
  </si>
  <si>
    <t>MOB-008</t>
  </si>
  <si>
    <t>MOB-010</t>
  </si>
  <si>
    <t>MOB-013</t>
  </si>
  <si>
    <t>PLAN-002</t>
  </si>
  <si>
    <t>REPORT-001</t>
  </si>
  <si>
    <t>REPORT-002</t>
  </si>
  <si>
    <t>USER-001</t>
  </si>
  <si>
    <t>TECH-001</t>
  </si>
  <si>
    <t>TECH-002</t>
  </si>
  <si>
    <t>ISSUE-001</t>
  </si>
  <si>
    <t>ISSUE-002</t>
  </si>
  <si>
    <t>TEMPLATE-001</t>
  </si>
  <si>
    <t>TEMPLATE-002</t>
  </si>
  <si>
    <t>EQUIP-001</t>
  </si>
  <si>
    <t>EQUIP-002</t>
  </si>
  <si>
    <t>EQUIP-003</t>
  </si>
  <si>
    <t>EQUIP-004</t>
  </si>
  <si>
    <t>SITE-001</t>
  </si>
  <si>
    <t>SITE-002</t>
  </si>
  <si>
    <t>MOB-014</t>
  </si>
  <si>
    <t>MOB-015</t>
  </si>
  <si>
    <t>MOB-017</t>
  </si>
  <si>
    <t>Pending</t>
  </si>
  <si>
    <t>N/A</t>
  </si>
  <si>
    <t>Remain</t>
  </si>
  <si>
    <t>UT</t>
  </si>
  <si>
    <r>
      <rPr>
        <b/>
        <sz val="20"/>
        <color theme="1"/>
        <rFont val="Arial"/>
      </rPr>
      <t xml:space="preserve">MASTER SCREEN/ TASK LIST 
</t>
    </r>
    <r>
      <rPr>
        <sz val="17"/>
        <color theme="1"/>
        <rFont val="Arial"/>
      </rPr>
      <t>Quản lý scope chính thức mà SQA tiếp nhận và đảm bảo bao phủ chất lượng</t>
    </r>
  </si>
  <si>
    <t>Quality Point</t>
  </si>
  <si>
    <t>Sprint</t>
  </si>
  <si>
    <t>BD
(tập trung vào khả năng tạo test case, vì về lý thuyết BD là INPUT cần ĐỦ và RÕ để viết được ĐỦ test case, điều kiện và expect rõ ràng. Kể cả trường hợp free test theo BD thì bản chất cũng là tạo testcase input, output trongđầu - phải rõ mới test được
Trừ các test case theo quan điểm end user có test viewpoint Riêng ko cần BD cover)</t>
  </si>
  <si>
    <t>Code</t>
  </si>
  <si>
    <t xml:space="preserve">Test Case </t>
  </si>
  <si>
    <t>PIC</t>
  </si>
  <si>
    <t>Point</t>
  </si>
  <si>
    <t>Sprint 0</t>
  </si>
  <si>
    <t>Common</t>
  </si>
  <si>
    <t>COM_01</t>
  </si>
  <si>
    <t>paging</t>
  </si>
  <si>
    <t>Sprint1</t>
  </si>
  <si>
    <t>Avarage</t>
  </si>
  <si>
    <t>事業場管理</t>
  </si>
  <si>
    <t>管理画面8画面①</t>
  </si>
  <si>
    <t>〇</t>
  </si>
  <si>
    <t>事業場一覧</t>
  </si>
  <si>
    <t>3 - Large</t>
  </si>
  <si>
    <t>3. Normal</t>
  </si>
  <si>
    <t>2. Not Good</t>
  </si>
  <si>
    <t>事業場詳細</t>
  </si>
  <si>
    <t>設備管理</t>
  </si>
  <si>
    <t>管理画面6画面③</t>
  </si>
  <si>
    <t>設備マスタ一覧</t>
  </si>
  <si>
    <t>設備マスタ詳細</t>
  </si>
  <si>
    <t>設備一覧</t>
  </si>
  <si>
    <t>設備詳細</t>
  </si>
  <si>
    <t>技術者管理</t>
  </si>
  <si>
    <t>技術者一覧</t>
  </si>
  <si>
    <t>技術者詳細</t>
  </si>
  <si>
    <t>ユーザー管理</t>
  </si>
  <si>
    <t>ユーザー一覧</t>
  </si>
  <si>
    <t>GROUP-001</t>
  </si>
  <si>
    <t>グループ権限一覧</t>
  </si>
  <si>
    <t>GROUP-002</t>
  </si>
  <si>
    <t>グループ権限詳細</t>
  </si>
  <si>
    <t>Sprint2</t>
  </si>
  <si>
    <t>モバイル</t>
  </si>
  <si>
    <t>認証・ホーム</t>
  </si>
  <si>
    <t>モバイル9画面①</t>
  </si>
  <si>
    <t>ログイン</t>
  </si>
  <si>
    <t>Tung</t>
  </si>
  <si>
    <t>-  Update lại BD message E-MSG-032 ko hiển thị dưới 2 field như hiện tại mà hiển thị dạng popup 
 E-MSG-033 hiển thị dạng gì, cũng dạng popup đúng ko</t>
  </si>
  <si>
    <t>ホーム</t>
  </si>
  <si>
    <t>事業場</t>
  </si>
  <si>
    <t>モバイル6画面②</t>
  </si>
  <si>
    <t>MOB-003</t>
  </si>
  <si>
    <t>MOB-004</t>
  </si>
  <si>
    <t>通知</t>
  </si>
  <si>
    <t>MOB-005</t>
  </si>
  <si>
    <t>通知一覧</t>
  </si>
  <si>
    <t>点検計画</t>
  </si>
  <si>
    <t>個人カレンダー</t>
  </si>
  <si>
    <t>Dat</t>
  </si>
  <si>
    <t>- Luồng di chuyển nên trình bày như màn MOB-010
-&gt; Done</t>
  </si>
  <si>
    <t>点検計画一覧</t>
  </si>
  <si>
    <t>点検計画詳細</t>
  </si>
  <si>
    <t>Sprint3</t>
  </si>
  <si>
    <t>- Bổ sung luồng di chuyển
-&gt; Done</t>
  </si>
  <si>
    <t>MOB-008-KYK</t>
  </si>
  <si>
    <t>KYK確認</t>
  </si>
  <si>
    <t>- Bổ sung luồng di chuyển
- Check comment về message trong BD
-&gt; Done</t>
  </si>
  <si>
    <t>MOB-008-PROC</t>
  </si>
  <si>
    <t>作業手順</t>
  </si>
  <si>
    <t>- Bổ sung luồng di chuyển
- Check comment về message trong BD</t>
  </si>
  <si>
    <t>点検実施</t>
  </si>
  <si>
    <t>TrungAnh</t>
  </si>
  <si>
    <t>BD chưa xong, hiện đã mô tả luồng di chuyển
Về show message chú ý note rõ dạng toast/popup...</t>
  </si>
  <si>
    <t>点検報告</t>
  </si>
  <si>
    <t>MOB-011</t>
  </si>
  <si>
    <t>- Follow trả lời Q&amp;A hiện tại
- Cần note rõ các message show dạng nào</t>
  </si>
  <si>
    <t>MOB-012</t>
  </si>
  <si>
    <t>印刷プレビュー</t>
  </si>
  <si>
    <t>指摘事項</t>
  </si>
  <si>
    <t>指摘事項一覧</t>
  </si>
  <si>
    <t>指摘事項詳細</t>
  </si>
  <si>
    <t>お知らせ</t>
  </si>
  <si>
    <t>知らせ一覧</t>
  </si>
  <si>
    <t>問い合わせ</t>
  </si>
  <si>
    <t>MOB-016</t>
  </si>
  <si>
    <t>問い合わせ一覧</t>
  </si>
  <si>
    <t>問い合わせ詳細</t>
  </si>
  <si>
    <t>掲示板</t>
  </si>
  <si>
    <t>MOB-018</t>
  </si>
  <si>
    <t>技術者掲示板一覧</t>
  </si>
  <si>
    <t>MOB-019</t>
  </si>
  <si>
    <t>技術者掲示板詳細</t>
  </si>
  <si>
    <t>マニュアル</t>
  </si>
  <si>
    <t>MOB-020</t>
  </si>
  <si>
    <t>マニュアル一覧</t>
  </si>
  <si>
    <t>MOB-021</t>
  </si>
  <si>
    <t>マニュアル詳細</t>
  </si>
  <si>
    <t>マスタ</t>
  </si>
  <si>
    <t>認証</t>
  </si>
  <si>
    <t>LOGIN-001</t>
  </si>
  <si>
    <t>共通</t>
  </si>
  <si>
    <t>AUTH-002 / HOME-001</t>
  </si>
  <si>
    <t>ダッシュボード／ホーム</t>
  </si>
  <si>
    <t>管理画面5画面②</t>
  </si>
  <si>
    <t>SCHED-001</t>
  </si>
  <si>
    <t>点検カレンダー</t>
  </si>
  <si>
    <t>点検報告一覧</t>
  </si>
  <si>
    <t>点検報告詳細</t>
  </si>
  <si>
    <t>定型文管理</t>
  </si>
  <si>
    <t>点検報告定型文一覧</t>
  </si>
  <si>
    <t>点検報告定型文詳細</t>
  </si>
  <si>
    <t>指摘事項管理</t>
  </si>
  <si>
    <t>NG</t>
  </si>
  <si>
    <t>&lt;Apply for project that have many environments)</t>
  </si>
  <si>
    <t>PC (Chrome)</t>
  </si>
  <si>
    <t>MAC (Chrome)</t>
  </si>
  <si>
    <t>MAC (Safari)</t>
  </si>
  <si>
    <t>Androi (Chrome)</t>
  </si>
  <si>
    <t>iPhone (Safari)</t>
  </si>
  <si>
    <t>iPad (Safari)</t>
  </si>
  <si>
    <t>NA</t>
  </si>
  <si>
    <t>USS001</t>
  </si>
  <si>
    <t>USS002</t>
  </si>
  <si>
    <t>Total TCs</t>
  </si>
  <si>
    <t>SYSTEM/FUNCTION</t>
  </si>
  <si>
    <t>Type</t>
  </si>
  <si>
    <t>Screen Code_Name</t>
  </si>
  <si>
    <t>Create Start Date</t>
  </si>
  <si>
    <t>Main Environment</t>
  </si>
  <si>
    <t>SQA Create</t>
  </si>
  <si>
    <t>Note/History</t>
  </si>
  <si>
    <t>% Test Progress</t>
  </si>
  <si>
    <t>TC No.</t>
  </si>
  <si>
    <t>Check Object 1</t>
  </si>
  <si>
    <t>Check Object 2</t>
  </si>
  <si>
    <t>Check content</t>
  </si>
  <si>
    <t>Pre-condition
Test Data</t>
  </si>
  <si>
    <t>Steps</t>
  </si>
  <si>
    <t>Expected Result</t>
  </si>
  <si>
    <t>Executed Date</t>
  </si>
  <si>
    <t>Evidence</t>
  </si>
  <si>
    <t xml:space="preserve">Test  UT Result
</t>
  </si>
  <si>
    <t>Status fix bug</t>
  </si>
  <si>
    <t>DEV</t>
  </si>
  <si>
    <t>Note
(Test evidence, DefectID, Actual result)</t>
  </si>
  <si>
    <t>S03_Kiểm tra_Di chuyển màn hình</t>
  </si>
  <si>
    <t>S03.1 : Kiểm tra_Các luồng tới màn hình Main</t>
  </si>
  <si>
    <t>Luồng di chuyển</t>
  </si>
  <si>
    <t>S04_Kiểm tra_Hiển Thị Khởi tạo (* Đầy đủ các mode hiển thị từ các luồng di chuyển)
S05_Kiểm tra_Hiển Thị/Xử lý sau thao tác (đối với items) (Bao gồm cả validation tầng FE)</t>
  </si>
  <si>
    <t>Layout tổng thể</t>
  </si>
  <si>
    <t>UI tổng thể</t>
  </si>
  <si>
    <t>1. Kiểm tra hiển thị</t>
  </si>
  <si>
    <t>Item type</t>
  </si>
  <si>
    <t>1. Kiểm tra loại item</t>
  </si>
  <si>
    <t>Default value</t>
  </si>
  <si>
    <t>S07_Kiểm tra Log</t>
  </si>
  <si>
    <t>Output log</t>
  </si>
  <si>
    <t>Có thể viết gộp nhiều màn hình/ nhiều ID Task trên 1 sheet nếu chúng nhỏ</t>
  </si>
  <si>
    <t>Test UT Result</t>
  </si>
  <si>
    <t>Note
(DefectID, Actual result)</t>
  </si>
  <si>
    <t>1. Đã login hệ thống</t>
  </si>
  <si>
    <t xml:space="preserve">↑										</t>
  </si>
  <si>
    <t>o</t>
  </si>
  <si>
    <t>1. Chưa login hệ thống</t>
  </si>
  <si>
    <t>Phân quyền</t>
  </si>
  <si>
    <t>Done</t>
  </si>
  <si>
    <t>Refresh màn hình</t>
  </si>
  <si>
    <t>1. Đang ở màn hình khác</t>
  </si>
  <si>
    <t>Khởi tạo</t>
  </si>
  <si>
    <t>Kiểm tra UI tổng thể</t>
  </si>
  <si>
    <t>Click</t>
  </si>
  <si>
    <t>Giá trị item</t>
  </si>
  <si>
    <t xml:space="preserve">1. Kiểm tra loại item                                                                        </t>
  </si>
  <si>
    <t xml:space="preserve">1. Confirm hiển thị </t>
  </si>
  <si>
    <t>S7_Kiểm tra Log</t>
  </si>
  <si>
    <t>Access vào screen</t>
  </si>
  <si>
    <t>Maxlength</t>
  </si>
  <si>
    <t>Chọn radio</t>
  </si>
  <si>
    <t>1. Click button はい</t>
  </si>
  <si>
    <t>1. Kiểm tra trạng thái Active/Inactive</t>
  </si>
  <si>
    <t>Kiểm tra UI/Activity/Data từng item</t>
  </si>
  <si>
    <t xml:space="preserve">1. Click button </t>
  </si>
  <si>
    <t xml:space="preserve"> </t>
  </si>
  <si>
    <t>Test IT Result</t>
  </si>
  <si>
    <t xml:space="preserve">↑                                                                                </t>
  </si>
  <si>
    <t xml:space="preserve">1. Truy cập màn hình 
</t>
  </si>
  <si>
    <t xml:space="preserve">1. Kiểm tra hiển thị </t>
  </si>
  <si>
    <t xml:space="preserve">1. Kiểm tra log </t>
  </si>
  <si>
    <t>ManhLD</t>
  </si>
  <si>
    <t xml:space="preserve">1. Check hiển thị button </t>
  </si>
  <si>
    <t>1. Click button</t>
  </si>
  <si>
    <t xml:space="preserve">Value </t>
  </si>
  <si>
    <t>1. Kiểm tra value hiển thị</t>
  </si>
  <si>
    <t>report_summary_title label</t>
  </si>
  <si>
    <t>rezil_name label</t>
  </si>
  <si>
    <t xml:space="preserve">1. Kiểm tra data hiển thị </t>
  </si>
  <si>
    <t>1. Kiểm tra label hiển thị 
2. Kiểm tra value hiển thị</t>
  </si>
  <si>
    <t>inspection_work_start/ 実施日時</t>
  </si>
  <si>
    <t>recv_capacity/受電総容量</t>
  </si>
  <si>
    <t xml:space="preserve">1. Hiển thị label 受電総容量 
2. Hiển thị site.recv_capacity
Format: &lt;site.recv_capacity&gt;
</t>
  </si>
  <si>
    <t>backup_capacity/ 予備発電容量</t>
  </si>
  <si>
    <t xml:space="preserve">1. Hiển thị label 予備発電容量
2. Hiển thị site.backup_capacity
Format: &lt;site.backup_capacity&gt;
</t>
  </si>
  <si>
    <t>site_name/事業場名</t>
  </si>
  <si>
    <t>inspection_execute_incharge/点検者</t>
  </si>
  <si>
    <t>weather/天候</t>
  </si>
  <si>
    <t>temperature/気温</t>
  </si>
  <si>
    <t xml:space="preserve">1. Hiển thị label 気温
2. Hiển thị nhiệt độ
Lấy từ plan.weather_information
Format: &lt;temperature&gt;℃
</t>
  </si>
  <si>
    <t>humidity/湿度</t>
  </si>
  <si>
    <t xml:space="preserve">1. Hiển thị label 湿度
2. Thông tin thời tiết. Hiển thị độ ẩm
Lấy từ plan.weather_information
Format: &lt;humidity&gt;%
</t>
  </si>
  <si>
    <t>report_submit_incharge/作業者</t>
  </si>
  <si>
    <t>power_status_title/受電状況</t>
  </si>
  <si>
    <t xml:space="preserve">Type </t>
  </si>
  <si>
    <t>1. Hiển thị label 受電状況</t>
  </si>
  <si>
    <t>chk_meter_replaced_flag/メーター交換の有無</t>
  </si>
  <si>
    <t>electricity_meter/取引用電力量計</t>
  </si>
  <si>
    <t xml:space="preserve">1. Kiểm tra label hiển thị 
</t>
  </si>
  <si>
    <t>1. Hiển thị label 取引用電力量計</t>
  </si>
  <si>
    <t xml:space="preserve">
inspection_date</t>
  </si>
  <si>
    <t xml:space="preserve">1. Hiển thị plan.work_start
format: MM月DD日                                                                                                                                                            </t>
  </si>
  <si>
    <t>last_time_inspection_date</t>
  </si>
  <si>
    <t>this_time_label/今回</t>
  </si>
  <si>
    <t>1. Hiển thị label 今回</t>
  </si>
  <si>
    <t>last_time_label/前回</t>
  </si>
  <si>
    <t>measurement_value/計量値</t>
  </si>
  <si>
    <t>1. Hiển thị label 計量値</t>
  </si>
  <si>
    <t xml:space="preserve">chk_energy_usage1_num/使用電力量1 </t>
  </si>
  <si>
    <t>chk_active_energy_p1_num/有効電力量P1</t>
  </si>
  <si>
    <t xml:space="preserve">chk_energy_usage2_num/使用電力量２ </t>
  </si>
  <si>
    <t xml:space="preserve">chk_energy_usage3_num/ 使用電力量３ </t>
  </si>
  <si>
    <t>total_usage/総使用量</t>
  </si>
  <si>
    <t>chk_hv_panel_demand_setpoint_num/デマンド指示値</t>
  </si>
  <si>
    <t>chk_hv_panel_power_factor_rate/力率</t>
  </si>
  <si>
    <t>high_voltage_power_receiving_panel_title</t>
  </si>
  <si>
    <t>1. Hiển thị label 高圧受電盤</t>
  </si>
  <si>
    <t>chk_voltage_rs_num/電圧 R-S</t>
  </si>
  <si>
    <t>chk_voltage_st_num/電圧 S-T</t>
  </si>
  <si>
    <t>chk_voltage_tr_num/電圧 T-R</t>
  </si>
  <si>
    <t>transformer_status_label</t>
  </si>
  <si>
    <t>1. Hiển thị label 変圧器負荷状況</t>
  </si>
  <si>
    <t>transformer_location_name</t>
  </si>
  <si>
    <t>unit</t>
  </si>
  <si>
    <t>1. Hiển thị label name là 相・台数
2. Hiển thị data trường eav.value 
SQL:
SELECT eav.value 
FROM equipment e 
LEFT JOIN equipment_attribute_value eav ON e.id = eav.equipment_id 
WHERE e.id = &lt;equipment_id&gt; AND eav.type_attribute_id = 8;</t>
  </si>
  <si>
    <t>capacity</t>
  </si>
  <si>
    <t>chk_voltage_label</t>
  </si>
  <si>
    <t>1. Hiển thị label 電 圧 (V)</t>
  </si>
  <si>
    <t>chk_voltage_rs_num</t>
  </si>
  <si>
    <t>chk_voltage_st_num</t>
  </si>
  <si>
    <t>chk_voltage_tr_num</t>
  </si>
  <si>
    <t>chk_amp_label</t>
  </si>
  <si>
    <t>1. Hiển thị label 電 流 (A)</t>
  </si>
  <si>
    <t>chk_amp_r_num</t>
  </si>
  <si>
    <t>chk_amp_s_num</t>
  </si>
  <si>
    <t>chk_amp_t_num</t>
  </si>
  <si>
    <t>chk_temperature_num</t>
  </si>
  <si>
    <t>chk_load_factor_rate</t>
  </si>
  <si>
    <t>chk_leakage_current_num</t>
  </si>
  <si>
    <t>other_high_voltage_equip_title</t>
  </si>
  <si>
    <t>1. Hiển thị label その他高圧機器</t>
  </si>
  <si>
    <t>usage_purpose</t>
  </si>
  <si>
    <t>1. Hiển thị label 用途
2. Hiển thị data trường equipment.usage_purpose</t>
  </si>
  <si>
    <t xml:space="preserve">1. Hiển thị label 容量(kVar)
2. Hiển thị data trường equipment_attribue_value.value
SQL:
SELECT eav.value 
FROM equipment e 
LEFT JOIN equipment_attribute_value eav ON e.id = eav.equipment_id 
WHERE e.id = &lt;equipment_id&gt; AND eav.type_attribute_id = 16;
</t>
  </si>
  <si>
    <t>temperature</t>
  </si>
  <si>
    <t xml:space="preserve">1. Hiển thị label 温度(℃)      </t>
  </si>
  <si>
    <t>1. Hiển thị data trường inspection_equipment_receiving.chk_temperature_num</t>
  </si>
  <si>
    <t xml:space="preserve">1. Kiểm tra hiển thị khi không có data </t>
  </si>
  <si>
    <t>1. Kiểm tra value hiển thị khi có sự sai khác với this time</t>
  </si>
  <si>
    <t>1. Hiển thị giá trị trường inspection_equipment_receiving.chk_temperature_num
1.1. Hiển thị thêm last inspection_equipment_receiving.chk_temperature_num(font nhỏ, chữ nhạt)
1.2. Khi có sự sai khác với this time, hiện background vàng nhạt</t>
  </si>
  <si>
    <t xml:space="preserve">1. Kiểm tra hiển thị khi không có sai khác gì this time </t>
  </si>
  <si>
    <t>1. Hiển thị giá trị trường inspection_equipment_receiving.chk_temperature_num
1. Hiển thị thêm  last time: last inspection_equipment_receiving.chk_temperature_num (font nhỏ, chữ nhạt)
1.1. Background không thay đổi</t>
  </si>
  <si>
    <t>1. Kiểm tra hiển thị khi không có data last inspection_equipment_receiving.chk_temperature_num</t>
  </si>
  <si>
    <t>storage_title</t>
  </si>
  <si>
    <t>site_location_name</t>
  </si>
  <si>
    <t>1. Hiển thị label 使用場所
2. Hiển thị data trường site_location.name</t>
  </si>
  <si>
    <t>chk_float_voltage_num</t>
  </si>
  <si>
    <t>chk_voltage_num</t>
  </si>
  <si>
    <t>chk_electrolyte_level</t>
  </si>
  <si>
    <t>memo</t>
  </si>
  <si>
    <t>1. Hiển thị label 
〇：良好　△：更新推奨　✕：不適合、推奨　―：該当設備無し</t>
  </si>
  <si>
    <t>insulation_monitoring_title</t>
  </si>
  <si>
    <t>1. Hiển thị label 絶縁監視装置</t>
  </si>
  <si>
    <t>insulation_monitoring_no_label</t>
  </si>
  <si>
    <t>1. Hiển thị label 絶縁装置No</t>
  </si>
  <si>
    <t>communication_test_label</t>
  </si>
  <si>
    <t>alarm_status_labell</t>
  </si>
  <si>
    <t>insulation_monitoring_no_value</t>
  </si>
  <si>
    <t>inspection_result_label</t>
  </si>
  <si>
    <t>1. Hiển thị label  設備点検結果</t>
  </si>
  <si>
    <t>inspection_result_note</t>
  </si>
  <si>
    <t>chk_incoming_line</t>
  </si>
  <si>
    <t>chk_section_switch_cabinet</t>
  </si>
  <si>
    <t>chk_high_voltage_cable</t>
  </si>
  <si>
    <t>chk_bus_line_support</t>
  </si>
  <si>
    <t>chk_lightning_arrester</t>
  </si>
  <si>
    <t>chk_instrument_transformer</t>
  </si>
  <si>
    <t>chk_breaker_disconnect_switch</t>
  </si>
  <si>
    <t>chk_switch_high_voltage_fuse</t>
  </si>
  <si>
    <t>chk_transformer</t>
  </si>
  <si>
    <t>chk_condenser_reactor</t>
  </si>
  <si>
    <t>chk_protection_relay</t>
  </si>
  <si>
    <t>chk_grounding_status</t>
  </si>
  <si>
    <t>chk_distribution_panel</t>
  </si>
  <si>
    <t>chk_power_generation_storage</t>
  </si>
  <si>
    <t>chk_electric_room_cubicle</t>
  </si>
  <si>
    <t>chk_fire_extinguisher</t>
  </si>
  <si>
    <t>chk_insulation_monitoring_device</t>
  </si>
  <si>
    <t>chk_pcb_equipment_status</t>
  </si>
  <si>
    <t>chk_sub_distribution_low_voltage</t>
  </si>
  <si>
    <t>chk_load_equipment</t>
  </si>
  <si>
    <t>chk_low_voltage_wiring_devices</t>
  </si>
  <si>
    <t>chk_other</t>
  </si>
  <si>
    <t>inspection_result_title</t>
  </si>
  <si>
    <t>1. Hiển thị label 本日の点検結果</t>
  </si>
  <si>
    <t>location_result</t>
  </si>
  <si>
    <t xml:space="preserve">Nguồn lấy data </t>
  </si>
  <si>
    <t>1. Kiểm tra hiển thị data this time</t>
  </si>
  <si>
    <t xml:space="preserve">1. Thông tin sẽ bao gồm đánh giá tổng thể chung của toàn bộ record tương ứng trong bảng inspection_location
Data get từ SQL sau:
SELECT
MAX(il.location_result)                                                                                                                                                                                                                                                                            
FROM inspection_location il    
WHERE 
         il.inspection_id = :current_inspection.id
GROUP BY il.inspection_id
</t>
  </si>
  <si>
    <t>1. Kiểm tra hiển thị data last time</t>
  </si>
  <si>
    <t xml:space="preserve">1. Thông tin sẽ bao gồm đánh giá tổng thể chung của toàn bộ record tương ứng trong bảng inspection_location
Data get từ SQL sau:
SELECT
MAX(il.location_result)                                                                                                                                                                                                                                                                            
FROM inspection_location il    
WHERE 
         il.inspection_id = :last_inspection.id
GROUP BY il.inspection_id
</t>
  </si>
  <si>
    <t>Toggle 前回の値を表示: OFF</t>
  </si>
  <si>
    <t xml:space="preserve">1. Kiểm tra value hiển thị </t>
  </si>
  <si>
    <t>1. Chỉ hiển thị value this time
Data get từ field inspection_location.location_result</t>
  </si>
  <si>
    <t>this time
MAX(inspection_location.location_result) =1</t>
  </si>
  <si>
    <t>1. Hiện thị : 本日の点検の結果、特に異常はありませんでした。</t>
  </si>
  <si>
    <t>this time
MAX(inspection_location.location_result) =2</t>
  </si>
  <si>
    <t>this time
MAX(inspection_location.location_result) =3</t>
  </si>
  <si>
    <t>1. Hiển thị: blank</t>
  </si>
  <si>
    <t>Toggle 前回の値を表示: ON</t>
  </si>
  <si>
    <t>1.1. Hiển thị thêm last time (font nhỏ, chữ nhạt)
1.2. Khi có sự sai khác với this time, hiện background vàng nhạt</t>
  </si>
  <si>
    <t>1.1 Hiển thị thêm  last time (font nhỏ, chữ nhạt)
1.2. Background không thay đổi</t>
  </si>
  <si>
    <t xml:space="preserve">1. Kiểm tra hiển thị khi không có data  last time </t>
  </si>
  <si>
    <t>last time
MAX(inspection_location.location_result) =1</t>
  </si>
  <si>
    <t>last time
MAX(inspection_location.location_result) =2</t>
  </si>
  <si>
    <t>last time
MAX(inspection_location.location_result) =3</t>
  </si>
  <si>
    <t>remark_label</t>
  </si>
  <si>
    <t>Load data list danh sách remarks của inspection hiện tại</t>
  </si>
  <si>
    <t xml:space="preserve">1. Kiểm tra hiển thị list danh sách remarks của inspection hiện tại
</t>
  </si>
  <si>
    <t>remark_category</t>
  </si>
  <si>
    <t xml:space="preserve">Có remark </t>
  </si>
  <si>
    <t>remark_content</t>
  </si>
  <si>
    <t>Không có issue</t>
  </si>
  <si>
    <t>Load data list danh sách issue của inspection hiện tại</t>
  </si>
  <si>
    <t xml:space="preserve">1. Kiểm tra hiển thị list danh sách issue  của inspection hiện tại
</t>
  </si>
  <si>
    <t>issue_safety_type</t>
  </si>
  <si>
    <t xml:space="preserve">Có issue </t>
  </si>
  <si>
    <t>issue_repair_priority</t>
  </si>
  <si>
    <t>issue_site_location</t>
  </si>
  <si>
    <t>date_detected</t>
  </si>
  <si>
    <t>issue_content</t>
  </si>
  <si>
    <t>date_repair_confirmed</t>
  </si>
  <si>
    <t>1. Hiển thị label ◆絶縁監視装置 (詳細)</t>
  </si>
  <si>
    <t>location_name</t>
  </si>
  <si>
    <t>insulation_monitoring_num</t>
  </si>
  <si>
    <t>remark_detail_label</t>
  </si>
  <si>
    <t xml:space="preserve">Load data list danh sách remarks của inspection hiện tại:
badge_category, site_location,inspection_result_item, usage_purpose, remark_content, remark_thumnail_image
</t>
  </si>
  <si>
    <t>badge_category</t>
  </si>
  <si>
    <t>inspection_result_item</t>
  </si>
  <si>
    <t>1. Hiển thị rỗng</t>
  </si>
  <si>
    <t>remark_thumnail_image</t>
  </si>
  <si>
    <t>1. Click  thumbnail</t>
  </si>
  <si>
    <t>issue_list_title</t>
  </si>
  <si>
    <t>1. Hiển thị label ◆指摘事項 (詳細)</t>
  </si>
  <si>
    <t>issue_code</t>
  </si>
  <si>
    <t>issue_state</t>
  </si>
  <si>
    <t>issue_related_inspection_result</t>
  </si>
  <si>
    <t>issue_equipment</t>
  </si>
  <si>
    <t>issue_revision_level1</t>
  </si>
  <si>
    <t>issue_revision_level2</t>
  </si>
  <si>
    <t>issue_revision_level3</t>
  </si>
  <si>
    <t>is_advanced_remediation</t>
  </si>
  <si>
    <t>Value</t>
  </si>
  <si>
    <t>pre_operation_label</t>
  </si>
  <si>
    <t>chk_cooling_water_level</t>
  </si>
  <si>
    <t>chk_battery_voltage</t>
  </si>
  <si>
    <t>in_operation_label</t>
  </si>
  <si>
    <t>chk_output_voltage</t>
  </si>
  <si>
    <t>chk_frequency</t>
  </si>
  <si>
    <t>chk_in_rotation_speed</t>
  </si>
  <si>
    <t>post_operation_label</t>
  </si>
  <si>
    <t>chk_total_operating_hours</t>
  </si>
  <si>
    <t>chk_remaining_fuel</t>
  </si>
  <si>
    <t>external_label</t>
  </si>
  <si>
    <t>judgment_label</t>
  </si>
  <si>
    <t>HienNTT</t>
  </si>
  <si>
    <t xml:space="preserve">Test IT Result
</t>
  </si>
  <si>
    <t>SonNV</t>
  </si>
  <si>
    <t>VietLQ</t>
  </si>
  <si>
    <t>Lưu data</t>
  </si>
  <si>
    <t>Require</t>
  </si>
  <si>
    <t>Ipad Mini</t>
  </si>
  <si>
    <t>Active/Inactive</t>
  </si>
  <si>
    <t>cancel_btn/キャンセル</t>
  </si>
  <si>
    <t>1. Item hiển thị trạng thái active</t>
  </si>
  <si>
    <t>Button キャンセル</t>
  </si>
  <si>
    <t xml:space="preserve">Click </t>
  </si>
  <si>
    <t xml:space="preserve">Không có data </t>
  </si>
  <si>
    <t xml:space="preserve">1. Kiểm tra trạng thái Active/Inactive
2. Click button </t>
  </si>
  <si>
    <t xml:space="preserve">Có data </t>
  </si>
  <si>
    <t>Nhờ dev chụp evidence</t>
  </si>
  <si>
    <t xml:space="preserve">Input data </t>
  </si>
  <si>
    <t>AnhNDT</t>
  </si>
  <si>
    <t xml:space="preserve">1. Không hiển thị </t>
  </si>
  <si>
    <t>1. Ghi log như bên dưới 
User :logged_in_user_id failed to create issue. :access_url :date_time :ip_address :user_agent</t>
  </si>
  <si>
    <t>BD Detail</t>
  </si>
  <si>
    <t>REZIL-MOBILE</t>
  </si>
  <si>
    <t>BD Common</t>
  </si>
  <si>
    <t>% Testcase base on BD</t>
  </si>
  <si>
    <t>BD Layout/Wireframe/Prototype</t>
  </si>
  <si>
    <t>BD Q&amp;A, Chat, Meet</t>
  </si>
  <si>
    <t>Figma UI Design</t>
  </si>
  <si>
    <t>SQA TVP Common</t>
  </si>
  <si>
    <t>Sub Environment</t>
  </si>
  <si>
    <t>S04_Type_Label/Text</t>
  </si>
  <si>
    <t>S05_Click các button</t>
  </si>
  <si>
    <t>S04_Value/status _requirement</t>
  </si>
  <si>
    <t>S04_Active/ Inactive_requirement</t>
  </si>
  <si>
    <t>1. Click vào button manual_download_button
2. Kiểm tra nội dung last_synced_at</t>
  </si>
  <si>
    <t xml:space="preserve">2. Hiển thị đúng Format: Text "最終同期：" + &lt;YYYY/MM/DD HH:mm&gt;
Hiển thị thời gian sync gần nhất.
</t>
  </si>
  <si>
    <t>inspection_category</t>
  </si>
  <si>
    <t>plan_title</t>
  </si>
  <si>
    <t>MOB-006 Personal Calendar</t>
  </si>
  <si>
    <t xml:space="preserve">1. Kiểm tra hiển thị </t>
  </si>
  <si>
    <t>Các trường hợp offline</t>
  </si>
  <si>
    <t>Trường hợp ko có data</t>
  </si>
  <si>
    <t>SiDD</t>
  </si>
  <si>
    <t xml:space="preserve">First load </t>
  </si>
  <si>
    <t>1. Confirm hiển thị thông tin inspection execution</t>
  </si>
  <si>
    <t>Back_btn  &lt;-</t>
  </si>
  <si>
    <t>1.  Back lại màn hình trước đó</t>
  </si>
  <si>
    <t xml:space="preserve">1. Hiển thị inspection.category
1.1.Hiển thị text 月次点検 
1.2.Hiển thị text 年次点検(無停電)
1.3.Hiển thị text 年次点検(停電)
1.4.Hiển thị text 緊急対応
1.5.Hiển thị text 臨時点検
1.6.Hiển thị text 住戸点検
1.7.Hiển thị text 改修後検査
1.8.Hiển thị text 停復電操作
1.9.Hiển thị text 竣工検査
1.10.Hiển thị text 受電・作業立会い
1.11.Hiển thị text 監視装置設置・取り外し
1.12.Hiển thị text その他
</t>
  </si>
  <si>
    <t>Trường hợp access màn hình ko tồn tại id tương ứng</t>
  </si>
  <si>
    <t xml:space="preserve">1. Check hiển thị data </t>
  </si>
  <si>
    <t>1. Button hiển thị trạng thái active</t>
  </si>
  <si>
    <t>REZIL - MOBILE</t>
  </si>
  <si>
    <t>MOB-010 Inspection Execute</t>
  </si>
  <si>
    <t>Ipad mini</t>
  </si>
  <si>
    <t xml:space="preserve"> Core IT</t>
  </si>
  <si>
    <t>Detail IT</t>
  </si>
  <si>
    <t>Kiểm tra các trường hợp có thể đi đến màn hình MOB-010 Inspection Execute</t>
  </si>
  <si>
    <t>1. Open app 
2. Thực hiện login với role Engineer
3. Tại màn hình MOB-002 Home, click button 点検開始  ở Inspection Plan</t>
  </si>
  <si>
    <t>3. Hiển thị màn MOB-010 Inspection Execute</t>
  </si>
  <si>
    <t xml:space="preserve"> MOB-010_001.mp4</t>
  </si>
  <si>
    <t>LoiDH</t>
  </si>
  <si>
    <t xml:space="preserve">1. Open app 
2. Thực hiện login với role Engineer
3. Tại màn hình MOB-002 Home,  click button 詳細  ở Inspection Plan
4. Tại màn hình  MOB-008 Inspection Plan Detail, press button 点検開始 
</t>
  </si>
  <si>
    <t>3. MOB-008 Inspection Plan Detail 
4. Di chuyển sang màn hình MOB-010 Inspection Execute</t>
  </si>
  <si>
    <t>MOB-010_002.mp4</t>
  </si>
  <si>
    <t xml:space="preserve">1. Open app 
2. Thực hiện login với role Engineer
3. Tại màn hình MOB-002 Home, tab 2,  click button 報告書作成  ở Inspection Plan
4. Tại màn hình MOB-011 press button 点検項目を修正 
</t>
  </si>
  <si>
    <t>3. MOB-011 Inspection Report
4. Di chuyển sang màn hình MOB-010 Inspection Execute</t>
  </si>
  <si>
    <t>MOB-010_003.mp4</t>
  </si>
  <si>
    <t>1. Quay lại màn hình MOB-010 Inspection Execute</t>
  </si>
  <si>
    <t>1. Màn hình MOB-010 Inspection Execute được hiển thị
Data không được refesh</t>
  </si>
  <si>
    <t>MOB-010_004.mp4</t>
  </si>
  <si>
    <t>Common UI</t>
  </si>
  <si>
    <t>back button</t>
  </si>
  <si>
    <t xml:space="preserve">1. Kiểm tra hiển thị UI </t>
  </si>
  <si>
    <t>1. Hiển thị đúng design 
HIển thị &lt;-</t>
  </si>
  <si>
    <t>MOB-010_005.png</t>
  </si>
  <si>
    <t>Đi vào màn hình MOB-010 từ màn hình MOB-002</t>
  </si>
  <si>
    <r>
      <rPr>
        <sz val="11"/>
        <color rgb="FF000000"/>
        <rFont val="Arial"/>
      </rPr>
      <t>1.</t>
    </r>
    <r>
      <rPr>
        <sz val="11"/>
        <color rgb="FF000000"/>
        <rFont val="Arial"/>
      </rPr>
      <t xml:space="preserve"> Press button </t>
    </r>
    <r>
      <rPr>
        <sz val="11"/>
        <color rgb="FF000000"/>
        <rFont val="Arial"/>
      </rPr>
      <t>&lt;-</t>
    </r>
  </si>
  <si>
    <t>1. Di chuyển về màn hình MOB-002
Màn hình MOB-002 được refesh data mới nhất</t>
  </si>
  <si>
    <t>MOB-010_006.mp4</t>
  </si>
  <si>
    <r>
      <rPr>
        <sz val="10"/>
        <color theme="1"/>
        <rFont val="Arial"/>
      </rPr>
      <t xml:space="preserve">Chưa làm trong roc common 
</t>
    </r>
    <r>
      <rPr>
        <u/>
        <sz val="10"/>
        <color rgb="FF1155CC"/>
        <rFont val="Arial"/>
      </rPr>
      <t>https://rezil-electrical.atlassian.net/browse/REZIL-1020</t>
    </r>
  </si>
  <si>
    <t>Đi vào màn hình MOB-010 từ màn hình MOB-008</t>
  </si>
  <si>
    <r>
      <rPr>
        <sz val="11"/>
        <color rgb="FF000000"/>
        <rFont val="Arial"/>
      </rPr>
      <t>1.</t>
    </r>
    <r>
      <rPr>
        <sz val="11"/>
        <color rgb="FF000000"/>
        <rFont val="Arial"/>
      </rPr>
      <t xml:space="preserve"> Press button </t>
    </r>
    <r>
      <rPr>
        <sz val="11"/>
        <color rgb="FF000000"/>
        <rFont val="Arial"/>
      </rPr>
      <t>&lt;-</t>
    </r>
  </si>
  <si>
    <t>1. Di chuyển về màn hình MOB-008
Màn hình MOB-008 được refesh data mới nhất</t>
  </si>
  <si>
    <t>MOB-010_007.mp4</t>
  </si>
  <si>
    <r>
      <rPr>
        <sz val="10"/>
        <color theme="1"/>
        <rFont val="Arial"/>
      </rPr>
      <t xml:space="preserve">Chưa làm trong roc common 
</t>
    </r>
    <r>
      <rPr>
        <u/>
        <sz val="10"/>
        <color rgb="FF1155CC"/>
        <rFont val="Arial"/>
      </rPr>
      <t>https://rezil-electrical.atlassian.net/browse/REZIL-1020</t>
    </r>
  </si>
  <si>
    <t>Đi vào màn hình MOB-010 từ màn hình MOB-011</t>
  </si>
  <si>
    <r>
      <rPr>
        <sz val="11"/>
        <color rgb="FF000000"/>
        <rFont val="Arial"/>
      </rPr>
      <t>1.</t>
    </r>
    <r>
      <rPr>
        <sz val="11"/>
        <color rgb="FF000000"/>
        <rFont val="Arial"/>
      </rPr>
      <t xml:space="preserve"> Press button </t>
    </r>
    <r>
      <rPr>
        <sz val="11"/>
        <color rgb="FF000000"/>
        <rFont val="Arial"/>
      </rPr>
      <t>&lt;-</t>
    </r>
  </si>
  <si>
    <t>1. Di chuyển về màn hình MOB-008
Màn hình MOB-011 được refesh data mới nhất</t>
  </si>
  <si>
    <t>MOB-010_008.mp4</t>
  </si>
  <si>
    <r>
      <rPr>
        <sz val="10"/>
        <color theme="1"/>
        <rFont val="Arial"/>
      </rPr>
      <t xml:space="preserve">Chưa làm trong roc common 
</t>
    </r>
    <r>
      <rPr>
        <u/>
        <sz val="10"/>
        <color rgb="FF1155CC"/>
        <rFont val="Arial"/>
      </rPr>
      <t>https://rezil-electrical.atlassian.net/browse/REZIL-1020</t>
    </r>
  </si>
  <si>
    <t>1. Chuẩn bị data các bản ghi khác nhau có (hoặc cùng 1 bản ghi update data lần lượt như sau:
1.1. inspection.category=1
1.2. inspection.category=2
1.3. inspection.category=3
1.4. inspection.category=10
1.5. inspection.category=11
1.6. inspection.category=20
1.7. inspection.category=21
1.8. inspection.category=22
1.9. inspection.category=23
1.10. inspection.category=24
1.11. inspection.category=25
1.12 inspection.category=99
Kiểm tra value hiển thị</t>
  </si>
  <si>
    <t>MOB-010_009-001.png
MOB-010_009-002.png
MOB-010_009-003.png
MOB-010_009-004.png
MOB-010_009-005.png
MOB-010_009-006.png
MOB-010_009-007.png
MOB-010_009-008.png
MOB-010_009-009.png
MOB-010_009-010.png
MOB-010_009-011.png
MOB-010_009-012.png</t>
  </si>
  <si>
    <t>1. Hiển thị text: 
Data get từ field: plan.title</t>
  </si>
  <si>
    <t>MOB-010_010.png</t>
  </si>
  <si>
    <t>inspection_date_time</t>
  </si>
  <si>
    <t>Trường hợp work start và end trong cùng 1 ngày</t>
  </si>
  <si>
    <t>1. Hiển thị text: 
Data get từ field: plan.work_start + plan.work_duration 
convert theo format: 
yyyy年mm月dd日(thứ)hh:mm〜 hh:mm</t>
  </si>
  <si>
    <t>MOB-010_011.png</t>
  </si>
  <si>
    <t>Trường hợp work start và end khác ngày</t>
  </si>
  <si>
    <t>1. Hiển thị text: 
Data get từ field: plan.work_start + plan.work_duration 
convert theo format: 
yyyy年mm月dd日(thứ)hh:mm〜 翌hh:mm</t>
  </si>
  <si>
    <t>MOB-010_012.png</t>
  </si>
  <si>
    <t>execute_incharge</t>
  </si>
  <si>
    <t>1. Item được hiển thị đúng kiểu là Label/Text
Text là: 担当者: 
Data get từ field: 
'user.name 
FK enginner.uid
FK plan_assignment (với role = 1 - 実施技術者).eid
SELECT u.name
FROM inspection i
INNER JOIN plan p ON i.id = plan.inspection_id
JOIN plan_assignment pa ON pa.plan_id = p.id AND pa.role = 1
JOIN engineer e ON e.id = pa.eid
JOIN user u ON u.id = e.uid
LIMIT 1</t>
  </si>
  <si>
    <t>MOB-010_013.png</t>
  </si>
  <si>
    <t>weather_temperature_humidity</t>
  </si>
  <si>
    <t>Data json:
{"code": 0, "weather": "晴", "humidity": "70", "temperature": "23"}</t>
  </si>
  <si>
    <t>1. Hiển thị data get từ plan.weather_information
Format: icon thời tiết + &lt;nhiệt độ&gt;°C / &lt;độ ẩm&gt;%
Note: common nên chỉ test 1 case đại diện</t>
  </si>
  <si>
    <t>MOB-010_014.png</t>
  </si>
  <si>
    <t>site_location_area</t>
  </si>
  <si>
    <t xml:space="preserve">1. Hiển thị  dạng các các tab tương ứng với địa điểm kiểm tra. 
</t>
  </si>
  <si>
    <t>MOB-010_015.png</t>
  </si>
  <si>
    <t>master_room</t>
  </si>
  <si>
    <t>Tab đang được chọn</t>
  </si>
  <si>
    <t>1. Hiển thị mặc định tab đầu tiên
Text là: 取引電力計
Hiển thị ở mọi site
Hiển thị background xanh, text đậm, border-bottom</t>
  </si>
  <si>
    <t>MOB-010_016.png</t>
  </si>
  <si>
    <t>Tab chưa chọn/chưa hoàn thành</t>
  </si>
  <si>
    <t>1. Hiển thị background trắng, 60%</t>
  </si>
  <si>
    <t>MOB-010_017.png</t>
  </si>
  <si>
    <t>sample_other_room</t>
  </si>
  <si>
    <t>Get data</t>
  </si>
  <si>
    <t>1. Check hiển thị danh sách phòng (Other room-Other tab)</t>
  </si>
  <si>
    <t xml:space="preserve">1.Hiển thị data từ câu SQL sau
SELECT DISTINCT sl.id, sl.name	
FROM site_location sl	
	INNER JOIN site s ON s.id = sl.site_id
	INNER JOIN inspection i ON i.site_id = s.id
WHERE 	
	i.id = &lt;current_inspection.id&gt;
ORDER BY sl.id ASC	                                                           </t>
  </si>
  <si>
    <t>MOB-010_018.png</t>
  </si>
  <si>
    <r>
      <rPr>
        <sz val="11"/>
        <color rgb="FF000000"/>
        <rFont val="Arial"/>
      </rPr>
      <t xml:space="preserve">1. Hiển thị tab tên các phòng khác bên cạnh tab defeault
Tên phòng get từ field </t>
    </r>
    <r>
      <rPr>
        <u/>
        <sz val="11"/>
        <color rgb="FF000000"/>
        <rFont val="Arial"/>
      </rPr>
      <t>site_location.name</t>
    </r>
    <r>
      <rPr>
        <u/>
        <sz val="11"/>
        <color rgb="FF000000"/>
        <rFont val="Arial"/>
      </rPr>
      <t xml:space="preserve">
</t>
    </r>
    <r>
      <rPr>
        <sz val="11"/>
        <color rgb="FF000000"/>
        <rFont val="Arial"/>
      </rPr>
      <t xml:space="preserve">
Trường hợp nhiều phòng, hiển thị scroll ngang</t>
    </r>
  </si>
  <si>
    <t>MOB-010_019.mp4</t>
  </si>
  <si>
    <t>complete_icon
background_complete</t>
  </si>
  <si>
    <t>1. Không input đủ tất cả các mục, confirm hiển thị
2. Input vào tất cả các mục, confirm hiển thị
3.Confirm hiển thị background của tab trong trường hợp completed</t>
  </si>
  <si>
    <t>1. Không hiển thị complete icon ở tab bất kì
2. Hiển thị complete icon ở tab bất kì
3.1. Hiện thị check icon, background xanh nhạt
3.2. Hiển thị complete icon ở tab bất kì</t>
  </si>
  <si>
    <t>MOB-010_020.mp4</t>
  </si>
  <si>
    <t>sidebar_expand</t>
  </si>
  <si>
    <t>1. Kiểm tra loại item                                                                        
1. Click button sidebar_expand</t>
  </si>
  <si>
    <t>1. Item hiển thị đúng loại sidebar, mặc định mở  
Bao gồm các bước cần thực hiện
Thay đổi phụ thuộc vào từng phòng
1.Chuyển sang collapse mode</t>
  </si>
  <si>
    <t>sidebar_collapse</t>
  </si>
  <si>
    <t>1. Item hiển thị đúng loại sidebar
Trạng thái sidebar thu gọn, bao gồm các bước cần thực hiện
Thay đổi phụ thuộc vào từng phòng
1.Chuyển sang expand mode</t>
  </si>
  <si>
    <t>execution_step_expand</t>
  </si>
  <si>
    <t>1. Kiểm tra loại item                                                                        
1. Click button</t>
  </si>
  <si>
    <t>1. Hiển thị dạng lable, gồm số thứ tự step và tên step
Số thứ tự step thay đổi phụ thuộc vào từng phòng - site_location
Trường hợp đã hoàn thành nhập toàn bộ thông số của step: completed_step
Hiện thị icon checked và tên step / background xanh nhạt
1.Chuyển sang collapse mode
 Khi expand hiển thị format: 
① 
Chỉ hiện số thứ tự step, ko hiển thị tên step</t>
  </si>
  <si>
    <t xml:space="preserve">execution_step_collapse									</t>
  </si>
  <si>
    <t xml:space="preserve">1. Kiểm tra loại item   
1. Click button                                                                     </t>
  </si>
  <si>
    <t>1. Thay đổi phụ thuộc vào từng phòng - site_location
1.Chuyển sang expand mode
Khi expand hiển thị format: 
① 受電状況
Gồm số thứ tự step và tên step</t>
  </si>
  <si>
    <t>complete_step_collaps</t>
  </si>
  <si>
    <t>1. Item hiển thị đúng loại label
Hiện icon checked</t>
  </si>
  <si>
    <t>work_procedure_expand</t>
  </si>
  <si>
    <t>1. Kiểm tra loại item                                                                        
2. Click button 
3. Tại màn hình MOB-008 Procedure, click button back</t>
  </si>
  <si>
    <t>1. HIển thị dạng button 
Text là 作業手順書, có icon list
2. Di chuyển đến màn hình MOB-008 Inspect Work Procedure
3. Di chuyển về màn MOB-010, data không được refresh</t>
  </si>
  <si>
    <t>MOB-010_26.mp4</t>
  </si>
  <si>
    <t>work_procedure_collapse</t>
  </si>
  <si>
    <t>1. HIển thị dạng button 
Không có text, có icon list
2. Di chuyển đến màn hình MOB-008 Inspect Work Procedure
3. Di chuyển về màn MOB-010, data không được refresh</t>
  </si>
  <si>
    <t>collapse_sidebar_btn</t>
  </si>
  <si>
    <t xml:space="preserve">1. Kiểm tra loại item                                                                        
2 Click button </t>
  </si>
  <si>
    <t>1. HIển thị dạng button 
Text là 閉じる, có icon ＜
2.Thu gọn vùng sidebar_collapse</t>
  </si>
  <si>
    <t>expand_sidebar_btn</t>
  </si>
  <si>
    <t xml:space="preserve">1. Kiểm tra loại item                                                                        
2. Click button </t>
  </si>
  <si>
    <t>1. HIển thị dạng button 
Text là 開く, có icon ＞
2.Mở rộng vùng sidebar_expand</t>
  </si>
  <si>
    <t>remark_btn</t>
  </si>
  <si>
    <t>1. Kiểm tra loại item                                                                        
2.Confirm hiển thị số lượng remark</t>
  </si>
  <si>
    <t xml:space="preserve">1. HIển thị dạng button 
Text là 特記事項 (&lt;số lượng&gt;)
2. Hiển thị tổng số lượng inspection_remark hiện tại trong lần inspection này
</t>
  </si>
  <si>
    <t>MOB-010_030.png</t>
  </si>
  <si>
    <t>1. Click button 
2. Tại màn hình MOB-010 Add remark, click buton back
3. Click lại button, thực hiện add remark, click button back</t>
  </si>
  <si>
    <t>1.Di chuyển đến màn hình MOB-010 Add remark
2. Di chuyển về màn MOB-010, data được refresh mới nhất
3. Di chuyển về màn MOB-010, số lượng remark tăng lên 1</t>
  </si>
  <si>
    <t>MOB-010_031.mp4</t>
  </si>
  <si>
    <t>isue_btn</t>
  </si>
  <si>
    <t>1. Kiểm tra loại item                                                                        
2.Confirm hiển thị số lượng issue</t>
  </si>
  <si>
    <t>1. HIển thị dạng button 
指摘事項 (&lt;số lượng&gt;)
2. Hiển thị tổng số lượng inspection_issue hiện tại trong lần inspection này</t>
  </si>
  <si>
    <t>MOB-010_032.png</t>
  </si>
  <si>
    <t>1. Click button 
2. Tại màn hình MOB-010 Add issue, click buton back
3. Click lại button, thực hiện add iissue, click button back</t>
  </si>
  <si>
    <t>1.Di chuyển đến màn hình MOB-010 Add remark
2. Di chuyển về màn MOB-010, data được refresh mới nhất
3. Di chuyển về màn MOB-010, số lượng issue tăng lên 1</t>
  </si>
  <si>
    <t>MOB-010_033.mp4</t>
  </si>
  <si>
    <t>execution_progress</t>
  </si>
  <si>
    <t>1. Kiểm tra value</t>
  </si>
  <si>
    <t>1. Hiển thị số phòng đã hoàn thành trên tổng số phòng
Format: {complete location}/ {total}
完了</t>
  </si>
  <si>
    <t>MOB-010_034.png</t>
  </si>
  <si>
    <t>QuangDD</t>
  </si>
  <si>
    <t>execution_complete_btn</t>
  </si>
  <si>
    <t>Trường hợp các phòng chưa nhập đủ thông tin các trường require</t>
  </si>
  <si>
    <t>1. Kiểm tra loại item   
2. Kiểm tra trạng thái Active/Inactive                                                                     
3. Click button 顧客確認へ</t>
  </si>
  <si>
    <t>1. HIển thị dạng button 
Text là 顧客確認へ
2. Button hiển thị trạng thái active
3. Tiến hành validate required field ở toàn bộ các phòng (site_location)</t>
  </si>
  <si>
    <t>MOB-010_035.png</t>
  </si>
  <si>
    <t>Trường hợp các phòng nhập đủ thông tin các trường require</t>
  </si>
  <si>
    <t>MOB-010_036.png</t>
  </si>
  <si>
    <t xml:space="preserve">1.1. Tiến hành update data local hiện tại của master room và các site location vào database tương ứng.
Tiến hành tạo data report (nếu chưa tồn tại data record)                                                                                        
        1. Kiểm tra report của inspection hiện tại đã tồn tại chưa:                                                                                
                SELECT COUNT(id) as report_existed                                                                        
                FROM report                                                                        
                WHERE report.inspection_id = &lt;current_inspection.id&gt;                                                                        
        2. Nếu report_existed = 0, thực hiện insert data report                                                                                
                INSERT INTO report                                                                        
                VALUES                                                                        
                site_id = &lt;current_inspection.site_id&gt;                                                                        
                code = &lt;Format: HJSXXXXXXXXXX (10 chữ số), mapping tương ứng với report.id ví dụ: report.id = 1 -&gt; code = HJS0000000001&gt;                                                                        
                inspection_id = &lt;current_inspection.id&gt;                                                                        
                current_step = 1-IS_DRAFT                                                                        
                is_rejected = 0                                                                        
                final_issue_revision_ids = NULL                                                                        
                final_approver_id = NULL                                                                        
                final_approved_at = NULL                                                                        
                note_next_insp = NULL                                                                        
                result = NULL                                                                        
                gps_location_start_latitude = NULL                                                                        
                gps_location_start_longitude = NULL                                                                        
                gps_location_submit_latitude = NULL                                                                        
                gps_location_submit_longitude = NULL                                                                        
                created_offsite = NULL                                                                        
                updated_at = NOW()                                                                        
                created_at = NOW()                                                                        
                created_by = &lt;logged_in_user.id&gt;;                
1.2 .Di chuyển đến màn hình MOB-013, hoàn thành thực thi kiểm tra                                                        </t>
  </si>
  <si>
    <t>MOB-010_037.mp4</t>
  </si>
  <si>
    <t xml:space="preserve"> Tab  取引電力計: Inspection Location - Master Room - First tab</t>
  </si>
  <si>
    <t>取引電力計 Tab</t>
  </si>
  <si>
    <t xml:space="preserve"> 
 Kiểm tra default khi open MH MOB-010</t>
  </si>
  <si>
    <t>1. Hiển thị overlay loading data
Tab 取引電力計 được hiển thị data</t>
  </si>
  <si>
    <t>MOB-010_038.mp4</t>
  </si>
  <si>
    <r>
      <rPr>
        <sz val="11"/>
        <color rgb="FF000000"/>
        <rFont val="Arial"/>
      </rPr>
      <t xml:space="preserve">1. Giao diện màn hình được hiển thị giống với Figma 
UI Layout : Link 
</t>
    </r>
    <r>
      <rPr>
        <u/>
        <sz val="11"/>
        <color rgb="FF000000"/>
        <rFont val="Arial"/>
      </rPr>
      <t>https://www.figma.com/design/0nUR2v0mzjAhKLNU1UULQi/%E3%83%87%E3%82%B6%E3%82%A4%E3%83%B3?node-id=76-4223&amp;t=Gf5Mm92z8XUXVD7I-0</t>
    </r>
  </si>
  <si>
    <t>sidebar_step_1</t>
  </si>
  <si>
    <t>1. Item hiển thị đúng loại sidebar, 
Hiển thị cố định. Text là ① 受電状況
Khi các giá trị của các mục trong vùng 受電状況 , icon checked và background xanh nhạt</t>
  </si>
  <si>
    <t>Đang ở vùng step ② 高圧受電盤</t>
  </si>
  <si>
    <t>1. Click button sidebar step ① 受電状況</t>
  </si>
  <si>
    <t>1.Scroll về vùng step ① 受電状況</t>
  </si>
  <si>
    <t>sidebar_step_2</t>
  </si>
  <si>
    <t>1. Item hiển thị đúng loại sidebar, 
Hiển thị cố định. Text là ② 高圧受電盤
Khi các giá trị của các mục trong vùng 高圧受電盤 được nhập hết. 
Hiển thị  sang trạng thái đã nhập , icon checked và background xanh nhạt</t>
  </si>
  <si>
    <t>Đang ở vùng step ① 受電状況</t>
  </si>
  <si>
    <t>1. Click button sidebar step ② 高圧受電盤</t>
  </si>
  <si>
    <t>1.Scroll về vùng step ② 高圧受電盤</t>
  </si>
  <si>
    <t>sync_datetime</t>
  </si>
  <si>
    <t>MOB-010_044.png</t>
  </si>
  <si>
    <t>sync_download_btn</t>
  </si>
  <si>
    <t>1. HIển thị dạng button 
Text là ダウンロード</t>
  </si>
  <si>
    <t>MOB-010_045.mp4</t>
  </si>
  <si>
    <t>Trường hợp có dữ liệu đang chỉnh sửa cục bộ</t>
  </si>
  <si>
    <t>1.Hiển thị message cảnh báo dạng popup
サーバーデータで上書きしてよろしいですか？
2 button はい, いいえ</t>
  </si>
  <si>
    <t>Check trường hợp download dữ liệu thành công</t>
  </si>
  <si>
    <t>1. Tải dữ liệu trên server xuống, thực hiện ghi đè dữ liệu, và hiển thị lên field input, hiện thị toast thông báo kết quả
データのダウンロードが完了しました
Chỉ tải dữ liệu cho tab đang mở, tab khác nếu có thay đổi cũng ko tải</t>
  </si>
  <si>
    <t>Trường hợp không có dữ liệu đang chỉnh sửa cục bộ</t>
  </si>
  <si>
    <t>1.Hiển thị message cảnh báo trên
Download thành công
Cập nhật data item sync_datetime</t>
  </si>
  <si>
    <t>Check trường hợp download dữ liệu thất bại</t>
  </si>
  <si>
    <t>1. Click button はい, có lỗi xảy ra</t>
  </si>
  <si>
    <t>1. Hiển thị toast lỗi, ko download đc dữ liệu
データのダウンロードに失敗しました。もう一度お試しください</t>
  </si>
  <si>
    <t>MOB-010_049.png</t>
  </si>
  <si>
    <t>sync_upload_btn</t>
  </si>
  <si>
    <t>1. HIển thị dạng button 
Text là アップロード</t>
  </si>
  <si>
    <t>MOB-010_050.png</t>
  </si>
  <si>
    <t>Trường hợp đã có dữ liệu trên server</t>
  </si>
  <si>
    <t>1.Hiển thị message cảnh báo dạng popup
 ローカルデータをサーバーへ同期しますか？
2 button はい, いいえ</t>
  </si>
  <si>
    <t>MOB-010_051.webm</t>
  </si>
  <si>
    <t>Check trường hợp upload dữ liệu thành công</t>
  </si>
  <si>
    <t>1. Update thành công, thực hiện ghi đè dữ liệu lên server, hiện thị toast thông báo kết quả
データのアップロードが完了しました 
Chỉ upload dữ liệu cho tab đang mở, tab khác nếu có thay đổi cũng ko upload</t>
  </si>
  <si>
    <t>MOB-010_052.webm</t>
  </si>
  <si>
    <t>Trường hợp chưa có dữ liệu trên server</t>
  </si>
  <si>
    <t>MOB-010_053.mp4</t>
  </si>
  <si>
    <t>1. Hiển thị toast lỗi, ko sync đc dữ liệu 
データのアップロードに失敗しました。もう一度お試しください</t>
  </si>
  <si>
    <t>MOB-010_054.png</t>
  </si>
  <si>
    <t>1. Click button di chuyển vào màn hình này từ màn MOB-002, trường hợp ko tồn tai  current inspection info
2. Click button 閉じる</t>
  </si>
  <si>
    <t>1. HIển thị thông báo 
Title: {entity_name}存在しない
Body: 該当{entity_name}は存在しない
Entity name: 点検
2. Close popup, di chuyển về màn hình MOB-002, màn hình MOB-002 hiển thị data mới nhất</t>
  </si>
  <si>
    <t>MOB-010_055.mp4</t>
  </si>
  <si>
    <t>1. Click button di chuyển vào màn hình này từ màn MOB-008, trường hợp ko tồn tai  current inspection info
2. Click button 閉じる</t>
  </si>
  <si>
    <t>MOB-010_056.mp4</t>
  </si>
  <si>
    <t>1. Click button di chuyển vào màn hình này từ màn MOB-011, trường hợp ko tồn tai  current inspection info
2. Click button 閉じる</t>
  </si>
  <si>
    <t>1. HIển thị thông báo 
Title: {entity_name}存在しない
Body: 該当{entity_name}は存在しない
Entity name: 点検
2. Close popup, di chuyển về màn hình MOB-011, màn hình MOB-002 hiển thị data mới nhất</t>
  </si>
  <si>
    <t>MOB-010_057.mp4</t>
  </si>
  <si>
    <t>1. Check hiển thị data của current inspection info</t>
  </si>
  <si>
    <t xml:space="preserve">1.Khi access màn hình hiển thị tab phòng default, load luôn data this time, last time
Thông tin this time hiển thị data từ câu SQL sau
SELECT p.work_start, p.weather_information                                                                                                                                                                                
i.chk_hv_panel_demand_setpoint_num, 
i.chk_hv_panel_power_factor_rate, 
i.chk_meter_replaced_flag,                                                                        
i.chk_energy_usage1_num,                                                                        
i.chk_active_energy_p1_num,                                                                        
i.chk_reactive_energy_p2_num,                                                                        
i.chk_energy_usage2_num,                                                                        
i.chk_energy_usage3_num,                                                                                                                                                                                                        
i.chk_voltage_rs_num,                                                                        
i.chk_voltage_st_num,                                                                        
i.chk_voltage_tr_num,                                                                        
i.chk_amp_r_num,                                                                        
i.chk_amp_s_num,                                                                        
i.chk_amp_t_num                                                                                                                                                                
FROM inspection i                                                                                                                                                                                
        INNER JOIN plan p ON i.id = p.inspection_id                                                                                                                                                                        
WHERE i.id = :current_inspection_id                                                                                                                                                                                
        AND p.state = 11-IS_REPORT_IN_PROGRESS;                                                                                                                                                                                                                                                               </t>
  </si>
  <si>
    <t>MOB-010_058.png</t>
  </si>
  <si>
    <t>1. Check last time inspection</t>
  </si>
  <si>
    <t xml:space="preserve">1.Hiển thị data từ câu SQL sau
SELECT i.id AS last_inspection_id                
FROM inspection i                
        INNER JOIN plan p ON i.id = p.inspection_id        
WHERE i.category = &lt;current_inspection.category&gt;                  
        AND i.id &lt;&gt; :&lt;current_inspection.id&gt;        
        AND p.work_start &lt; NOW()        
        AND plan.state IN (12 - 報告書作成済, 13 - 報告書承認, 20 - 顧客報告)        
ORDER BY p.work_start DESC LIMIT 1                                                                  
</t>
  </si>
  <si>
    <t>MOB-010_059.mp4</t>
  </si>
  <si>
    <t>All item tab 取引電力計</t>
  </si>
  <si>
    <t>1. Kiểm tra data this tim ở tab 取引電力計
2. Kiểm tra data last time ở tab 取引電力計</t>
  </si>
  <si>
    <t>1. this time - chữ đậm: input lần nhập hiện tại 
2. last time - chữ nhạt: data của lần trước.</t>
  </si>
  <si>
    <t>1.Confirm hiển thị các item có thể input ở tab  取引電力計
2. Tap focus lần lượt vào các text input này
3. Input lần lượt vào các text input
4. Click button back ra màn hình khác rồi qua lại màn hình</t>
  </si>
  <si>
    <t>1. Hiển thi dạng có thể input được 
Trừ các item sau: 力率, 乗率 , メーター交換  , 総使用量                                                                                                                                              
2  Bàn phím số được bật
3. Hiển thị giá trị đã input
4. Vào đúng phòng trước đó thoát ra, Item vẫn hiển thị giá trị đã input trước đó</t>
  </si>
  <si>
    <t>MOB-010_061.mp4</t>
  </si>
  <si>
    <t>1.Confirm hiển thị khi first load trường hợp data this time local # server</t>
  </si>
  <si>
    <t xml:space="preserve">1. Hiển thị background vàng
</t>
  </si>
  <si>
    <t>1.Confirm hiển thị khi first load trường hợp data this time local giống server</t>
  </si>
  <si>
    <t>1. Hiển thị background trắng</t>
  </si>
  <si>
    <t>1.Confirm hiển thị khi click button download thành công
2. User thay đổi data this time ở field bất kì</t>
  </si>
  <si>
    <t>1. Hiển thị background trắng
2. Hiển thị background vàng</t>
  </si>
  <si>
    <t>1.Confirm hiển thị khi click button upload thành công
2. User thay đổi data this time ở field bất kì</t>
  </si>
  <si>
    <t>All item require tab 取引電力計</t>
  </si>
  <si>
    <t xml:space="preserve">Các item require thuộc tab master room như sau:
デマンド指示値※                                                                   
メーター交換                                                                        
使用電力量1※                                                                   
有効電力量P1※                                                                    
無効電力量P2※ 
                                                                     </t>
  </si>
  <si>
    <t>1. Không input các item require
2. Focus out 
3. Input vào các item require ở tab này</t>
  </si>
  <si>
    <r>
      <rPr>
        <sz val="11"/>
        <color rgb="FF000000"/>
        <rFont val="Arial"/>
      </rPr>
      <t>1.Tô đỏ khung
Có background đỏ nhạt
Hiện label 必須</t>
    </r>
    <r>
      <rPr>
        <sz val="11"/>
        <color rgb="FF000000"/>
        <rFont val="Arial"/>
      </rPr>
      <t xml:space="preserve">
2.Hiển thị error required ở các item require
</t>
    </r>
    <r>
      <rPr>
        <sz val="11"/>
        <color rgb="FF000000"/>
        <rFont val="Arial"/>
      </rPr>
      <t xml:space="preserve">Tô đỏ khung
Có background đỏ nhạt
Hiện label 必須
</t>
    </r>
    <r>
      <rPr>
        <sz val="11"/>
        <color rgb="FF000000"/>
        <rFont val="Arial"/>
      </rPr>
      <t>Các item ko require hiển thị bình thường
3. Số phòng đã hoàn thành trên tổng số phòng tăng lên 1
Format: {complete location}/ {total}
完了
Step1 hiển thị tick completed
Step2: ko có item require nên luôn hiển thị tick completed</t>
    </r>
  </si>
  <si>
    <t>MOB-010_066.mp4</t>
  </si>
  <si>
    <t xml:space="preserve">1. Không input các item require 
2. Clck chuyển tab phòng khác
</t>
  </si>
  <si>
    <t>1. Không hiển thị lỗi ở các field require khi first load
2.1.Tô đỏ khung
Có background đỏ nhạt
Hiện label 必須
Step (sidebar) nào có error, hiển thị mark ! tương ứng
Phòng (site_location) có error, hiển thị mark ! tương ứng
2.2. Vẫn mở phòng khác bình thường</t>
  </si>
  <si>
    <t>All item có define min,max tab 取引電力計</t>
  </si>
  <si>
    <t xml:space="preserve">1. Input lần lượt vào vào text input số ngoài khoảng min max (min-1 hoặc max+1)
2. Focus out
</t>
  </si>
  <si>
    <r>
      <rPr>
        <sz val="11"/>
        <color rgb="FF000000"/>
        <rFont val="Arial"/>
      </rPr>
      <t>1. Tô đỏ khung        
Có background đỏ nhạt        
Xoá input đã nhập        
Hiện thị label tương ứng với phạm vi input 
format 入力範囲：{min}〜{max}        
2.Tô đỏ khung
Có background đỏ nhạt</t>
    </r>
    <r>
      <rPr>
        <sz val="11"/>
        <color rgb="FFFF0000"/>
        <rFont val="Arial"/>
      </rPr>
      <t xml:space="preserve"> (với các field require)</t>
    </r>
    <r>
      <rPr>
        <sz val="11"/>
        <color rgb="FF000000"/>
        <rFont val="Arial"/>
      </rPr>
      <t xml:space="preserve">
Hiện label 必須</t>
    </r>
  </si>
  <si>
    <t>MOB-010_068.mp4</t>
  </si>
  <si>
    <t>All item có define kiểu dữ liệu decimal, integer tab 取引電力計</t>
  </si>
  <si>
    <r>
      <rPr>
        <sz val="11"/>
        <color rgb="FF000000"/>
        <rFont val="Arial"/>
      </rPr>
      <t>1</t>
    </r>
    <r>
      <rPr>
        <sz val="11"/>
        <color rgb="FF000000"/>
        <rFont val="Arial"/>
      </rPr>
      <t>. Nhập vào text input khác kiểu dữ liệu cho phép, Focus out
2. Nhập vào text input số khác format cho phép, Focus out</t>
    </r>
  </si>
  <si>
    <t>1. Ko thể nhập khác kiểu dữ liệu cho phép hoặc Giá trị đã nhập bị reset về blank, hiển thị error input range
2. Giá trị đã nhập được làm tròn về format đã define</t>
  </si>
  <si>
    <t>MOB-010_069.mp4</t>
  </si>
  <si>
    <t>TAB Default: Step ① 受電状況</t>
  </si>
  <si>
    <t>power_status_title</t>
  </si>
  <si>
    <t>1. Item được hiển thị đúng kiểu là Label/Text
Text là 受電状況</t>
  </si>
  <si>
    <t>MOB-010_70.png</t>
  </si>
  <si>
    <t>recv_capacity</t>
  </si>
  <si>
    <t xml:space="preserve">1. Confirm hiển thị 
2. Confirm hiển thị trong trường hợp có data
                                                                    </t>
  </si>
  <si>
    <t>1. Item được hiển thị đúng kiểu là Label/Text
Text là 受電総容量：
2.Data get từ field: site.recv_capacity</t>
  </si>
  <si>
    <t>MOB-010_71.png</t>
  </si>
  <si>
    <t>backup_capacity</t>
  </si>
  <si>
    <t>1. Item được hiển thị đúng kiểu là Label/Text
Text là 予備発電容量：
2. Data get từ field: site.backup_capacity</t>
  </si>
  <si>
    <t>MOB-010_72.png</t>
  </si>
  <si>
    <t xml:space="preserve">inspection_date </t>
  </si>
  <si>
    <r>
      <rPr>
        <sz val="11"/>
        <color rgb="FF000000"/>
        <rFont val="Arial"/>
      </rPr>
      <t>1. Item được hiển thị đúng kiểu là Label/Text
Text là</t>
    </r>
    <r>
      <rPr>
        <sz val="11"/>
        <color rgb="FF000000"/>
        <rFont val="Arial"/>
      </rPr>
      <t xml:space="preserve"> 取引用電力量計</t>
    </r>
    <r>
      <rPr>
        <sz val="11"/>
        <color rgb="FF000000"/>
        <rFont val="Arial"/>
      </rPr>
      <t xml:space="preserve">※ </t>
    </r>
    <r>
      <rPr>
        <sz val="11"/>
        <color rgb="FF000000"/>
        <rFont val="Arial"/>
      </rPr>
      <t xml:space="preserve">
</t>
    </r>
    <r>
      <rPr>
        <sz val="11"/>
        <color rgb="FF000000"/>
        <rFont val="Arial"/>
      </rPr>
      <t>2. Data get từ field: 
this time: Data hiển thị là ngày hiện tại
Format MM/DD
Không cho phép input
last time: last inspection -&gt; work_start 
format MM/DD</t>
    </r>
  </si>
  <si>
    <t>MOB-010_073.png</t>
  </si>
  <si>
    <t>chk_hv_panel_demand_setpoint_num</t>
  </si>
  <si>
    <r>
      <rPr>
        <sz val="11"/>
        <color rgb="FF000000"/>
        <rFont val="Arial"/>
      </rPr>
      <t xml:space="preserve">1. Item được hiển thị đúng kiểu là Label/Text
Text là </t>
    </r>
    <r>
      <rPr>
        <sz val="11"/>
        <color rgb="FF000000"/>
        <rFont val="Arial"/>
      </rPr>
      <t>デマンド指示値</t>
    </r>
    <r>
      <rPr>
        <sz val="11"/>
        <color rgb="FF000000"/>
        <rFont val="Arial"/>
      </rPr>
      <t xml:space="preserve">※ </t>
    </r>
  </si>
  <si>
    <t>chk_hv_panel_demand_setpoint_num (this time)</t>
  </si>
  <si>
    <t>Syndata</t>
  </si>
  <si>
    <t>Download data</t>
  </si>
  <si>
    <t>1. Input vào text input số bất kì trong khoảng min, max
2. Press button ダウンロード
3. Click button  はい</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</si>
  <si>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inspection.chk_hv_panel_demand_setpoint_num</t>
  </si>
  <si>
    <t>MOB-010_075.webm</t>
  </si>
  <si>
    <t>Upload data</t>
  </si>
  <si>
    <t>1. Input vào text input số bất kì trong khoảng min, max
2. Press button アップロード
3. Click button  はい
4.Confirm DB</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</si>
  <si>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4.Lưu DB field:
inspection.chk_hv_panel_demand_setpoint_num
</t>
  </si>
  <si>
    <t>MOB-010_076.webm</t>
  </si>
  <si>
    <t>chk_hv_panel_demand_setpoint_num (last time)</t>
  </si>
  <si>
    <t>1. Hiển thị text: 
Data get từ field: 
last time: last inspection.chk_hv_panel_demand_setpoint_num
(Trường hợp không có last time: last inspection: không hiện)</t>
  </si>
  <si>
    <t>MOB-010_077.webm</t>
  </si>
  <si>
    <t>chk_hv_panel_power_factor_rate</t>
  </si>
  <si>
    <t>1. Item được hiển thị đúng kiểu là Label/Text
Text là 力率
2. Hiện thị data tự động tính toán
this time: Tự động tính dựa trên công thức = P1 / Căn bậc 2 (P1^2 + P2^2) * 100
trong đó P1 = inspection.chk_active_energy_p1_num
P2 = inspection.chk_reactive_energy_p2_num
last time: last inspection.chk_hv_panel_power_factor_rate
Khi hiển thị làm tròn đến hàng đơn vị (không có thập phân)</t>
  </si>
  <si>
    <t>MOB-010_078.mp4</t>
  </si>
  <si>
    <t>Phần này BrSE đang hiểu sai công thức. Expect công thức = P1 / Căn bậc 2 (P1^2 + P2^2) * 100</t>
  </si>
  <si>
    <t>site_electric_meter_multiplier</t>
  </si>
  <si>
    <t>1. Item được hiển thị đúng kiểu là Label/Text
Text là 乗率
2. Hiển thị data get từ field site.electric_meter_multiplier
Format: x{site.electric_meter_multiplier}</t>
  </si>
  <si>
    <t>MOB-010_079.png</t>
  </si>
  <si>
    <t>chk_meter_replaced_flag</t>
  </si>
  <si>
    <t xml:space="preserve">1. Item được hiển thị đúng kiểu là Label/Text
Text là メーター交換
1. Hiển thị dạng chọn flag
Hiện thị 2 lựa chọn: なし (false) あり(true)
Default chọn :なし
</t>
  </si>
  <si>
    <t>1.Chọn vào option bất kì
2.Confirm background hiển thị</t>
  </si>
  <si>
    <t>2. Giá trị đã chọn hiển thị background xanh, text trắng
 Giá trị ko chọn : hiển thị background xám, text đen</t>
  </si>
  <si>
    <t>Syns data</t>
  </si>
  <si>
    <t>1.Chọn vào option なし
2. Press button ダウンロード
3. Click button  はい</t>
  </si>
  <si>
    <t>1. Select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inspection.chk_meter_replaced_flag=0 =&gt; なし được check
inspection.chk_meter_replaced_flag=1 =&gt; あり được check</t>
  </si>
  <si>
    <t>MOB-010_082.webm</t>
  </si>
  <si>
    <t xml:space="preserve">
2. Press button アップロード
3. Click button  はい
4.Confirm DB
5.Chọn vào option あり
6. Press button アップロード
7. Click button  はい
8. Confirm DB</t>
  </si>
  <si>
    <t xml:space="preserve">4. Lưu DB field
this time: inspection.chk_meter_replaced_flag = 0
8. Lưu DB field
this time: inspection.chk_meter_replaced_flag = 1
</t>
  </si>
  <si>
    <t>MOB-010_083.webm</t>
  </si>
  <si>
    <t>chk_energy_usage1_num</t>
  </si>
  <si>
    <r>
      <rPr>
        <sz val="11"/>
        <color rgb="FF000000"/>
        <rFont val="Arial"/>
      </rPr>
      <t xml:space="preserve">1. Item được hiển thị đúng kiểu là Label/Text
Text là </t>
    </r>
    <r>
      <rPr>
        <sz val="11"/>
        <color rgb="FF000000"/>
        <rFont val="Arial"/>
      </rPr>
      <t xml:space="preserve">使用電力量1※ </t>
    </r>
  </si>
  <si>
    <t>chk_energy_usage1_num (last time)</t>
  </si>
  <si>
    <t>1. Hiển thị text: 
Data get từ field: 
last time: last inspection.chk_energy_usage1_num
(Trường hợp k có last time: last inspection: không hiện)</t>
  </si>
  <si>
    <t>MOB-010_085.webm</t>
  </si>
  <si>
    <t>chk_energy_usage1_num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</si>
  <si>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inspection.chk_energy_usage1_num</t>
  </si>
  <si>
    <t>MOB-010_086.webm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</si>
  <si>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inspection.chk_energy_usage1_num</t>
  </si>
  <si>
    <t>MOB-010_087.webm</t>
  </si>
  <si>
    <t>chk_active_energy_p1_num</t>
  </si>
  <si>
    <t xml:space="preserve">1. Item được hiển thị đúng kiểu là Label/Text
Hiển thị text: 有効電力量P1※ </t>
  </si>
  <si>
    <t>chk_active_energy_p1_num (last time)</t>
  </si>
  <si>
    <r>
      <rPr>
        <sz val="11"/>
        <color rgb="FF000000"/>
        <rFont val="Arial"/>
      </rPr>
      <t xml:space="preserve">1. Data get từ field: 
</t>
    </r>
    <r>
      <rPr>
        <sz val="11"/>
        <color rgb="FF000000"/>
        <rFont val="Arial"/>
      </rPr>
      <t>nspection.chk_active_energy_p1_num</t>
    </r>
    <r>
      <rPr>
        <sz val="11"/>
        <color rgb="FF000000"/>
        <rFont val="Arial"/>
      </rPr>
      <t xml:space="preserve">
last time: last inspection.chk_active_energy_p1_num
(Trường hợp k có last time: last inspection: không hiện)</t>
    </r>
  </si>
  <si>
    <t>MOB-010_089.webm</t>
  </si>
  <si>
    <t>chk_active_energy_p1_num (this time)</t>
  </si>
  <si>
    <t>Sync data</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</si>
  <si>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chk_active_energy_p1_num</t>
  </si>
  <si>
    <t>MOB-010_090.webm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</si>
  <si>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chk_active_energy_p1_num</t>
  </si>
  <si>
    <t>MOB-010_091.webm</t>
  </si>
  <si>
    <t>chk_reactive_energy_p2_num</t>
  </si>
  <si>
    <r>
      <rPr>
        <sz val="11"/>
        <color rgb="FF000000"/>
        <rFont val="Arial"/>
      </rPr>
      <t xml:space="preserve">1. Item được hiển thị đúng kiểu là Label/Text
Text là </t>
    </r>
    <r>
      <rPr>
        <sz val="11"/>
        <color rgb="FF000000"/>
        <rFont val="Arial"/>
      </rPr>
      <t>無効電力量P2※</t>
    </r>
  </si>
  <si>
    <t>chk_reactive_energy_p2_num (last time)</t>
  </si>
  <si>
    <t>1. Hiển thị text: 
Data get từ field: 
last time: last inspection.chk_reactive_energy_p2_num
(Trường hợp k có last time: last inspection: không hiện)</t>
  </si>
  <si>
    <t>MOB-010_093.webm</t>
  </si>
  <si>
    <t>chk_reactive_energy_p2_num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</si>
  <si>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inspection.chk_reactive_energy_p2_num</t>
  </si>
  <si>
    <t>MOB-010_094.webm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</si>
  <si>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inspection.chk_reactive_energy_p2_num</t>
  </si>
  <si>
    <t>MOB-010_095.webm</t>
  </si>
  <si>
    <t>chk_energy_usage2_num</t>
  </si>
  <si>
    <t>1. Item được hiển thị đúng kiểu là Label/Text
Text là 使用電力量２</t>
  </si>
  <si>
    <t>chk_energy_usage2_num (last time)</t>
  </si>
  <si>
    <t>1. Hiển thị text: 
Data get từ field: 
last time: last inspection.chk_energy_usage2_num
(Trường hợp k có last time: last inspection: không hiện)</t>
  </si>
  <si>
    <t>MOB-010_097.webm</t>
  </si>
  <si>
    <t>chk_energy_usage2_num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</si>
  <si>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inspection.chk_energy_usage2_num</t>
  </si>
  <si>
    <t>MOB-010_098.webm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</si>
  <si>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inspection.chk_energy_usage2_num</t>
  </si>
  <si>
    <t>MOB-010_099.webm</t>
  </si>
  <si>
    <t>chk_energy_usage3_num</t>
  </si>
  <si>
    <t>1. Item được hiển thị đúng kiểu là Label/Text
Text là 使用電力量３</t>
  </si>
  <si>
    <t>chk_energy_usage3_num (last time)</t>
  </si>
  <si>
    <t>1. Hiển thị text: 
Data get từ field: 
last time: last inspection.chk_energy_usage3_num
(Trường hợp k có last time: last inspection: không hiện)</t>
  </si>
  <si>
    <t>MOB-010_101.webm</t>
  </si>
  <si>
    <t>chk_energy_usage3_num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</si>
  <si>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inspection.chk_energy_usage3_num</t>
  </si>
  <si>
    <t>MOB-010_102.webm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</si>
  <si>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inspection.chk_energy_usage3_num</t>
  </si>
  <si>
    <t>MOB-010_103.webm</t>
  </si>
  <si>
    <t>total_usage</t>
  </si>
  <si>
    <t>1. Item được hiển thị đúng kiểu là Label/Text
Text là 総使用量</t>
  </si>
  <si>
    <t>total_usage (last time)</t>
  </si>
  <si>
    <t>Trường hợp k có last time: last inspection</t>
  </si>
  <si>
    <t>1. Hiển thị text: 
last_time = blank</t>
  </si>
  <si>
    <t>MOB-010_105.png</t>
  </si>
  <si>
    <t>Đang hiển thị 0</t>
  </si>
  <si>
    <t>Trường hợp có last time: last inspection</t>
  </si>
  <si>
    <t>1. Hiển thị text: 
Data get từ field: 
last_time = last time: last inspection.chk_energy_usage1_num</t>
  </si>
  <si>
    <t>MOB-010_106.png</t>
  </si>
  <si>
    <t>total_usage (this time)</t>
  </si>
  <si>
    <t>1. Hiển thị text: 
this_time = inspection.chk_energy_usage1_num</t>
  </si>
  <si>
    <t>MOB-010_107.png</t>
  </si>
  <si>
    <t>1. Hiển thị text: 
this_time = inspection.chk_energy_usage1_num - last time: last inspection.chk_energy_usage1_num</t>
  </si>
  <si>
    <t>MOB-010_108.png</t>
  </si>
  <si>
    <t>TAB Default: Step ② 高圧受電盤</t>
  </si>
  <si>
    <t>1. Item được hiển thị đúng kiểu là Label/Text
Text là 高圧受電盤</t>
  </si>
  <si>
    <t>1. Item được hiển thị đúng kiểu là Label/Text
Group column text là 電圧(V) column name R-S</t>
  </si>
  <si>
    <t>chk_voltage_rs_num (last time)</t>
  </si>
  <si>
    <t>1. Hiển thị text: 
Data get từ field: 
last time: last inspection.chk_voltage_rs_num
(Trường hợp k có last time: last inspection: không hiện)</t>
  </si>
  <si>
    <t>MOB-010_111.webm</t>
  </si>
  <si>
    <t>chk_voltage_rs_num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</si>
  <si>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inspection.chk_voltage_rs_num</t>
  </si>
  <si>
    <t>MOB-010_112.webm</t>
  </si>
  <si>
    <t xml:space="preserve">Query lấy last inspection tham khảo
SELECT 
    p.work_start,
    i.chk_hv_panel_demand_setpoint_num,
    i.chk_hv_panel_power_factor_rate,
    i.chk_meter_replaced_flag,
    i.chk_energy_usage1_num,
    i.chk_active_energy_p1_num,
    i.chk_reactive_energy_p2_num,
    i.chk_energy_usage2_num,
    i.chk_energy_usage3_num,
    i.chk_voltage_rs_num,
    i.chk_voltage_st_num,
    i.chk_voltage_tr_num,
    i.chk_amp_r_num,
    i.chk_amp_s_num,
    i.chk_amp_t_num
FROM inspection i
INNER JOIN plan p 
    ON i.id = p.inspection_id
INNER JOIN rezil_esms.site s 
    ON i.site_id = s.id
WHERE i.category = 1
  AND i.id &lt; 224
  AND p.state IN (12, 13, 20)
ORDER BY p.work_start DESC
LIMIT 1;
</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</si>
  <si>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inspection.chk_voltage_rs_num</t>
  </si>
  <si>
    <t>MOB-010_113.webm</t>
  </si>
  <si>
    <t>1. Item được hiển thị đúng kiểu là Label/Text
Group column text là 電圧(V) column nameS-T</t>
  </si>
  <si>
    <t>chk_voltage_st_num (last time)</t>
  </si>
  <si>
    <t>1. Hiển thị text: 
Data get từ field: 
last time: last inspection.chk_voltage_st_num
(Trường hợp k có last time: last inspection: không hiện)</t>
  </si>
  <si>
    <t>MOB-010_115.webm</t>
  </si>
  <si>
    <t>chk_voltage_st_num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</si>
  <si>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inspection.chk_voltage_st_num</t>
  </si>
  <si>
    <t>MOB-010_116.webm</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</si>
  <si>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inspection.chk_voltage_st_num
</t>
  </si>
  <si>
    <t>MOB-010_117.webm</t>
  </si>
  <si>
    <t>1. Item được hiển thị đúng kiểu là Label/Text
Group column text là 電圧(V) column nameT-R</t>
  </si>
  <si>
    <t>chk_voltage_tr_num (last time)</t>
  </si>
  <si>
    <t>1. Hiển thị text: 
Data get từ field: 
last time: last inspection.chk_voltage_tr_num
(Trường hợp k có last time: last inspection: không hiện)</t>
  </si>
  <si>
    <t>MOB-010_119.webm</t>
  </si>
  <si>
    <t>chk_voltage_tr_num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</si>
  <si>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inspection.chk_voltage_tr_num</t>
  </si>
  <si>
    <t>MOB-010_120.webm</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</si>
  <si>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inspection.chk_voltage_tr_num
</t>
  </si>
  <si>
    <t>MOB-010_121.webm</t>
  </si>
  <si>
    <t>1. Item được hiển thị đúng kiểu là Label/Text
Group column text là 電流(A) column name R</t>
  </si>
  <si>
    <t>chk_amp_r_num (last time)</t>
  </si>
  <si>
    <t>1. Hiển thị text: 
Data get từ field: 
last time: last inspection.chk_amp_r_num
(Trường hợp k có last time: last inspection: không hiện)</t>
  </si>
  <si>
    <t>MOB-010_123.webm</t>
  </si>
  <si>
    <t>chk_amp_r_num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</si>
  <si>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inspection.chk_amp_r_num</t>
  </si>
  <si>
    <t>MOB-010_124.webm</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</si>
  <si>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inspection.chk_amp_r_num
</t>
  </si>
  <si>
    <t>MOB-010_125.webm</t>
  </si>
  <si>
    <t>1. Item được hiển thị đúng kiểu là Label/Text
Group column text là 電流(A) column name S</t>
  </si>
  <si>
    <t>chk_amp_s_num (last time)</t>
  </si>
  <si>
    <t>1. Hiển thị text: 
Data get từ field: 
last time: last inspection.chk_amp_s_num
(Trường hợp k có last time: last inspection: không hiện)</t>
  </si>
  <si>
    <t>MOB-010_127.webm</t>
  </si>
  <si>
    <t>chk_amp_s_num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</si>
  <si>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inspection.chk_amp_s_num</t>
  </si>
  <si>
    <t>MOB-010_128.webm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</si>
  <si>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inspection.chk_amp_s_num</t>
  </si>
  <si>
    <t>MOB-010_129.webm</t>
  </si>
  <si>
    <t>1. Item được hiển thị đúng kiểu là Label/Text
Group column text là 電流(A) column name T</t>
  </si>
  <si>
    <t>chk_amp_t_num (last time)</t>
  </si>
  <si>
    <t>1. Hiển thị text: 
Data get từ field: 
last time: last inspection.chk_amp_t_num
(Trường hợp k có last time: last inspection: không hiện)</t>
  </si>
  <si>
    <t>MOB-010_131.webm</t>
  </si>
  <si>
    <t>chk_amp_t_num (this time)</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</si>
  <si>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
Field get data: this time: inspection.chk_amp_t_num</t>
  </si>
  <si>
    <t>MOB-010_132.webm</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</si>
  <si>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inspection.chk_amp_t_num
</t>
  </si>
  <si>
    <t>MOB-010_133.webm</t>
  </si>
  <si>
    <t>Tab Phòng bất kì 主電気室主電気室:  Inspection Location - Site Location</t>
  </si>
  <si>
    <t>Other room Tab</t>
  </si>
  <si>
    <t>1. Đang ở tab default, click sang 1 phòng bất kì (ví dụ phòng thứ 2)</t>
  </si>
  <si>
    <t>1. Hiển thị overlay loading data
Tab phòng đã chọn được hiển thị data</t>
  </si>
  <si>
    <t>MOB-010_134.mp4</t>
  </si>
  <si>
    <r>
      <rPr>
        <sz val="11"/>
        <color rgb="FF000000"/>
        <rFont val="Arial"/>
      </rPr>
      <t xml:space="preserve">1. Giao diện màn hình được hiển thị giống với Figma 
UI Layout : Link 
</t>
    </r>
    <r>
      <rPr>
        <u/>
        <sz val="11"/>
        <color rgb="FF000000"/>
        <rFont val="Arial"/>
      </rPr>
      <t>https://www.figma.com/design/0nUR2v0mzjAhKLNU1UULQi/%E3%83%87%E3%82%B6%E3%82%A4%E3%83%B3?node-id=216-8596&amp;t=p6hcbF0w1lB07i11-0</t>
    </r>
  </si>
  <si>
    <t>MOB-010_135.mp4</t>
  </si>
  <si>
    <t xml:space="preserve">Trường hợp SQL sau không có data trả về
SELECT *                                                                                                                                         
FROM inspection_equipment_receiving ier                                                                                                                                         
        INNER JOIN equipment e ON ier.equipment_id = e.id   
WHERE site_location_id = &lt;sl.id&gt; AND inspection_id = &lt;last_inspection_id&gt;         </t>
  </si>
  <si>
    <t xml:space="preserve">                                                                                                                                                                                                                                                    
1. Kiểm tra hiển thị</t>
  </si>
  <si>
    <t>1. Không hiển thị step ① 受電設備</t>
  </si>
  <si>
    <t>MOB-010_136.jpg</t>
  </si>
  <si>
    <t xml:space="preserve">Trường hợp SQL sau có data trả về
SELECT *                                                                                                                                         
FROM inspection_equipment_receiving ier                                                                                                                                         
        INNER JOIN equipment e ON ier.equipment_id = e.id   
WHERE site_location_id = &lt;sl.id&gt; AND inspection_id = &lt;last_inspection_id&gt;         </t>
  </si>
  <si>
    <t>1. Hiển thị  step ① 受電設備
Item hiển thị đúng loại sidebar, 
Text là ① 受電設備
Khi các giá trị của các mục trong vùng ① 受電設備 , icon checked và background xanh nhạt</t>
  </si>
  <si>
    <t>MOB-010_137.jpg</t>
  </si>
  <si>
    <t>Đang ở vùng step bất kì</t>
  </si>
  <si>
    <t>1. Click button sidebar step 1 ① 受電設備</t>
  </si>
  <si>
    <t>1.Scroll về vùng step 1 ① 受電設備</t>
  </si>
  <si>
    <r>
      <rPr>
        <sz val="11"/>
        <color rgb="FF000000"/>
        <rFont val="Arial"/>
      </rPr>
      <t xml:space="preserve">Trường hợp SQL sau không có data trả về
</t>
    </r>
    <r>
      <rPr>
        <sz val="11"/>
        <color rgb="FF000000"/>
        <rFont val="Arial"/>
      </rPr>
      <t xml:space="preserve">SELECT *                                                                                                                                                                                              </t>
    </r>
    <r>
      <rPr>
        <u/>
        <sz val="11"/>
        <color rgb="FF000000"/>
        <rFont val="Arial"/>
      </rPr>
      <t xml:space="preserve">      </t>
    </r>
    <r>
      <rPr>
        <sz val="11"/>
        <color rgb="FF000000"/>
        <rFont val="Arial"/>
      </rPr>
      <t xml:space="preserve">                                     
FROM inspection_equipment_insulation iei                                                                                                                                                                                                                                         
        INNER JOIN insulation_monitoring_device imd ON iei.insulation_monitoring_device_id = imd.id    </t>
    </r>
    <r>
      <rPr>
        <sz val="11"/>
        <color rgb="FF000000"/>
        <rFont val="Arial"/>
      </rPr>
      <t xml:space="preserve">    </t>
    </r>
    <r>
      <rPr>
        <sz val="11"/>
        <color rgb="FF000000"/>
        <rFont val="Arial"/>
      </rPr>
      <t xml:space="preserve">                                                                                                                                                                                                                        
WHERE site_location_id = &lt;sl.id&gt; AND inspection_id = &lt;last_inspection_id&gt;                                                                                                                   </t>
    </r>
  </si>
  <si>
    <t>1. Không hiển thị  step ② 絶縁監視装置</t>
  </si>
  <si>
    <t>MOB-010_139.jpg</t>
  </si>
  <si>
    <r>
      <rPr>
        <sz val="11"/>
        <color rgb="FF000000"/>
        <rFont val="Arial"/>
      </rPr>
      <t xml:space="preserve">Trường hợp SQL sau có data trả về
</t>
    </r>
    <r>
      <rPr>
        <sz val="11"/>
        <color rgb="FF000000"/>
        <rFont val="Arial"/>
      </rPr>
      <t xml:space="preserve">SELECT *                                                                                                                                                                                                                                         
FROM inspection_equipment_insulation iei                                                                                                                                                                                                                                         
        INNER JOIN insulation_monitoring_device imd ON iei.insulation_monitoring_device_id = imd.id                </t>
    </r>
    <r>
      <rPr>
        <sz val="11"/>
        <color rgb="FF000000"/>
        <rFont val="Arial"/>
      </rPr>
      <t xml:space="preserve">                                                                                                                                                                                                                
WHERE site_location_id = &lt;sl.id&gt; AND inspection_id = &lt;last_inspection_id&gt;                                                                                                                           </t>
    </r>
  </si>
  <si>
    <t>1. Hiển thị  step ② 絶縁監視装置
Item hiển thị đúng loại sidebar, 
Text là ② 絶縁監視装置
Khi các giá trị của các mục trong vùng② 絶縁監視装置 được nhập hết. 
Hiển thị  sang trạng thái đã nhập , icon checked và background xanh nhạt</t>
  </si>
  <si>
    <t>MOB-010_140.jpg</t>
  </si>
  <si>
    <t>1. Click button sidebar step 2 ② 絶縁監視装置</t>
  </si>
  <si>
    <t>1.Scroll về vùng step 2 ② 絶縁監視装置</t>
  </si>
  <si>
    <t>không thấy scroll được</t>
  </si>
  <si>
    <t>sidebar_step_3</t>
  </si>
  <si>
    <t xml:space="preserve">Trường hợp SQL sau không có data trả về
SELECT *                                                                                                                                 
FROM inspection_equipment_storage ies                                                                                                                                
        INNER JOIN equipment e ON ies.equipment_id = e.id                                                                                                                        
WHERE site_location_id = &lt;sl.id&gt; AND inspection_id = &lt;last_inspection_id&gt; </t>
  </si>
  <si>
    <t>1. Không hiển thị  step ③ 蓄電設備</t>
  </si>
  <si>
    <t>MOB-010_142.jpg</t>
  </si>
  <si>
    <t xml:space="preserve">Trường hợp SQL sau có data trả về
SELECT *                                                                                                                                 
FROM inspection_equipment_storage ies                                                                                                                                
        INNER JOIN equipment e ON ies.equipment_id = e.id                                                                                                                        
WHERE site_location_id = &lt;sl.id&gt; AND inspection_id = &lt;last_inspection_id&gt; </t>
  </si>
  <si>
    <t>1. Hiển thị  step  ③ 蓄電設備
Item hiển thị đúng loại sidebar, 
Text là ③ 蓄電設備
Khi các giá trị của các mục trong vùng ③ 蓄電設備 , icon checked và background xanh nhạt</t>
  </si>
  <si>
    <t>MOB-010_143.jpg</t>
  </si>
  <si>
    <t>1. Click button sidebar step ③ 蓄電設備</t>
  </si>
  <si>
    <t>1.Scroll về vùng step ③ 蓄電設備</t>
  </si>
  <si>
    <t>sidebar_step_4</t>
  </si>
  <si>
    <t xml:space="preserve">Trường hợp SQL sau không có data trả về
SELECT *                                                                 
FROM inspection_location                                                                                                                                                                                     
WHERE site_location_id = &lt;sl.id&gt; AND inspection_id = &lt;last_inspection_id&gt; </t>
  </si>
  <si>
    <t>1. Không hiển thị  step ④ 設備点検結果</t>
  </si>
  <si>
    <t>MOB-010_145.jpg</t>
  </si>
  <si>
    <t xml:space="preserve">Trường hợp SQL sau có data trả về
SELECT *                                                                 
FROM inspection_location                                                                                                                                                                                  
WHERE site_location_id = &lt;sl.id&gt; AND inspection_id = &lt;last_inspection_id&gt; </t>
  </si>
  <si>
    <t>1. Hiển thị  step ④ 設備点検結果
Item hiển thị đúng loại sidebar, 
Text là ④ 設備点検結果
Khi các giá trị của các mục trong vùng ④ 設備点検結果 được nhập hết. 
Hiển thị  sang trạng thái đã nhập , icon checked và background xanh nhạt</t>
  </si>
  <si>
    <t>MOB-010_146.jpg</t>
  </si>
  <si>
    <t>1. Click button sidebar step ④ 設備点検結果</t>
  </si>
  <si>
    <t>1.Scroll về vùng step ④ 設備点検結果</t>
  </si>
  <si>
    <t>sidebar_step_5</t>
  </si>
  <si>
    <t>1. Không hiển thị  step ⑤ 点検結果</t>
  </si>
  <si>
    <t>MOB-010_148.jpg</t>
  </si>
  <si>
    <t xml:space="preserve">Trường hợp SQL sau không có data trả về
SELECT *                                                                 
FROM inspection_location  
WHERE site_location_id = &lt;sl.id&gt; AND inspection_id = &lt;last_inspection_id&gt;                                                                                                                                                                             </t>
  </si>
  <si>
    <t>1. Hiển thị  step ⑤ 点検結果
Item hiển thị đúng loại sidebar, 
Text là ⑤ 点検結果
Khi các giá trị của các mục trong vùng ⑤ 点検結果 , icon checked và background xanh nhạt</t>
  </si>
  <si>
    <t>MOB-010_149.jpg</t>
  </si>
  <si>
    <t>1. Click button sidebar step ⑤ 点検結果機</t>
  </si>
  <si>
    <t>1.Scroll về vùng step ⑤ 点検結果</t>
  </si>
  <si>
    <t>sidebar_step_6</t>
  </si>
  <si>
    <t xml:space="preserve">Trường hợp SQL sau không có data trả về
SELECT * 																		
FROM inspection_equipment_generator ieg																		
	INNER JOIN equipment e ON ies.equipment_id = e.id		
WHERE site_location_id = &lt;sl.id&gt; AND inspection_id = &lt;last_inspection_id&gt; 															                                                                                                                                                                                                                                                                                                      </t>
  </si>
  <si>
    <t>1. Không hiển thị  step ⑥ 非常用・常用発電機</t>
  </si>
  <si>
    <t>MOB-010_151.jpg</t>
  </si>
  <si>
    <t xml:space="preserve">Trường hợp SQL sau không có data trả về
SELECT *                                                                                                                                                 
FROM inspection_equipment_generator ieg                                                                                                                                                
        INNER JOIN equipment e ON ies.equipment_id = e.id                
WHERE site_location_id = &lt;sl.id&gt; AND inspection_id = &lt;last_inspection_id&gt;                                                                                                                                                                                                                                                                                                     </t>
  </si>
  <si>
    <t>1. Hiển thị  step ⑥ 非常用・常用発電機
Item hiển thị đúng loại sidebar, 
Text là ⑥ 非常用・常用発電機
Khi các giá trị của các mục trong vùng ⑥ 非常用・常用発電機 được nhập hết. 
Hiển thị  sang trạng thái đã nhập , icon checked và background xanh nhạt</t>
  </si>
  <si>
    <t>MOB-010_152.jpg</t>
  </si>
  <si>
    <t>1. Click button sidebar step ⑥ 非常用・常用発電機</t>
  </si>
  <si>
    <t>1.Scroll về vùng step ⑥ 非常用・常用発電機</t>
  </si>
  <si>
    <t>Tab phòng khác</t>
  </si>
  <si>
    <t xml:space="preserve">Trường hợp ko có data trả về từ cả 5 step                                                                                                                                                                                                                                                                                            </t>
  </si>
  <si>
    <t xml:space="preserve">1. Không hiển thị tab phòng đó </t>
  </si>
  <si>
    <t>MOB-010_154.jpg</t>
  </si>
  <si>
    <t>Step ① 受電設備</t>
  </si>
  <si>
    <t>Step ① 受電設備: Vùng 変圧器負荷状況 Dành cho các thiết bị có safety_equipment liên kết với  変圧器</t>
  </si>
  <si>
    <t>Tạo data có khoảng 4-5 equipment</t>
  </si>
  <si>
    <t xml:space="preserve">1.Hiển thị data từ câu SQL sau
SELECT e.usage_purpose,
ier.id,
ier.chk_voltage_rs_num,                                                                        
ier.chk_voltage_st_num,                                                                
ier.chk_voltage_tr_num,                                                                        
ier.chk_amp_r_num,                                                                        
ier.chk_amp_s_num,                                                                        
ier.chk_amp_t_num,                                                                        
ier.chk_temperature_num,                                                                        
ier.chk_load_factor_rate,                                                                        
ier.chk_leakage_current_num                                                                                                                                                                                                            
FROM inspection_equipment_receiving ier   
        INNER JOIN inspection i ON ier.inspection_id = i.id 
        INNER JOIN site_location sl ON ier.site_location_id = sl.id                                                                                                                                         
        INNER JOIN equipment e ON ier.equipment_id = e.id
        INNER JOIN equipment_master em ON e.equipment_master_id = em.id
        INNER JOIN safety_equipment se ON em.safety_equipment_id = se.id
WHERE 
         i.site_id = e.site_id
         AND ier.site_location_id = &lt;❶ sl.id - xử lý 5.2.3.b site_location.id từng phòng&gt;
         AND se.related_inspection_result_id IN (9) --  IS_TRANSFORMER - 変圧器
this_time:
         AND ier.inspection_id = :&lt;current_inspection.id&gt;
         ORDER BY ier.id ASC;
last_time: (cho từng record tương ứng của this time, gắn với equipment / device)
         AND ier.inspection_id = :&lt;last_inspection.id&gt;
         AND ier.equipment_id = &lt;this_time.equipment_id&gt;
         ORDER BY ier.id DESC LIMIT 1;      
Nếu có thiết bị thuộc (10 - IS_CONDENSER_REACTOR - コンデンサ・リアクトル) nhưng k có thiết bị thuộc (9 - IS_TRANSFORMER - 変圧器), hiện thị 1 dòng trống
Mục 5-6-7 hiển thị: 該当なし                                                                                                                                                                                                                                                                                                                                                                 </t>
  </si>
  <si>
    <t>MOB-010_155.mp4</t>
  </si>
  <si>
    <t>SELECT
    e.usage_purpose,
    ier.chk_voltage_rs_num,
    ier.chk_voltage_st_num,
    ier.chk_voltage_tr_num,
    ier.chk_amp_r_num,
    ier.chk_amp_s_num,
    ier.chk_amp_t_num,
    ier.chk_temperature_num,
    ier.chk_load_factor_rate,
    ier.chk_leakage_current_num
FROM rezil_esms_inspection.inspection_equipment_receiving ier
INNER JOIN equipment e 
    ON ier.equipment_id = e.id
INNER JOIN equipment_master em 
    ON e.equipment_master_id = em.id
INNER JOIN safety_equipment se 
    ON em.safety_equipment_id = se.id
WHERE ier.site_location_id = 2789  -- ❶ từng phòng (5.2.3.b)
  AND se.related_inspection_result_id = 9       -- IS_TRANSFORMER (変圧器)
  AND ier.inspection_id = 1878
ORDER BY ier.id ASC;</t>
  </si>
  <si>
    <t>All item step1</t>
  </si>
  <si>
    <t>1. Kiểm tra data this time ở tab phòng bất kì (step 1 vùng 変圧器負荷状況)
2. Kiểm tra data last time ở tab phòng bất kì (step 1 vùng 変圧器負荷状況)</t>
  </si>
  <si>
    <t>Hiện tại đang hiển thị cả chữ nhạt và chữ đậm đều là của this time</t>
  </si>
  <si>
    <t xml:space="preserve">All item step1 </t>
  </si>
  <si>
    <t>1.Confirm hiển thị các item có thể input ở  step1 
2. Tap focus lần lượt vào các text input này
3. Input lần lượt vào các text input
4. Click button back ra màn hình khác rồi qua lại màn hình</t>
  </si>
  <si>
    <t>1. Toàn bộ item hiển thị dạng có thể input được                                                                                                                                      
2  Bàn phím số được bật
3. Hiển thị giá trị đã input
4. Vào đúng phòng trước đó thoát ra, Item vẫn hiển thị giá trị đã input trước đó</t>
  </si>
  <si>
    <t>Khi nhập một giá trị, back ra màn MOB-002 rồi quay lại thì có hiển thị được phòng trước đó đã chọn rồi nhưng data không được giữ lại</t>
  </si>
  <si>
    <t xml:space="preserve">Các item require thuộc step1 :
vùng 変圧器負荷状況 như sau:
温度(℃)※                                                                 
漏れ電流※                                                                 
R-S                                                                        
S-T                                                                        
T-R                                                                        
R                                                                        
S                                                                        
T         
vùng その他高圧機器 như sau:            
温度(℃)   ※                                                   
                                                                     </t>
  </si>
  <si>
    <t xml:space="preserve">1. Không input các item require ở vùng 変圧器負荷状況 
2. Focus out 
3. Không input các item require ở vùng その他高圧機器 
4. Focus out </t>
  </si>
  <si>
    <t xml:space="preserve">2.1.Tô đỏ khung
Có background đỏ nhạt
Hiện label 必須
2.2 Open modal của group tương ứng.
Hiển thị error required ở các item require
Tô đỏ khung
Có background đỏ nhạt
Hiện label 必須
Các item ko require hiển thị bình thường
Item bên dưới mode cũng hiển thị tương tự trên modal
4.Tô đỏ khung
Có background đỏ nhạt
Hiện label 必須
</t>
  </si>
  <si>
    <t>MOB-010_162.jpg</t>
  </si>
  <si>
    <t>Vùng 変圧器負荷状況 các field chưa nhập không hiển thị error required ở bên ngoài table, chỉ hiển thị được trong popup</t>
  </si>
  <si>
    <t xml:space="preserve">1. Không input các item require 
2. Click chuyển tab phòng khác
</t>
  </si>
  <si>
    <t>1.Tô đỏ khung
Có background đỏ nhạt
Hiện label 必須
2. Step (sidebar) nào có error, hiển thị mark ! tương ứng
Phòng (site_location) có error, hiển thị mark ! tương ứng</t>
  </si>
  <si>
    <t>MOB-010_163.jpg</t>
  </si>
  <si>
    <t>All item có define min,max ở tab other room (step1)</t>
  </si>
  <si>
    <r>
      <rPr>
        <sz val="11"/>
        <color rgb="FF000000"/>
        <rFont val="Arial"/>
      </rPr>
      <t xml:space="preserve">1. Tô đỏ khung        
Có background đỏ nhạt        
Xoá input đã nhập        
Hiện thị label tương ứng với phạm vi input 
format 入力範囲：{min}〜{max}        
2.Tô đỏ khung </t>
    </r>
    <r>
      <rPr>
        <sz val="11"/>
        <color rgb="FFFF0000"/>
        <rFont val="Arial"/>
      </rPr>
      <t>(ko bao gồm các item ko phải require)</t>
    </r>
    <r>
      <rPr>
        <sz val="11"/>
        <color rgb="FF000000"/>
        <rFont val="Arial"/>
      </rPr>
      <t xml:space="preserve">
Có background đỏ nhạt
Hiện label 必須</t>
    </r>
  </si>
  <si>
    <t>MOB-010_164.mp4</t>
  </si>
  <si>
    <t>Hiện tại nhập số ngoài khoảng min-max thì clear số và lại hiển thị label required 必須
SonNV: hiện để pendding</t>
  </si>
  <si>
    <t>All item có define kiểu dữ liệu decimal, integer ở tab other room (step1)</t>
  </si>
  <si>
    <r>
      <rPr>
        <sz val="11"/>
        <color rgb="FF000000"/>
        <rFont val="Arial"/>
      </rPr>
      <t>1</t>
    </r>
    <r>
      <rPr>
        <sz val="11"/>
        <color rgb="FF000000"/>
        <rFont val="Arial"/>
      </rPr>
      <t>. Nhập vào text input khác kiểu dữ liệu cho phép, Focus out
2. Nhập vào text input số khác format cho phép, Focus out</t>
    </r>
  </si>
  <si>
    <t>Nhập giá trị khác số đang bị treo browser</t>
  </si>
  <si>
    <t>1. Item được hiển thị đúng kiểu là Label/Text
Text là 変圧器負荷状況</t>
  </si>
  <si>
    <t>usage_purpose_label
usage_purpose_value</t>
  </si>
  <si>
    <t>1. Item được hiển thị đúng kiểu là Label/Text
Text là 用途
2. Data get từ field: 
equipment.usage_purpose</t>
  </si>
  <si>
    <t>MOB-010_167.jpg</t>
  </si>
  <si>
    <t>unit_label
unit_value</t>
  </si>
  <si>
    <t>1. Item được hiển thị đúng kiểu là Label/Text
Text là 相・台数
2. Data get từ SQL sau:
SELECT eav.value 
FROM equipment e 
LEFT JOIN equipment_attribute_value eav ON e.id = eav.equipment_id 
WHERE e.id = &lt;equipment_id&gt; AND eav.type_attribute_id = 8;</t>
  </si>
  <si>
    <t>MOB-010_168.jpg</t>
  </si>
  <si>
    <t>capacity_label
capacity_value</t>
  </si>
  <si>
    <t>1. Item được hiển thị đúng kiểu là Label/Text
Text là 容量(kVA)
2.Data get từ SQL sau:
SELECT eav.value 
FROM equipment e 
LEFT JOIN equipment_attribute_value eav ON e.id = eav.equipment_id 
WHERE e.id = &lt;equipment_id&gt; AND eav.type_attribute_id = 9;</t>
  </si>
  <si>
    <t>MOB-010_169.jpg</t>
  </si>
  <si>
    <r>
      <rPr>
        <sz val="11"/>
        <color rgb="FF000000"/>
        <rFont val="Arial"/>
      </rPr>
      <t xml:space="preserve">1. Item được hiển thị đúng kiểu là Label/Text
Text là </t>
    </r>
    <r>
      <rPr>
        <sz val="11"/>
        <color rgb="FF000000"/>
        <rFont val="Arial"/>
      </rPr>
      <t xml:space="preserve">温度(℃)※ </t>
    </r>
  </si>
  <si>
    <t>chk_temperature_num (last time)</t>
  </si>
  <si>
    <t xml:space="preserve">1. Hiển thị text: 
Data get từ field: 
last time: last inspection_equipment_receiving.chk_temperature_num
 </t>
  </si>
  <si>
    <t>MOB-010_171.jpg</t>
  </si>
  <si>
    <t>Data đang hiển thị giá trị của this time</t>
  </si>
  <si>
    <t>chk_temperature_num (this time)</t>
  </si>
  <si>
    <t>1. Chạm vào vùng input</t>
  </si>
  <si>
    <t>1. Mở modal nhập 受電設備入力モーダル (cụm group3_design)</t>
  </si>
  <si>
    <t>1. Input thành công
2.Hiển thị message cảnh báo dạng popup
サーバーデータで上書きしてよろしいですか？
2 button はい, いいえ
3. Tải dữ liệu trên server xuống, thực hiện ghi đè dữ liệu, và hiển thị lên field input, hiện thị toast thông báo kết quả
データのダウンロードが完了しました</t>
  </si>
  <si>
    <t>MOB-010_173.mp4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</si>
  <si>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inspection_equipment_receiving.chk_temperature_num</t>
  </si>
  <si>
    <t>MOB-010_174.mp4</t>
  </si>
  <si>
    <t>1. Item được hiển thị đúng kiểu là Label/Text
Text là 負荷率</t>
  </si>
  <si>
    <t>chk_load_factor_rate (last time)</t>
  </si>
  <si>
    <t xml:space="preserve">1. Hiển thị text: 
Data get từ field: 
last time: last inspection_equipment_receiving.chk_load_factor_rate
</t>
  </si>
  <si>
    <t>MOB-010_176.jpg</t>
  </si>
  <si>
    <t>chk_load_factor_rate (this time)</t>
  </si>
  <si>
    <t>MOB-010_178.mp4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</si>
  <si>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inspection_equipment_receiving.chk_load_factor_rate</t>
  </si>
  <si>
    <t>MOB-010_179.mp4</t>
  </si>
  <si>
    <r>
      <rPr>
        <sz val="11"/>
        <color rgb="FF000000"/>
        <rFont val="Arial"/>
      </rPr>
      <t xml:space="preserve">1. Item được hiển thị đúng kiểu là Label/Text
Text là 
</t>
    </r>
    <r>
      <rPr>
        <sz val="11"/>
        <color rgb="FF000000"/>
        <rFont val="Arial"/>
      </rPr>
      <t xml:space="preserve">漏れ
電流※ </t>
    </r>
  </si>
  <si>
    <t>chk_leakage_current_num (last time)</t>
  </si>
  <si>
    <t xml:space="preserve">1. Hiển thị text: 
Data get từ field: 
last time: last inspection_equipment_receiving.chk_leakage_current_num
</t>
  </si>
  <si>
    <t>MOB-010_181.jpg</t>
  </si>
  <si>
    <t>chk_leakage_current_num (this time)</t>
  </si>
  <si>
    <t>MOB-010_183.mp4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</si>
  <si>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inspection_equipment_receiving.chk_leakage_current_num</t>
  </si>
  <si>
    <t>MOB-010_184.mp4</t>
  </si>
  <si>
    <t>chk_voltage_title</t>
  </si>
  <si>
    <t xml:space="preserve">1. Item được hiển thị đúng kiểu là Label/Text
Text là 電圧(V)※ </t>
  </si>
  <si>
    <t>1. Item được hiển thị đúng kiểu là Label/Text
Text là R-S</t>
  </si>
  <si>
    <t xml:space="preserve">1. Hiển thị text: 
Data get từ field: 
last time: last inspection_equipment_receiving.chk_voltage_rs_num
</t>
  </si>
  <si>
    <t>MOB-010_187.jpg</t>
  </si>
  <si>
    <t>1. Mở modal nhập 受電設備入力モーダル (cụm group1_design)</t>
  </si>
  <si>
    <t>MOB-010_189.mp4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</si>
  <si>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inspection_equipment_receiving.chk_voltage_rs_num</t>
  </si>
  <si>
    <t>MOB-010_190.mp4</t>
  </si>
  <si>
    <t>1. Item được hiển thị đúng kiểu là Label/Text
Text là S-T</t>
  </si>
  <si>
    <t xml:space="preserve">1. Hiển thị text: 
Data get từ field: 
last time: last inspection_equipment_receiving.chk_voltage_st_num
</t>
  </si>
  <si>
    <t>MOB-010_192.jpg</t>
  </si>
  <si>
    <t>chk_voltage_st_num  (this time)</t>
  </si>
  <si>
    <t>MOB-010_194.mp4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</si>
  <si>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inspection_equipment_receiving.chk_voltage_st_num</t>
  </si>
  <si>
    <t>MOB-010_195.mp4</t>
  </si>
  <si>
    <t>1. Item được hiển thị đúng kiểu là Label/Text
Text là T-R</t>
  </si>
  <si>
    <t xml:space="preserve">1. Hiển thị text: 
Data get từ field: 
last time: last inspection_equipment_receiving.chk_voltage_tr_num
</t>
  </si>
  <si>
    <t>MOB-010_197.jpg</t>
  </si>
  <si>
    <t>MOB-010_199.mp4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</si>
  <si>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inspection_equipment_receiving.chk_voltage_tr_num</t>
  </si>
  <si>
    <t>MOB-010_200.mp4</t>
  </si>
  <si>
    <t>chk_amp_title</t>
  </si>
  <si>
    <t xml:space="preserve">1. Item được hiển thị đúng kiểu là Label/Text
Text là 電流(A) ※ </t>
  </si>
  <si>
    <t>1. Item được hiển thị đúng kiểu là Label/Text
Text là R</t>
  </si>
  <si>
    <t xml:space="preserve">1. Hiển thị text: 
Data get từ field: 
last time: last inspection_equipment_receiving.chk_amp_r_num
</t>
  </si>
  <si>
    <t>MOB-010_203.jpg</t>
  </si>
  <si>
    <t>1. Mở modal nhập 受電設備入力モーダル (cụm group2_design)</t>
  </si>
  <si>
    <t>MOB-010_205.mp4</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</si>
  <si>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4.Lưu DB field:
this time: inspection_equipment_receiving.chk_amp_r_num
</t>
  </si>
  <si>
    <t>MOB-010_206.mp4</t>
  </si>
  <si>
    <t>1. Item được hiển thị đúng kiểu là Label/Text
Text là S</t>
  </si>
  <si>
    <t xml:space="preserve">1. Hiển thị text: 
Data get từ field: 
last time: last inspection_equipment_receiving.chk_amp_s_num
</t>
  </si>
  <si>
    <t>MOB-010_210.mp4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</si>
  <si>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inspection_equipment_receiving.chk_amp_s_num</t>
  </si>
  <si>
    <t>MOB-010_211.mp4</t>
  </si>
  <si>
    <t>1. Item được hiển thị đúng kiểu là Label/Text
Text là T</t>
  </si>
  <si>
    <t xml:space="preserve">1. Hiển thị text: 
Data get từ field: 
last time: last inspection_equipment_receiving.chk_amp_t_num
</t>
  </si>
  <si>
    <t>MOB-010_213.jpg</t>
  </si>
  <si>
    <t>MOB-010_215.mp4</t>
  </si>
  <si>
    <t>MOB-010_216.mp4</t>
  </si>
  <si>
    <t>Modal  受電設備入力モーダル</t>
  </si>
  <si>
    <r>
      <rPr>
        <sz val="11"/>
        <color rgb="FF000000"/>
        <rFont val="Arial"/>
      </rPr>
      <t xml:space="preserve">1. Giao diện màn hình được hiển thị giống với Figma 
UI Layout : Link 
</t>
    </r>
    <r>
      <rPr>
        <u/>
        <sz val="11"/>
        <color rgb="FF000000"/>
        <rFont val="Arial"/>
      </rPr>
      <t>https://www.figma.com/design/0nUR2v0mzjAhKLNU1UULQi/%E3%83%87%E3%82%B6%E3%82%A4%E3%83%B3?node-id=0-1&amp;p=f&amp;t=QCiY3SCZGuGaHH9N-0</t>
    </r>
  </si>
  <si>
    <t>input_modal_title</t>
  </si>
  <si>
    <t>1. Hiển thị text: 
Data get từ field: 
site_location.name
equipment.name</t>
  </si>
  <si>
    <t>MOB-010_218.jpg</t>
  </si>
  <si>
    <t>group_previous_1</t>
  </si>
  <si>
    <t xml:space="preserve">1. Kiểm tra loại item    
1. Click button                                                                     </t>
  </si>
  <si>
    <t>1. HIển thị dạng button 
Text là ＜　温度/負荷/漏電
1. Chuyển về group trước đó, thực hiện xoay vòng</t>
  </si>
  <si>
    <t xml:space="preserve">1. Kiểm tra loại item    
2. Click button                                                                     </t>
  </si>
  <si>
    <t>1. HIển thị dạng button 
Text là 電流(A) ＞
2. Chuyển sang group tiếp theo, thực hiện xoay vòng</t>
  </si>
  <si>
    <t>equip_next_3</t>
  </si>
  <si>
    <r>
      <rPr>
        <sz val="11"/>
        <color rgb="FF000000"/>
        <rFont val="Arial"/>
      </rPr>
      <t xml:space="preserve">1. HIển thị dạng button 
Text là </t>
    </r>
    <r>
      <rPr>
        <u/>
        <sz val="11"/>
        <color rgb="FF000000"/>
        <rFont val="Arial"/>
      </rPr>
      <t xml:space="preserve">equipment.name
</t>
    </r>
    <r>
      <rPr>
        <sz val="11"/>
        <color rgb="FF000000"/>
        <rFont val="Arial"/>
      </rPr>
      <t>3. Chuyển sang equipment tiếp theo</t>
    </r>
  </si>
  <si>
    <t>Chỉ có 1 equipment/ Đamg ở equipment cuối cùng</t>
  </si>
  <si>
    <t>1. Item không hiển thị</t>
  </si>
  <si>
    <t>Có từ 2 equipment/Không đang ở equipment cuối cùng</t>
  </si>
  <si>
    <t>1. Item hiển thị và active</t>
  </si>
  <si>
    <t>equip_previous_4</t>
  </si>
  <si>
    <r>
      <rPr>
        <sz val="11"/>
        <color rgb="FF000000"/>
        <rFont val="Arial"/>
      </rPr>
      <t xml:space="preserve">1. HIển thị dạng button 
Text là </t>
    </r>
    <r>
      <rPr>
        <u/>
        <sz val="11"/>
        <color rgb="FF000000"/>
        <rFont val="Arial"/>
      </rPr>
      <t xml:space="preserve">equipment.name
</t>
    </r>
    <r>
      <rPr>
        <sz val="11"/>
        <color rgb="FF000000"/>
        <rFont val="Arial"/>
      </rPr>
      <t>2. Chuyển về equipment trước đó</t>
    </r>
  </si>
  <si>
    <t>Chỉ có 1 equipment/ Đamg ở equipment đầu tiên</t>
  </si>
  <si>
    <t>Có từ 2 equipment/Đang ở equpement thứ 2 trở đi</t>
  </si>
  <si>
    <t>group1_design</t>
  </si>
  <si>
    <r>
      <rPr>
        <sz val="11"/>
        <color rgb="FF000000"/>
        <rFont val="Arial"/>
      </rPr>
      <t xml:space="preserve">1. Item được hiển thị đúng kiểu là Label/Text
Text là </t>
    </r>
    <r>
      <rPr>
        <sz val="11"/>
        <color rgb="FF000000"/>
        <rFont val="Arial"/>
      </rPr>
      <t>電圧(V) ※</t>
    </r>
    <r>
      <rPr>
        <sz val="11"/>
        <color rgb="FF000000"/>
        <rFont val="Arial"/>
      </rPr>
      <t xml:space="preserve">
Bên dưới gồm 3 item con
R-S
S-T
T-R</t>
    </r>
  </si>
  <si>
    <t>group2_design</t>
  </si>
  <si>
    <r>
      <rPr>
        <sz val="11"/>
        <color rgb="FF000000"/>
        <rFont val="Arial"/>
      </rPr>
      <t xml:space="preserve">1. Item được hiển thị đúng kiểu là Label/Text
Text là </t>
    </r>
    <r>
      <rPr>
        <sz val="11"/>
        <color rgb="FF000000"/>
        <rFont val="Arial"/>
      </rPr>
      <t xml:space="preserve">電流(A)※ </t>
    </r>
    <r>
      <rPr>
        <sz val="11"/>
        <color rgb="FF000000"/>
        <rFont val="Arial"/>
      </rPr>
      <t xml:space="preserve">
Bên dưới gồm 3 item con
R
S
T</t>
    </r>
  </si>
  <si>
    <t>group3_design</t>
  </si>
  <si>
    <t xml:space="preserve">1. Item được hiển thị đúng kiểu là Label/Text
Gồm 3 item con
温度(℃)※ 
負荷率
漏れ電流※ 
</t>
  </si>
  <si>
    <t>group_previous_8</t>
  </si>
  <si>
    <t xml:space="preserve">1. Kiểm tra loại item                                                                        
1. Click button </t>
  </si>
  <si>
    <t>1. HIển thị dạng button 
Text là ＜　電圧(V)
1. Chuyển về group trước đó</t>
  </si>
  <si>
    <t>group_next_9</t>
  </si>
  <si>
    <t>1. HIển thị dạng button 
Text là 温度/負荷/漏電 ＞
1. Chuyển sang group tiếp theo</t>
  </si>
  <si>
    <t>group_previous_10</t>
  </si>
  <si>
    <t>1. HIển thị dạng button 
Text là ＜　電流(A)
1. Chuyển về group trước đó</t>
  </si>
  <si>
    <t>group_next_11</t>
  </si>
  <si>
    <t>1. HIển thị dạng button 
Text là 電圧(V)) ＞
1. Chuyển sang group tiếp theo, thực hiện xoay vòng</t>
  </si>
  <si>
    <t xml:space="preserve">Step ① 受電設備: Vùng その他高圧機器:  Dành cho các thiết bị có safety_equipment liên kết với  コンデンサ・リアクトル </t>
  </si>
  <si>
    <t xml:space="preserve">1. Check hiển thị data của vùng その他高圧機器
</t>
  </si>
  <si>
    <t xml:space="preserve">1.Hiển thị data từ câu SQL sau
SELECT e.usage_purpose,
ier.id,
ier.chk_temperature_num                                                                                                                                                                                                  
FROM inspection_equipment_receiving ier
        INNER JOIN inspection i ON ier.inspection_id = i.id 
        INNER JOIN site_location sl ON ier.site_location_id = sl.id                                                                                                                                        
        INNER JOIN equipment e ON ier.equipment_id = e.id
        INNER JOIN equipment_master em ON e.equipment_master_id = em.id
        INNER JOIN safety_equipment se ON em.safety_equipment_id = se.id
WHERE 
         i.site_id = e.site_id
         AND ier.site_location_id = :&lt;❶ sl.id - xử lý 5.2.3.b site_location.id từng phòng&gt;
         AND se.related_inspection_result_id IN  (10) --  IS_CONDENSER_REACTOR - コンデンサ・リアクトル
this_time:
         AND ier.inspection_id = :&lt;current_inspection.id&gt;
         ORDER BY ier.id ASC;
last_time: (cho từng record tương ứng của this time, gắn với equipment / device)
WHERE 
         ier.inspection_id = :last_inspection.id
         AND ier.equipment_id = &lt;this_time.equipment_id&gt;
         ORDER BY ier.id DESC LIMIT 1;
Nếu có thiết bị thuộc (9 - IS_TRANSFORMER - 変圧器) nhưng k có thiết bị thuộc (10 - IS_CONDENSER_REACTOR - コンデンサ・リアクトル), hiện thị 1 dòng trống
Mục 23 hiển thị: 該当なし
</t>
  </si>
  <si>
    <t>MOB-010_234.mp4</t>
  </si>
  <si>
    <t>other_high_voltage_equip</t>
  </si>
  <si>
    <t>1. Item được hiển thị đúng kiểu là Label/Text
Text là その他高圧機器</t>
  </si>
  <si>
    <t>usage_purpose_label</t>
  </si>
  <si>
    <t>1. Item được hiển thị đúng kiểu là Label/Text
Text là 用途</t>
  </si>
  <si>
    <t>usage_purpose_value</t>
  </si>
  <si>
    <t>Trường hợp không có thiết bị nào</t>
  </si>
  <si>
    <t xml:space="preserve">↑                                                                            </t>
  </si>
  <si>
    <t>1. Hiển thị text: 
該当なし</t>
  </si>
  <si>
    <t>MOB-010_237.png</t>
  </si>
  <si>
    <r>
      <rPr>
        <sz val="11"/>
        <color theme="1"/>
        <rFont val="Calibri"/>
      </rPr>
      <t xml:space="preserve">BrSE confirm nếu có data của 変圧器負荷状況 và không có data của その他高圧機器 thì vẫn hiển thị cục này nhưng show text này
</t>
    </r>
    <r>
      <rPr>
        <sz val="11"/>
        <color rgb="FFFF0000"/>
        <rFont val="Calibri"/>
      </rPr>
      <t>RoC: REZIL-1025 thực hiện ở Sprint sau</t>
    </r>
  </si>
  <si>
    <t>Trường hợp có thiết bị</t>
  </si>
  <si>
    <t xml:space="preserve">↑                                                                </t>
  </si>
  <si>
    <t>1. Hiển thị text: 
Data get từ field: 
equipment.usage_purpose</t>
  </si>
  <si>
    <t>MOB-010_238.jpg</t>
  </si>
  <si>
    <t>capacity_label</t>
  </si>
  <si>
    <t>1. Item được hiển thị đúng kiểu là Label/Text
Text là 容量(kVA)</t>
  </si>
  <si>
    <t>MOB-010_238.png</t>
  </si>
  <si>
    <t>capacity_value</t>
  </si>
  <si>
    <t>MOB-010_239.png</t>
  </si>
  <si>
    <r>
      <rPr>
        <sz val="11"/>
        <color theme="1"/>
        <rFont val="Calibri"/>
      </rPr>
      <t xml:space="preserve">BrSE confirm nếu có data của 変圧器負荷状況 và không có data của その他高圧機器 thì vẫn hiển thị cục này nhưng show ô trống
</t>
    </r>
    <r>
      <rPr>
        <sz val="11"/>
        <color rgb="FFFF0000"/>
        <rFont val="Calibri"/>
      </rPr>
      <t>RoC: REZIL-1025 thực hiện ở Sprint sau</t>
    </r>
  </si>
  <si>
    <t>1. Hiển thị text: 
Data get từ SQL sau: 
SELECT eav.value 
FROM equipment e 
LEFT JOIN equipment_attribute_value eav ON e.id = eav.equipment_id 
WHERE e.id = &lt;equipment_id&gt; AND eav.type_attribute_id = 16;</t>
  </si>
  <si>
    <t>MOB-010_241.png</t>
  </si>
  <si>
    <t>temperature_label</t>
  </si>
  <si>
    <r>
      <rPr>
        <sz val="11"/>
        <color rgb="FF000000"/>
        <rFont val="Arial"/>
      </rPr>
      <t xml:space="preserve">1. Item được hiển thị đúng kiểu là Label/Text
Text là </t>
    </r>
    <r>
      <rPr>
        <sz val="11"/>
        <color rgb="FF000000"/>
        <rFont val="Arial"/>
      </rPr>
      <t xml:space="preserve">温度(℃)   ※ </t>
    </r>
  </si>
  <si>
    <t>MOB-010_242.png</t>
  </si>
  <si>
    <t>1. Hiển thị text: 温度(℃)
Data get từ field: 
last_time: last inspection_equipment_receiving.chk_temperature_num</t>
  </si>
  <si>
    <t>MOB-010_243.png</t>
  </si>
  <si>
    <t>chưa thấy hiển thị cho last time</t>
  </si>
  <si>
    <t>Trường hợp ko có thiết bị nào</t>
  </si>
  <si>
    <t>MOB-010_244.png</t>
  </si>
  <si>
    <r>
      <rPr>
        <sz val="11"/>
        <color theme="1"/>
        <rFont val="Calibri"/>
      </rPr>
      <t xml:space="preserve">BrSE confirm nếu có data của 変圧器負荷状況 và không có data của その他高圧機器 thì vẫn hiển thị cục này nhưng show ô trống
</t>
    </r>
    <r>
      <rPr>
        <sz val="11"/>
        <color rgb="FFFF0000"/>
        <rFont val="Calibri"/>
      </rPr>
      <t>RoC: REZIL-1025 thực hiện ở Sprint sau</t>
    </r>
  </si>
  <si>
    <t>MOB-010_245.mp4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</si>
  <si>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inspection_equipment_receiving.chk_temperature_numnum</t>
  </si>
  <si>
    <t>MOB-010_246.mp4</t>
  </si>
  <si>
    <t>Step ② 絶縁監視装置</t>
  </si>
  <si>
    <t xml:space="preserve">1. Check hiển thị data của vùng 絶縁監視装置
</t>
  </si>
  <si>
    <t>1.Hiển thị data từ câu SQL sau:
SELECT 
imd.device_no,
iei.id,
iei.chk_communication_test,
iei.chk_alarm_status
FROM inspection_equipment_insulation iei 
        INNER JOIN inspection i ON iei.inspection_id = i.id 
        INNER JOIN site_location sl ON iei.site_location_id = sl.id                                                                                                                                         
        INNER JOIN insulation_monitoring_device imd ON iei.insulation_monitoring_device_id = imd.id
WHERE 
         iei.site_location_id = &lt;❶ sl.id - xử lý 5.2.3.b site_location.id từng phòng&gt;
this_time: 
         AND iei.inspection_id = :current_inspection.id
         ORDER BY iei.id ASC;
last_time: (cho từng record tương ứng của this time, gắn với equipment / device)
         AND iei.inspection_id = :last_inspection.id
         AND iei.insulation_monitoring_device_id = &lt;this_time.insulation_monitoring_device_id&gt;
ORDER BY iei.id DESC LIMIT 1;</t>
  </si>
  <si>
    <t>MOB-010_247.jpg</t>
  </si>
  <si>
    <t>Đang ko hiển thị last time</t>
  </si>
  <si>
    <t>All item step2</t>
  </si>
  <si>
    <t xml:space="preserve">Các item require thuộc step2 :
通信テスト       
警報の状況                                       
                                                                     </t>
  </si>
  <si>
    <t>1. Không có flag nào được select
2. Click button 顧客確認へ</t>
  </si>
  <si>
    <t>2.Tô đỏ khung
Có background đỏ nhạt
Hiện label 必須
 Step (sidebar) nào có error, hiển thị mark ! tương ứng</t>
  </si>
  <si>
    <t>MOB-010_248.jpg</t>
  </si>
  <si>
    <t>1. Check vào flag bất kì ở 2 item 
通信テスト       
警報の状況           
2. Click button back ra màn hình khác rồi qua lại màn hình</t>
  </si>
  <si>
    <t>3. Hiển thị giá trị đã chọn
4. Vào đúng phòng trước đó thoát ra, Item vẫn hiển thị giá trị đã chọn trước đó</t>
  </si>
  <si>
    <t>MOB-010_249.mp4</t>
  </si>
  <si>
    <t>Chọn 1 value rồi back ra màn hình MOB-002 rồi sau đó quay lại màn MOB-010 thì có vào được phòng trước đó đã chọn rồi nhưng không giữ lại value trước đó đã chọn</t>
  </si>
  <si>
    <t>1. Item được hiển thị đúng kiểu là Label/Text
Text là 絶縁監視装置</t>
  </si>
  <si>
    <t>insulation_monitoring_no_label
insulation_monitoring_no_value</t>
  </si>
  <si>
    <t>1. Item được hiển thị đúng kiểu là Label/Text
Text là 絶縁監視装置No
1. Hiển thị data get từ field insulation_monitoring_device.device_no</t>
  </si>
  <si>
    <t>MOB-010_251.png</t>
  </si>
  <si>
    <t>communication_test_label
chk_communication_test</t>
  </si>
  <si>
    <r>
      <rPr>
        <sz val="11"/>
        <color rgb="FF000000"/>
        <rFont val="Arial"/>
      </rPr>
      <t xml:space="preserve">1. Item được hiển thị đúng kiểu là Label/Text
Text là </t>
    </r>
    <r>
      <rPr>
        <sz val="11"/>
        <color rgb="FF000000"/>
        <rFont val="Arial"/>
      </rPr>
      <t xml:space="preserve">通信テスト   ※ 
</t>
    </r>
    <r>
      <rPr>
        <sz val="11"/>
        <color rgb="FF000000"/>
        <rFont val="Arial"/>
      </rPr>
      <t>1. Hiển thị data get từ field insulation_monitoring_device.device_no
Hiển thị dạng chọn flag
Hiện thị 4 lựa chọn: 
case IS_BAD  (-1, "✕")
case IS_NOT_APPLICABLE ( 0, "-")
case IS_WARNING  ( 1, "△")
case IS_GOOD ( 2, "◯")</t>
    </r>
  </si>
  <si>
    <t>chk_communication_test</t>
  </si>
  <si>
    <t>1. Chuẩn bị các bản ghi có data  thỏa mãn điều kiện (hoặc update data cùng 1 bản ghi lần lượt như dưới)
1.1. last time = this time  inspection_equipment_insulation.chk_communication_test=null
1.2. last time = this time  inspection_equipment_insulation.chk_communication_test=-1
1.3. last time = this time inspection_equipment_insulation.chk_communication_test=0
1.4. last time = this time  inspection_equipment_insulation.chk_communication_test=1
1.5. last time = this time  inspection_equipment_insulation.chk_communication_test=2
Confirm hiển thị data của các bàn ghi
2. Chuẩn bị các bản ghi có data  thỏa mãn điều kiện (hoặc update data cùng 1 bản ghi lần lượt như dưới)
2.1. Last time khác this time: 
 this time inspection_equipment_insulation.chk_communication_test=-1
 last time inspection_equipment_insulation.chk_communication_test=0</t>
  </si>
  <si>
    <t xml:space="preserve">1. Hiển thị như sau:
1.1. Không có option nào được chọn
1.2. Option "✕" được chọn, hiển thị background xanh đậm
1.3.Option "-" được chọn, hiển thị background xanh đậm
1.4. Option "△" được chọn, hiển thị background xanh đậm
1.5 Option "◯" được chọn, hiển thị background xanh đậm
2. Hiển thị như sau:
2.1.This time
Option "✕" được chọn, hiển thị background xanh đậm
Last time:
Option  "-" được chọn, hiển thị background xanh nhạt 
</t>
  </si>
  <si>
    <t>MOB-010_253.mp4</t>
  </si>
  <si>
    <t>chưa có xanh nhạt cho data của inspection trước</t>
  </si>
  <si>
    <t>1.Chọn vào option "✕" 
2. Press button ダウンロード
3. Click button はい
4. Confirm DB
5. Chọn vào option " -"  thực hiện các step tương tự trên
6. Chọn vào option "△"   thực hiện các step tương tự trên
7.Chọn vào option "◯"  thực hiện các step tương tự trên</t>
  </si>
  <si>
    <t>4. Lưu DB field
inspection_equipment_insulation.chk_communication_test=-1
5. Lưu DB field
inspection_equipment_insulation.chk_communication_test=0"
6. Lưu DB field
inspection_equipment_insulation.chk_communication_test=1"
7. Lưu DB field
inspection_equipment_insulation.chk_communication_test=2"</t>
  </si>
  <si>
    <t>MOB-010_254.mp4</t>
  </si>
  <si>
    <t>Không lưu được vào DB</t>
  </si>
  <si>
    <t>alarm_status_label
chk_alarm_status</t>
  </si>
  <si>
    <r>
      <rPr>
        <sz val="11"/>
        <color rgb="FF000000"/>
        <rFont val="Arial"/>
      </rPr>
      <t xml:space="preserve">1. Item được hiển thị đúng kiểu là Label/Text
Text là </t>
    </r>
    <r>
      <rPr>
        <sz val="11"/>
        <color rgb="FF000000"/>
        <rFont val="Arial"/>
      </rPr>
      <t xml:space="preserve">警報の状況   ※ 
</t>
    </r>
    <r>
      <rPr>
        <sz val="11"/>
        <color rgb="FF000000"/>
        <rFont val="Arial"/>
      </rPr>
      <t>1. Hiển thị data get từ field inspection_equipment_insulation.chk_alarm_status
Hiển thị dạng chọn flag
Hiện thị 4 lựa chọn: 
case IS_BAD  (-1, "✕")
case IS_NOT_APPLICABLE ( 0, "-")
case IS_WARNING  ( 1, "△")
case IS_GOOD ( 2, "◯")</t>
    </r>
  </si>
  <si>
    <t>chk_alarm_status</t>
  </si>
  <si>
    <t>1. Chuẩn bị các bản ghi có data  thỏa mãn điều kiện (hoặc update data cùng 1 bản ghi lần lượt như dưới)
1.1. last time = this time  inspection_equipment_insulation.chk_alarm_status=null
1.2. last time = this time  inspection_equipment_insulation.chk_alarm_status=-1
1.3. last time = this time inspection_equipment_insulation.chk_alarm_status=0
1.4. last time = this time inspection_equipment_insulation.chk_alarm_statusst=1
1.5. last time = this time  inspection_equipment_insulation.chk_alarm_status=2
Confirm hiển thị data của các bàn ghi
2. Chuẩn bị các bản ghi có data  thỏa mãn điều kiện (hoặc update data cùng 1 bản ghi lần lượt như dưới)
2.1. Last time khác this time :
 this time inspection_equipment_insulation.chk_alarm_status=-1
 last time inspection_equipment_insulation.chk_alarm_status=0</t>
  </si>
  <si>
    <t>MOB-010_256.mp4</t>
  </si>
  <si>
    <t>4. Lưu DB field inspection_equipment_insulation.chk_alarm_status=-1
5. Lưu DB field
inspection_equipment_insulation.chk_alarm_status=0
6. Lưu DB field
inspection_equipment_insulation.chk_alarm_status=1
7. Lưu DB field
inspection_equipment_insulation.chk_alarm_status=2</t>
  </si>
  <si>
    <t>MOB-010_257.mp4</t>
  </si>
  <si>
    <t>1. Item được hiển thị đúng kiểu là Label/Text
Text là 〇：良好　△：更新推奨　✕：不適合、推奨　―：該当設備無し</t>
  </si>
  <si>
    <t>Step ③ 蓄電設備</t>
  </si>
  <si>
    <t>1. Item được hiển thị đúng kiểu là Label/Text
Text là 蓄電設備の点検</t>
  </si>
  <si>
    <t>MOB-010_259.png</t>
  </si>
  <si>
    <t xml:space="preserve">1. Check hiển thị data của vùng 蓄電設備の点検
</t>
  </si>
  <si>
    <t xml:space="preserve">1.Hiển thị data từ câu SQL sau
SELECT e.usage_purpose,
ies.id,
ies.chk_float_voltage_num,
ies.chk_voltage_num,                                                                        
ies.chk_electrolyte_level                                                                                                                                                                                                         
FROM inspection_equipment_storage ies   
        INNER JOIN inspection i ON ies.inspection_id = i.id                    
        INNER JOIN site_location sl ON ies.site_location_id = sl.id                                                                                                                                        
        INNER JOIN equipment e ON ies.equipment_id = e.id
WHERE 
         i.site_id = e.site_id AND 
         ies.site_location_id = &lt;❶ sl.id - xử lý 5.2.3.b site_location.id từng phòng&gt;
this_time:
         AND ies.inspection_id = :&lt;current_inspection.id&gt;
         ORDER BY ies.id ASC;
last_time: (cho từng record tương ứng của this time, gắn với equipment / device)
         AND ies.inspection_id = :&lt;last_inspection.id&gt;
         AND ies.equipment_id = &lt;this_time.equipment_id&gt;
         ORDER BY ies.id DESC LIMIT 1;
</t>
  </si>
  <si>
    <t>Query (như đã note) không ra data, nhưng trên màn hình vẫn hiện ra 3 bản ghi, không biết lấy đâu ra (có vẻ đang fix cứng)</t>
  </si>
  <si>
    <t>All item step3</t>
  </si>
  <si>
    <t>1.Confirm hiển thị các item có thể input ở  step13
2. Tap focus lần lượt vào các text input này
3. Input lần lượt vào các text input
4. Click button back ra màn hình khác rồi qua lại màn hình</t>
  </si>
  <si>
    <t xml:space="preserve">Không lưu được giá trị đã input khi back ra rồi vào  lại
</t>
  </si>
  <si>
    <r>
      <rPr>
        <sz val="11"/>
        <color theme="1"/>
        <rFont val="Calibri"/>
      </rPr>
      <t xml:space="preserve">Khi nhập giá trị local giống với last time thì vẫn có background vàng
</t>
    </r>
    <r>
      <rPr>
        <sz val="11"/>
        <color rgb="FFFF0000"/>
        <rFont val="Calibri"/>
      </rPr>
      <t>RoC: REZIL-1025 thực hiện ở Sprint sau</t>
    </r>
  </si>
  <si>
    <r>
      <rPr>
        <sz val="11"/>
        <color theme="1"/>
        <rFont val="Calibri"/>
      </rPr>
      <t xml:space="preserve">Khi nhập giá trị local giống với last time thì vẫn có background vàng
</t>
    </r>
    <r>
      <rPr>
        <sz val="11"/>
        <color rgb="FFFF0000"/>
        <rFont val="Calibri"/>
      </rPr>
      <t>RoC: REZIL-1025 thực hiện ở Sprint sau</t>
    </r>
  </si>
  <si>
    <t>Case compare background local, làm sau</t>
  </si>
  <si>
    <t xml:space="preserve">Các item require thuộc step3 :
浮動(V) ※               
蓄電池(V) ※                                    
                                                                     </t>
  </si>
  <si>
    <t xml:space="preserve">1. Không input các item require ở vùng 変圧器負荷状況 
2. Focus out 
</t>
  </si>
  <si>
    <t xml:space="preserve">2.1. Tô đỏ khung
Có background đỏ nhạt
Hiện label 必須
2.2. Open modal của group tương ứng.
Hiển thị error required ở các item require
Tô đỏ khung
Có background đỏ nhạt
Hiện label 必須
Các item ko require hiển thị bình thường
</t>
  </si>
  <si>
    <t>MOB-010_266.png</t>
  </si>
  <si>
    <t xml:space="preserve">Các item require thuộc step3 :
浮動(V) ※               
蓄電池(V) ※                                    
                                                                     </t>
  </si>
  <si>
    <t>MOB-010_267.png</t>
  </si>
  <si>
    <t>All item có define min,max ở tab other room (step3)</t>
  </si>
  <si>
    <r>
      <rPr>
        <sz val="11"/>
        <color rgb="FF000000"/>
        <rFont val="Arial"/>
      </rPr>
      <t>1. Tô đỏ khung        
Có background đỏ nhạt        
Xoá input đã nhập        
Hiện thị label tương ứng với phạm vi input 
format 入力範囲：{min}〜{max}        
2. Tô đỏ khung</t>
    </r>
    <r>
      <rPr>
        <sz val="11"/>
        <color rgb="FFFF0000"/>
        <rFont val="Arial"/>
      </rPr>
      <t xml:space="preserve"> (không bao gồm các item không phải require)
</t>
    </r>
    <r>
      <rPr>
        <sz val="11"/>
        <color rgb="FF000000"/>
        <rFont val="Arial"/>
      </rPr>
      <t>Có background đỏ nhạt
Hiện label 必須</t>
    </r>
  </si>
  <si>
    <t>MOB-010_268.mp4</t>
  </si>
  <si>
    <t>Chưa thấy show label 入力範囲：{min}〜{max}</t>
  </si>
  <si>
    <t>All item có define kiểu dữ liệu decimal, integer ở tab other room (step3)</t>
  </si>
  <si>
    <r>
      <rPr>
        <sz val="11"/>
        <color rgb="FF000000"/>
        <rFont val="Arial"/>
      </rPr>
      <t>1</t>
    </r>
    <r>
      <rPr>
        <sz val="11"/>
        <color rgb="FF000000"/>
        <rFont val="Arial"/>
      </rPr>
      <t>. Nhập vào text input khác kiểu dữ liệu cho phép, Focus out
2. Nhập vào text input số khác format cho phép, Focus out</t>
    </r>
  </si>
  <si>
    <t xml:space="preserve"> MOB-010_269.mp4</t>
  </si>
  <si>
    <t>MOB-010_270.png</t>
  </si>
  <si>
    <t>Trường hợp không có data this_time, mà có data last thì không hiển được value usage_purpose</t>
  </si>
  <si>
    <r>
      <rPr>
        <sz val="11"/>
        <color rgb="FF000000"/>
        <rFont val="Arial"/>
      </rPr>
      <t>1. Item được hiển thị đúng kiểu là Label/Text
Text là</t>
    </r>
    <r>
      <rPr>
        <sz val="11"/>
        <color rgb="FF000000"/>
        <rFont val="Arial"/>
      </rPr>
      <t xml:space="preserve"> 浮動(V) ※ </t>
    </r>
  </si>
  <si>
    <t>MOB-010_271.png</t>
  </si>
  <si>
    <t>chk_float_voltage_num (last time)</t>
  </si>
  <si>
    <t>1. Hiển thị text: 
Data get từ field: 
last time: last inspection_equipment_storage.chk_float_voltage_num</t>
  </si>
  <si>
    <t>MOB-010_272.png</t>
  </si>
  <si>
    <t>chk_float_voltage_num (this time)</t>
  </si>
  <si>
    <t xml:space="preserve"> MOB-010_273.mp4</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</si>
  <si>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inspection_equipment_storage.chk_float_voltage_num
</t>
  </si>
  <si>
    <t xml:space="preserve"> MOB-010_274.mp4</t>
  </si>
  <si>
    <r>
      <rPr>
        <sz val="11"/>
        <color rgb="FF000000"/>
        <rFont val="Arial"/>
      </rPr>
      <t xml:space="preserve">1. Item được hiển thị đúng kiểu là Label/Text
Text là </t>
    </r>
    <r>
      <rPr>
        <sz val="11"/>
        <color rgb="FF000000"/>
        <rFont val="Arial"/>
      </rPr>
      <t xml:space="preserve">蓄電池(V) ※ </t>
    </r>
  </si>
  <si>
    <t>MOB-010_275.png</t>
  </si>
  <si>
    <t>chk_voltage_num (last time)</t>
  </si>
  <si>
    <t>1. Hiển thị text: 
Data get từ field: 
last time: last inspection_equipment_storage.chk_voltage_num</t>
  </si>
  <si>
    <t>MOB-010_276.png</t>
  </si>
  <si>
    <t>chk_voltage_num(this time)</t>
  </si>
  <si>
    <t xml:space="preserve"> MOB-010_277.mp4</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</si>
  <si>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inspection_equipment_storage.chk_voltage_num
</t>
  </si>
  <si>
    <t xml:space="preserve"> MOB-010_278.mp4</t>
  </si>
  <si>
    <t>1. Item được hiển thị đúng kiểu là Label/Text
Text là 液面状態</t>
  </si>
  <si>
    <t>MOB-010_279.png</t>
  </si>
  <si>
    <t>Last time</t>
  </si>
  <si>
    <t>1. Hiển thị text: 
2.Data get từ field: 
inspection_equipment_storage.chk_electrolyte_level
Hiện thị 4 lựa chọn: 
case IS_BAD  (-1, "✕")
case IS_NOT_APPLICABLE ( 0, "-")
case IS_WARNING  ( 1, "△")
case IS_GOOD ( 2, "◯")
Default: không chọn</t>
  </si>
  <si>
    <t>MOB-010_280-01.png
MOB-010_280-02.png
MOB-010_280-03.png
MOB-010_280-04.png
MOB-010_280-05.png</t>
  </si>
  <si>
    <t xml:space="preserve">chk_electrolyte_level </t>
  </si>
  <si>
    <t xml:space="preserve">1. Chuẩn bị các bản ghi có data  thỏa mãn điều kiện (hoặc update data cùng 1 bản ghi lần lượt như dưới)
1.1.  this time inspection_equipment_storage.chk_electrolyte_level=null
1.2. this time  inspection_equipment_storage.chk_electrolyte_level=-1
1.3. this time iinspection_equipment_storage.chk_electrolyte_level=0
1.4. this time inspection_equipment_storage.chk_electrolyte_level=1
1.5. this time inspection_equipment_storage.chk_electrolyte_level=2
Confirm hiển thị data của các bàn ghi
</t>
  </si>
  <si>
    <t xml:space="preserve">1. Hiển thị như sau:
1.1. Không có option nào được chọn
1.2. Option "✕" được chọn, hiển thị background xanh đậm
1.3.Option "-" được chọn, hiển thị background xanh đậm
1.4. Option "△" được chọn, hiển thị background xanh đậm
1.5 Option "◯" được chọn, hiển thị background xanh đậm
</t>
  </si>
  <si>
    <t>MOB-010_281-01.png
MOB-010_281-02.png
MOB-010_281-03.png
MOB-010_281-04.png
MOB-010_281-05.png</t>
  </si>
  <si>
    <t>chk_electrolyte_level (this time)</t>
  </si>
  <si>
    <t>4. Lưu DB field
inspection_equipment_storage.chk_electrolyte_level=-1
5. Lưu DB field
inspection_equipment_storage.chk_electrolyte_level=0
6. Lưu DB field
inspection_equipment_storage.chk_electrolyte_level=1
7. Lưu DB field
inspection_equipment_storage.chk_electrolyte_level=2</t>
  </si>
  <si>
    <t>MOB-010_282-04.png
MOB-010_282-01.png
MOB-010_282-02.png
MOB-010_282-03.png</t>
  </si>
  <si>
    <t>Step ④ 設備点検結果: Luôn xuất hiện ở mọi phòng (chỉ cần có 1 thiết bị là sẽ có)</t>
  </si>
  <si>
    <t>1. Item được hiển thị đúng kiểu là Label/Text
Text là 設備点検結果</t>
  </si>
  <si>
    <t xml:space="preserve">1. Check hiển thị data của vùng 設備点検結果
</t>
  </si>
  <si>
    <t>1.Hiển thị data từ câu SQL sau
SELECT 
chk_incoming_line,                                                                        
chk_section_switch_cabinet,                                                                
chk_high_voltage_cable,                                                                        
chk_bus_line_support,                                                                        
chk_lightning_arrester,                                                                        
chk_instrument_transformer,                                                                
chk_breaker_disconnect_switch,                                                                        
chk_switch_high_voltage_fuse,                                                                        
chk_transformer,                                                                        
chk_condenser_reactor,                                                                
chk_protection_relay,                                                                        
chk_grounding_status,                                                                        
chk_distribution_panel,                                                                        
chk_power_generation_storage,                                                                        
chk_electric_room_cubicle,                                                                        
chk_fire_extinguisher,                                                                        
chk_insulation_monitoring_device,                                                                        
chk_pcb_equipment_status,                                                                        
chk_sub_distribution_low_voltage,                                                                        
chk_load_equipment,                                                                        
chk_low_voltage_wiring_devices,                                                                        
chk_other                                                                    
FROM inspection_location 
        INNER JOIN inspection i ON ier.inspection_id = i.id 
        INNER JOIN site_location sl ON ier.site_location_id = sl.id  
WHERE 
         inspection_location.site_location_id = &lt;❶ sl.id - xử lý 5.2.3.b site_location.id từng phòng&gt;
this_time: 
         AND inspection_location.inspection_id = :&lt;current_inspection.id&gt;
         ORDER BY inspection_location.id DESC LIMIT 1;
last_time: (cho từng record tương ứng của this time)
WHERE 
         AND inspection_location.inspection_id = :&lt;last_inspection.id&gt;
         ORDER BY inspection_location.id DESC LIMIT 1;</t>
  </si>
  <si>
    <t>MOB-010_284.mp4</t>
  </si>
  <si>
    <t>SELECT
    m.name AS manufacturer_name,
    e.usage_purpose,
    e.manufacture_date,
    em.model_number,
    ieg.chk_battery_voltage,
    ieg.chk_output_voltage,
    ieg.chk_frequency,
    ieg.chk_in_rotation_speed,
    ieg.chk_total_operating_hours,
    ieg.chk_remaining_fuel,
    ieg.chk_post_rotation_speed,
    ieg.chk_cooling_water_level,
    ieg.chk_appearance_inspection,
    ieg.chk_decision
FROM rezil_esms_inspection.inspection_equipment_generator ieg
INNER JOIN equipment e 
    ON ieg.equipment_id = e.id
INNER JOIN equipment_master em 
    ON e.equipment_master_id = em.id
INNER JOIN safety_equipment se 
    ON em.safety_equipment_id = se.id
INNER JOIN manufacturer m 
    ON em.manufacturer_id = m.id
WHERE ieg.inspection_id = 1878
  AND ieg.site_location_id = 2789
ORDER BY ieg.id ASC;</t>
  </si>
  <si>
    <t>All item step4</t>
  </si>
  <si>
    <t>1. Check vào flag bất kì ở all item step 4
2. Click button back ra màn hình khác rồi qua lại màn hình</t>
  </si>
  <si>
    <t>1. Hiển thị giá trị đã chọn
2. Vào đúng phòng trước đó thoát ra, Item vẫn hiển thị giá trị đã chọn trước đó</t>
  </si>
  <si>
    <t>MOB-010_285.mp4</t>
  </si>
  <si>
    <r>
      <rPr>
        <sz val="11"/>
        <color rgb="FF000000"/>
        <rFont val="Arial"/>
      </rPr>
      <t xml:space="preserve">1. Item được hiển thị đúng kiểu là Label/Text
Text là 引込線
2.Data get từ field: 
inspection_location.chk_incoming_line
Hiện thị 4 lựa chọn: 
case IS_BAD  (-1, "✕")
case IS_NOT_APPLICABLE ( 0, "-")
case IS_WARNING  ( 1, "△")
case IS_GOOD ( 2, "◯")
</t>
    </r>
    <r>
      <rPr>
        <sz val="11"/>
        <color rgb="FF000000"/>
        <rFont val="Arial"/>
      </rPr>
      <t xml:space="preserve">Default chọn "ー" IS_NOT_APPLICABLE 
Note: Trường hợp data null sẽ chọn </t>
    </r>
    <r>
      <rPr>
        <sz val="11"/>
        <color rgb="FF000000"/>
        <rFont val="Arial"/>
      </rPr>
      <t xml:space="preserve"> "ー"</t>
    </r>
  </si>
  <si>
    <t>Data null chưa chọn option default "ー"</t>
  </si>
  <si>
    <t>1. Chuẩn bị các bản ghi có data  thỏa mãn điều kiện (hoặc update data cùng 1 bản ghi lần lượt như dưới)
1.1. last time = this time inspection_location.chk_incoming_line=null
1.2. last time = this time inspection_location.chk_incoming_line=-1
1.3. last time = this time inspection_location.chk_incoming_line=0
1.4. last time = this time inspection_location.chk_incoming_line=1
1.5. last time = this time inspection_location.chk_incoming_line=2
Confirm hiển thị data của các bàn ghi
2. Chuẩn bị các bản ghi có data  thỏa mãn điều kiện (hoặc update data cùng 1 bản ghi lần lượt như dưới)
2.1. Last time khác this time :
 this time inspection_location.chk_incoming_line=-1
 last time inspection_location.chk_incoming_line=0</t>
  </si>
  <si>
    <t>MOB-010_287.jpg</t>
  </si>
  <si>
    <t>hiện tại khi click download thì chỉ thấy màu last time là lần chọn trước đó, đúng thì last_time được lấy từ last_inspection</t>
  </si>
  <si>
    <t>1.Chọn vào option "✕" 
2. Press button アップロード
3. Click button はい
4. Confirm DB
5. Chọn vào option " -"  thực hiện các step tương tự trên
6. Chọn vào option "△"   thực hiện các step tương tự trên
7.Chọn vào option "◯"  thực hiện các step tương tự trên</t>
  </si>
  <si>
    <t>4. Lưu DB field
inspection_location.chk_incoming_line=-1
Lần này ghi đè lần trước.
5. Lưu DB field
inspection_location.chk_incoming_line=0
Lần này ghi đè lần trước.
6. Lưu DB field
inspection_location.chk_communication_test=1
Lần này ghi đè lần trước.
7. Lưu DB field
inspection_location.chk_incoming_line=2
Lần này ghi đè lần trước.</t>
  </si>
  <si>
    <t>MOB-010_288.mp4</t>
  </si>
  <si>
    <r>
      <rPr>
        <sz val="11"/>
        <color rgb="FF000000"/>
        <rFont val="Arial"/>
      </rPr>
      <t xml:space="preserve">1. Item được hiển thị đúng kiểu là Label/Text
Text là 区分開閉器・高圧キャビネット
2.Data get từ field: 
inspection_location.chk_section_switch_cabinet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</si>
  <si>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inspection_location.chk_section_switch_cabinet=null
1.2. last time = this time inspection_location.chk_section_switch_cabinet=-1
1.3. last time = this time inspection_location.chk_section_switch_cabinet=0
1.4. last time = this time inspection_location.chk_section_switch_cabinet=1
1.5. last time = this time inspection_location.chk_section_switch_cabinet=2
Confirm hiển thị data của các bàn ghi
2. Chuẩn bị các bản ghi có data  thỏa mãn điều kiện (hoặc update data cùng 1 bản ghi lần lượt như dưới)
2.1. Last time khác this time :
 this time inspection_location.chk_section_switch_cabinet=-1
 last time inspection_location.chk_section_switch_cabinet=0</t>
  </si>
  <si>
    <t>MOB-010_290.jpg</t>
  </si>
  <si>
    <t>4. Lưu DB field
last time inspection_location.chk_section_switch_cabinet=-1
Lần này ghi đè lần trước.
5. Lưu DB field
last time inspection_location.chk_section_switch_cabinet=0
Lần này ghi đè lần trước.
6. Lưu DB field
last time inspection_location.chk_section_switch_cabinet=1
Lần này ghi đè lần trước.
7. Lưu DB field
last time inspection_location.chk_section_switch_cabinet=2
Lần này ghi đè lần trước.</t>
  </si>
  <si>
    <t>MOB-010_291.mp4</t>
  </si>
  <si>
    <r>
      <rPr>
        <sz val="11"/>
        <color rgb="FF000000"/>
        <rFont val="Arial"/>
      </rPr>
      <t>1. Item được hiển thị đúng kiểu là Label/Text
Text là 高圧ケーブル
2.Data get từ field: 
inspection_location.chk_high_voltage_cable
Hiện thị 4 lựa chọn: 
case IS_BAD  (-1, "✕")
case IS_NOT_APPLICABLE ( 0, "-")
case IS_WARNING  ( 1, "△")
case IS_GOOD ( 2, "◯")</t>
    </r>
    <r>
      <rPr>
        <sz val="11"/>
        <color rgb="FF000000"/>
        <rFont val="Arial"/>
      </rPr>
      <t xml:space="preserve">
Default chọn "ー" IS_NOT_APPLICABLE </t>
    </r>
  </si>
  <si>
    <t>1. Chuẩn bị các bản ghi có data  thỏa mãn điều kiện (hoặc update data cùng 1 bản ghi lần lượt như dưới)
1.1. last time = this time inspection_location.chk_high_voltage_cable=null
1.2. last time = this time inspection_location.chk_high_voltage_cable=-1
1.3. last time = this time inspection_location.chk_high_voltage_cablet=0
1.4. last time = this time inspection_location.chk_high_voltage_cable=1
1.5. last time = this time inspection_location.chk_high_voltage_cable=2
Confirm hiển thị data của các bàn ghi
2. Chuẩn bị các bản ghi có data  thỏa mãn điều kiện (hoặc update data cùng 1 bản ghi lần lượt như dưới)
2.1. Last time khác this time :
 this time inspection_location.chk_high_voltage_cable=-1
 last time inspection_location.chk_high_voltage_cable=0</t>
  </si>
  <si>
    <t>MOB-010_293.jpg</t>
  </si>
  <si>
    <t>4. Lưu DB field
inspection_location.chk_high_voltage_cable=-1
Lần này ghi đè lần trước.
5. Lưu DB field
inspection_location.chk_high_voltage_cable=0
Lần này ghi đè lần trước.
6. Lưu DB field
inspection_location.chk_high_voltage_cable=1
Lần này ghi đè lần trước.
7. Lưu DB field
inspection_location.chk_high_voltage_cable=2
Lần này ghi đè lần trước.</t>
  </si>
  <si>
    <t>MOB-010_294.mp4</t>
  </si>
  <si>
    <r>
      <rPr>
        <sz val="11"/>
        <color rgb="FF000000"/>
        <rFont val="Arial"/>
      </rPr>
      <t xml:space="preserve">1. Item được hiển thị đúng kiểu là Label/Text
Text là 母線・電線 支持物
2.Data get từ field: 
inspection_location.chk_bus_line_support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</si>
  <si>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inspection_location.chk_bus_line_support=null
1.2. last time = this time inspection_location.chk_bus_line_support=-1
1.3. last time = this time inspection_location.chk_bus_line_support=0
1.4. last time = this time inspection_location.chk_bus_line_support=1
1.5. last time = this time inspection_location.chk_bus_line_support=2
Confirm hiển thị data của các bàn ghi
2. Chuẩn bị các bản ghi có data  thỏa mãn điều kiện (hoặc update data cùng 1 bản ghi lần lượt như dưới)
2.1. Last time khác this time :
 this time inspection_location.chk_bus_line_support=-1
 last time inspection_location.chk_bus_line_support=0</t>
  </si>
  <si>
    <t>MOB-010_296.jpg</t>
  </si>
  <si>
    <t>4. Lưu DB field
inspection_location.chk_bus_line_support=-1
5. Lưu DB field
inspection_location.chk_bus_line_support=0
6. Lưu DB field
inspection_location.chk_bus_line_support=1
7. Lưu DB field
inspection_location.chk_bus_line_support=2</t>
  </si>
  <si>
    <t>MOB-010_297.mp4</t>
  </si>
  <si>
    <r>
      <rPr>
        <sz val="11"/>
        <color rgb="FF000000"/>
        <rFont val="Arial"/>
      </rPr>
      <t xml:space="preserve">1. Item được hiển thị đúng kiểu là Label/Text
Text là 避雷器
2.Data get từ field: 
inspection_location.chk_lightning_arrester
Hiện thị 4 lựa chọn: 
case IS_BAD  (-1, "✕")
case IS_NOT_APPLICABLE ( 0, "-")
case IS_WARNING  ( 1, "△")
case IS_GOOD ( 2, "◯")
</t>
    </r>
    <r>
      <rPr>
        <sz val="11"/>
        <color rgb="FF000000"/>
        <rFont val="Arial"/>
      </rPr>
      <t>Default chọn "ー" IS_NOT_APPLICABLE</t>
    </r>
    <r>
      <rPr>
        <sz val="11"/>
        <color rgb="FF000000"/>
        <rFont val="Arial"/>
      </rPr>
      <t xml:space="preserve"> </t>
    </r>
  </si>
  <si>
    <t>1. Chuẩn bị các bản ghi có data  thỏa mãn điều kiện (hoặc update data cùng 1 bản ghi lần lượt như dưới)
1.1. last time = this time inspection_location.chk_lightning_arrester=null
1.2. last time = this time inspection_location.chk_lightning_arrester=-1
1.3. last time = this time inspection_location.chk_lightning_arrester=0
1.4. last time = this time inspection_location.chk_lightning_arrester=1
1.5. last time = this time inspection_location.chk_lightning_arrester=2
Confirm hiển thị data của các bàn ghi
2. Chuẩn bị các bản ghi có data  thỏa mãn điều kiện (hoặc update data cùng 1 bản ghi lần lượt như dưới)
2.1. Last time khác this time :
 this time inspection_location.chk_lightning_arrester=-1
 last time inspection_location.chk_lightning_arrester=0</t>
  </si>
  <si>
    <t>MOB-010_299.jpg</t>
  </si>
  <si>
    <t>4. Lưu DB field
inspection_location.chk_lightning_arrester=-1
Lần này ghi đè lần trước.
5. Lưu DB field
inspection_location.chk_lightning_arrester=0
Lần này ghi đè lần trước.
6. Lưu DB field
inspection_location.chk_lightning_arrester=1
Lần này ghi đè lần trước.
7. Lưu DB field
inspection_location.chk_lightning_arrester=2
Lần này ghi đè lần trước.</t>
  </si>
  <si>
    <t>MOB-010_300.mp4</t>
  </si>
  <si>
    <r>
      <rPr>
        <sz val="11"/>
        <color rgb="FF000000"/>
        <rFont val="Arial"/>
      </rPr>
      <t xml:space="preserve">1. Item được hiển thị đúng kiểu là Label/Text
Text là 計器用変成器
2. Data get từ field: 
inspection_location.chk_instrument_transformer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</si>
  <si>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inspection_location.chk_instrument_transformer=null
1.2. last time = this time inspection_location.chk_instrument_transformer=-1
1.3. last time = this time inspection_location.chk_instrument_transformer=0
1.4. last time = this time inspection_location.chk_instrument_transformer=1
1.5. last time = this time inspection_location.chk_instrument_transformer=2
Confirm hiển thị data của các bàn ghi
2. Chuẩn bị các bản ghi có data  thỏa mãn điều kiện (hoặc update data cùng 1 bản ghi lần lượt như dưới)
2.1. Last time khác this time :
 this time inspection_location.chk_instrument_transformer=-1
 last time inspection_location.chk_instrument_transformer=0</t>
  </si>
  <si>
    <t>MOB-010_302.jpg</t>
  </si>
  <si>
    <t>4. Lưu DB field
inspection_location.chk_instrument_transformer=-1
Lần này ghi đè lần trước.
5. Lưu DB field
inspection_location.chk_instrument_transformer=0
Lần này ghi đè lần trước.
6. Lưu DB field
inspection_location.chk_instrument_transformer=1
Lần này ghi đè lần trước.
7. Lưu DB field
inspection_location.chk_instrument_transformer=2
Lần này ghi đè lần trước.</t>
  </si>
  <si>
    <t>MOB-010_303.mp4</t>
  </si>
  <si>
    <r>
      <rPr>
        <sz val="11"/>
        <color rgb="FF000000"/>
        <rFont val="Arial"/>
      </rPr>
      <t xml:space="preserve">1. Item được hiển thị đúng kiểu là Label/Text
Text là 遮断器・断路器
1. Hiển thị text: 
Data get từ field: 
inspection_location.chk_breaker_disconnect_switch
Hiện thị 4 lựa chọn: 
case IS_BAD  (-1, "✕")
case IS_NOT_APPLICABLE ( 0, "-")
case IS_WARNING  ( 1, "△")
case IS_GOOD ( 2, "◯")
</t>
    </r>
    <r>
      <rPr>
        <sz val="11"/>
        <color rgb="FF000000"/>
        <rFont val="Arial"/>
      </rPr>
      <t xml:space="preserve">
Default chọn "ー" IS_NOT_APPLICABLE</t>
    </r>
    <r>
      <rPr>
        <sz val="11"/>
        <color rgb="FF000000"/>
        <rFont val="Arial"/>
      </rPr>
      <t xml:space="preserve"> </t>
    </r>
  </si>
  <si>
    <t>1. Chuẩn bị các bản ghi có data  thỏa mãn điều kiện (hoặc update data cùng 1 bản ghi lần lượt như dưới)
1.1. last time = this time inspection_location.chk_breaker_disconnect_switch=null
1.2. last time = this time inspection_location.chk_breaker_disconnect_switch=-1
1.3. last time = this time inspection_location.chk_breaker_disconnect_switch=0
1.4. last time = this time inspection_location.chk_breaker_disconnect_switch=1
1.5. last time = this time inspection_location.chk_breaker_disconnect_switch=2
Confirm hiển thị data của các bàn ghi
2. Chuẩn bị các bản ghi có data  thỏa mãn điều kiện (hoặc update data cùng 1 bản ghi lần lượt như dưới)
2.1. Last time khác this time :
 this time inspection_location.chk_breaker_disconnect_switch=-1
 last time inspection_location.chk_breaker_disconnect_switch=0</t>
  </si>
  <si>
    <t>MOB-010_305.jpg</t>
  </si>
  <si>
    <t>4. Lưu DB field
inspection_location.chk_breaker_disconnect_switch=-1
Lần này ghi đè lần trước.
5. Lưu DB field
inspection_location.chk_breaker_disconnect_switch=0
Lần này ghi đè lần trước.
6. Lưu DB field
inspection_location.chk_breaker_disconnect_switch=1
Lần này ghi đè lần trước.
7. Lưu DB field
inspection_location.chk_breaker_disconnect_switch=2
Lần này ghi đè lần trước.</t>
  </si>
  <si>
    <t>MOB-010_306.mp4</t>
  </si>
  <si>
    <r>
      <rPr>
        <sz val="11"/>
        <color rgb="FF000000"/>
        <rFont val="Arial"/>
      </rPr>
      <t xml:space="preserve">1. Item được hiển thị đúng kiểu là Label/Text
Text là 開閉器・高圧ヒューズ
2.Data get từ field: 
inspection_location.chk_switch_high_voltage_fuse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</si>
  <si>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inspection_location.chk_switch_high_voltage_fuse=null
1.2. last time = this time inspection_location.chk_switch_high_voltage_fuse=-1
1.3. last time = this time inspection_location.chk_switch_high_voltage_fuse=0
1.4. last time = this time inspection_location.chk_switch_high_voltage_fuse=1
1.5. last time = this time iinspection_location.chk_switch_high_voltage_fuse=2
Confirm hiển thị data của các bàn ghi
2. Chuẩn bị các bản ghi có data  thỏa mãn điều kiện (hoặc update data cùng 1 bản ghi lần lượt như dưới)
2.1. Last time khác this time :
 this time inspection_location.chk_switch_high_voltage_fuse=-1
 last time inspection_location.chk_switch_high_voltage_fuse=0</t>
  </si>
  <si>
    <t>MOB-010_308.jpg</t>
  </si>
  <si>
    <t>4. Lưu DB field
inspection_location.chk_switch_high_voltage_fuse=-1
Lần này ghi đè lần trước.
5. Lưu DB field
inspection_location.chk_switch_high_voltage_fuse=0
Lần này ghi đè lần trước.
6. Lưu DB field
inspection_location.chk_switch_high_voltage_fuse=1
Lần này ghi đè lần trước.
7 Lưu DB field
inspection_location.chk_switch_high_voltage_fuse=2
Lần này ghi đè lần trước.</t>
  </si>
  <si>
    <t>MOB-010_309.mp4</t>
  </si>
  <si>
    <r>
      <rPr>
        <sz val="11"/>
        <color rgb="FF000000"/>
        <rFont val="Arial"/>
      </rPr>
      <t xml:space="preserve">1. Item được hiển thị đúng kiểu là Label/Text
Text là 変圧器
2. Data get từ field: 
inspection_location.chk_transformer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</si>
  <si>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inspection_location.chk_transformer=null
1.2. last time = this time inspection_location.chk_transformer=-1
1.3. last time = this time inspection_location.chk_transformer=0
1.4. last time = this time inspection_location.chk_transformer=1
1.5. last time = this time inspection_location.chk_transformer=2
Confirm hiển thị data của các bàn ghi
2. Chuẩn bị các bản ghi có data  thỏa mãn điều kiện (hoặc update data cùng 1 bản ghi lần lượt như dưới)
2.1. Last time khác this time :
 this time inspection_location.chk_transformer=-1
 last time inspection_location.chk_transformer=0</t>
  </si>
  <si>
    <t>MOB-010_311.jpg</t>
  </si>
  <si>
    <t>4. Lưu DB field
inspection_location.chk_transformer=-1
Lần này ghi đè lần trước.
5. Lưu DB field
inspection_location.chk_transformer=0
Lần này ghi đè lần trước.
6. Lưu DB field
inspection_location.chk_transformer=1
Lần này ghi đè lần trước.
7. Lưu DB field
inspection_location.chk_transformer=2
Lần này ghi đè lần trước.</t>
  </si>
  <si>
    <t>MOB-010_312.mp4</t>
  </si>
  <si>
    <r>
      <rPr>
        <sz val="11"/>
        <color rgb="FF000000"/>
        <rFont val="Arial"/>
      </rPr>
      <t xml:space="preserve">1. Item được hiển thị đúng kiểu là Label/Text
Text là コンデンサ・リアクトル
2.Data get từ field: 
inspection_location.chk_condenser_reactor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</si>
  <si>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inspection_location.chk_condenser_reactor=null
1.2. last time = this time inspection_location.chk_condenser_reactor=-1
1.3. last time = this time inspection_location.chk_condenser_reactor=0
1.4. last time = this time inspection_location.chk_condenser_reactor=1
1.5. last time = this time inspection_location.chk_condenser_reactor=2
Confirm hiển thị data của các bàn ghi
2. Chuẩn bị các bản ghi có data  thỏa mãn điều kiện (hoặc update data cùng 1 bản ghi lần lượt như dưới)
2.1. Last time khác this time :
 this time inspection_location.chk_condenser_reactor=-1
 last time inspection_location.chk_condenser_reactor=0</t>
  </si>
  <si>
    <t>MOB-010_314.jpg</t>
  </si>
  <si>
    <t>4. Lưu DB field
inspection_location.chk_condenser_reactor=-1
Lần này ghi đè lần trước.
5. Lưu DB field
inspection_location.chk_condenser_reactor=0
Lần này ghi đè lần trước.
6. Lưu DB field
inspection_location.chk_condenser_reactor=1
Lần này ghi đè lần trước.
7. Lưu DB field
inspection_location.chk_condenser_reactor=2
Lần này ghi đè lần trước.</t>
  </si>
  <si>
    <t>MOB-010_315.mp4</t>
  </si>
  <si>
    <r>
      <rPr>
        <sz val="11"/>
        <color rgb="FF000000"/>
        <rFont val="Arial"/>
      </rPr>
      <t xml:space="preserve">1. Item được hiển thị đúng kiểu là Label/Text
Text là 保護継電器類
2. Data get từ field: 
inspection_location.chk_protection_relay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</si>
  <si>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timei nspection_location.chk_protection_relay=null
1.2. last time = this time inspection_location.chk_protection_relay=-1
1.3. last time = this time inspection_location.chk_protection_relay=0
1.4. last time = this time inspection_location.chk_protection_relay=1
1.5. last time = this time inspection_location.chk_protection_relay=2
Confirm hiển thị data của các bàn ghi
2. Chuẩn bị các bản ghi có data  thỏa mãn điều kiện (hoặc update data cùng 1 bản ghi lần lượt như dưới)
2.1. Last time khác this time :
 this time inspection_location.chk_protection_relay=-1
 last time inspection_location.chk_protection_relay=0</t>
  </si>
  <si>
    <t>MOB-010_317.jpg</t>
  </si>
  <si>
    <t>4. Lưu DB field
inspection_location.chk_protection_relay=-1
Lần này ghi đè lần trước.
5. Lưu DB field
inspection_location.chk_protection_relay=0
Lần này ghi đè lần trước."
6. Lưu DB field
inspection_location.chk_protection_relay=1
Lần này ghi đè lần trước."
7. Lưu DB field
inspection_location.chk_protection_relay=2
Lần này ghi đè lần trước."</t>
  </si>
  <si>
    <t>MOB-010_318.mp4</t>
  </si>
  <si>
    <r>
      <rPr>
        <sz val="11"/>
        <color rgb="FF000000"/>
        <rFont val="Arial"/>
      </rPr>
      <t xml:space="preserve">1. Item được hiển thị đúng kiểu là Label/Text
Text là 接地状況
2.Data get từ field: 
inspection_location.chk_grounding_status
Hiện thị 4 lựa chọn: 
case IS_BAD  (-1, "✕")
case IS_NOT_APPLICABLE ( 0, "-")
case IS_WARNING  ( 1, "△")
case IS_GOOD ( 2, "◯")
</t>
    </r>
    <r>
      <rPr>
        <sz val="11"/>
        <color rgb="FF000000"/>
        <rFont val="Arial"/>
      </rPr>
      <t xml:space="preserve">
Default chọn "ー" IS_NOT_APPLICABLE </t>
    </r>
  </si>
  <si>
    <t>1. Chuẩn bị các bản ghi có data  thỏa mãn điều kiện (hoặc update data cùng 1 bản ghi lần lượt như dưới)
1.1. last time = this time inspection_location.chk_grounding_status=null
1.2. last time = this time inspection_location.chk_grounding_status=-1
1.3. last time = this time inspection_location.chk_grounding_status=0
1.4. last time = this time inspection_location.chk_grounding_status=1
1.5. last time = this time inspection_location.chk_grounding_status=2
Confirm hiển thị data của các bàn ghi
2. Chuẩn bị các bản ghi có data  thỏa mãn điều kiện (hoặc update data cùng 1 bản ghi lần lượt như dưới)
2.1. Last time khác this time :
 this time inspection_location.chk_grounding_status=-1
 last time inspection_location.chk_grounding_status=0</t>
  </si>
  <si>
    <t>MOB-010_320.jpg</t>
  </si>
  <si>
    <t>4. Lưu DB field
inspection_location.chk_grounding_status=-1
Lần này ghi đè lần trước.
5. Lưu DB field
inspection_location.chk_grounding_status=0
Lần này ghi đè lần trước.
6. Lưu DB field
inspection_location.chk_grounding_status=1
Lần này ghi đè lần trước."
7. Lưu DB field
inspection_location.chk_grounding_status=2
Lần này ghi đè lần trước.</t>
  </si>
  <si>
    <t>MOB-010_321.mp4</t>
  </si>
  <si>
    <r>
      <rPr>
        <sz val="11"/>
        <color rgb="FF000000"/>
        <rFont val="Arial"/>
      </rPr>
      <t xml:space="preserve">1. Item được hiển thị đúng kiểu là Label/Text
Text là 配電盤
2.Data get từ field: 
inspection_location.chk_distribution_panel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</si>
  <si>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inspection_location.chk_distribution_panel=null
1.2. last time = this time inspection_location.chk_distribution_panel=-1
1.3. last time = this time inspection_location.chk_distribution_panel=0
1.4. last time = this time inspection_location.chk_distribution_panel=1
1.5. last time = this time inspection_location.chk_distribution_panel=2
Confirm hiển thị data của các bàn ghi
2. Chuẩn bị các bản ghi có data  thỏa mãn điều kiện (hoặc update data cùng 1 bản ghi lần lượt như dưới)
2.1. Last time khác this time :
 this time inspection_location.chk_distribution_panel=-1
 last time inspection_location.chk_distribution_panel=0</t>
  </si>
  <si>
    <t>MOB-010_323.jpg</t>
  </si>
  <si>
    <r>
      <rPr>
        <sz val="11"/>
        <color rgb="FF000000"/>
        <rFont val="Arial"/>
      </rPr>
      <t xml:space="preserve">1. Item được hiển thị đúng kiểu là Label/Text
Text là 発電設備・蓄電設備
2. Data get từ field: 
inspection_location.chk_power_generation_storage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</si>
  <si>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inspection_location.chk_power_generation_storage=null
1.2. last time = this time inspection_location.chk_power_generation_storage=-1
1.3. last time = this time inspection_location.chk_power_generation_storage=0
1.4. last time = this time inspection_location.chk_power_generation_storage=1
1.5. last time = this time inspection_location.chk_power_generation_storage=2
Confirm hiển thị data của các bàn ghi
2. Chuẩn bị các bản ghi có data  thỏa mãn điều kiện (hoặc update data cùng 1 bản ghi lần lượt như dưới)
2.1. Last time khác this time :
 this time inspection_location.chk_power_generation_storage=-1
 last time inspection_location.chk_power_generation_storage=0</t>
  </si>
  <si>
    <t>MOB-010_325.jpg</t>
  </si>
  <si>
    <t>4. Lưu DB field
inspection_location.chk_power_generation_storage=-1
Lần này ghi đè lần trước.
5. Lưu DB field
inspection_location.chk_power_generation_storage=0
Lần này ghi đè lần trước.
6. Lưu DB field
inspection_location.chk_power_generation_storage=1
Lần này ghi đè lần trước.
7. Lưu DB field
inspection_location.chk_power_generation_storage=2
Lần này ghi đè lần trước.</t>
  </si>
  <si>
    <t>MOB-010_326.mp4</t>
  </si>
  <si>
    <r>
      <rPr>
        <sz val="11"/>
        <color rgb="FF000000"/>
        <rFont val="Arial"/>
      </rPr>
      <t xml:space="preserve">1. Item được hiển thị đúng kiểu là Label/Text
Text là 電気室・キュービクル
2. Data get từ field: 
inspection_location.chk_electric_room_cubicle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</si>
  <si>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inspection_location.chk_electric_room_cubicle=null
1.2. last time = this time inspection_location.chk_electric_room_cubicle=-1
1.3. last time = this time inspection_location.chk_electric_room_cubicle=0
1.4. last time = this time inspection_location.chk_electric_room_cubicle=1
1.5. last time = this time inspection_location.chk_electric_room_cubicle=2
Confirm hiển thị data của các bàn ghi
2. Chuẩn bị các bản ghi có data  thỏa mãn điều kiện (hoặc update data cùng 1 bản ghi lần lượt như dưới)
2.1. Last time khác this time :
 this time inspection_location.chk_electric_room_cubicle=-1
 last time inspection_location.chk_electric_room_cubicle=0</t>
  </si>
  <si>
    <t>MOB-010_328.jpg</t>
  </si>
  <si>
    <t xml:space="preserve">4. Lưu DB field
inspection_location.chk_electric_room_cubicle=-1
Lần này ghi đè lần trước.
5. Lưu DB field
inspection_location.chk_electric_room_cubicle=0
Lần này ghi đè lần trước."
6. Lưu DB field
inspection_location.chk_electric_room_cubicle=1
Lần này ghi đè lần trước."
7. Lưu DB field
inspection_location.chk_electric_room_cubicle=2
Lần này ghi đè lần trước."
</t>
  </si>
  <si>
    <t>MOB-010_329.mp4</t>
  </si>
  <si>
    <r>
      <rPr>
        <sz val="11"/>
        <color rgb="FF000000"/>
        <rFont val="Arial"/>
      </rPr>
      <t xml:space="preserve">1. Item được hiển thị đúng kiểu là Label/Text
Text là 消火器
Data get từ field: 
inspection_location.chk_fire_extinguisher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</si>
  <si>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inspection_location.chk_fire_extinguisher=null
1.2. last time = this time inspection_location.chk_fire_extinguisher=-1
1.3. last time = this time inspection_location.chk_fire_extinguisher=0
1.4. last time = this time inspection_location.chk_fire_extinguisher=1
1.5. last time = this time inspection_location.chk_fire_extinguisher=2
Confirm hiển thị data của các bàn ghi
2. Chuẩn bị các bản ghi có data  thỏa mãn điều kiện (hoặc update data cùng 1 bản ghi lần lượt như dưới)
2.1. Last time khác this time :
 this time inspection_location.chk_fire_extinguisher=-1
 last time inspection_location.chk_fire_extinguisher=0</t>
  </si>
  <si>
    <t>MOB-010_331.jpg</t>
  </si>
  <si>
    <t>4. Lưu DB field
inspection_location.chk_fire_extinguisher=-1
Lần này ghi đè lần trước.
5. Lưu DB field
inspection_location.chk_fire_extinguisher=0
Lần này ghi đè lần trước.
6. Lưu DB field
inspection_location.chk_fire_extinguisher=1
Lần này ghi đè lần trước.
7. Lưu DB field
inspection_location.chk_fire_extinguisher=2
Lần này ghi đè lần trước.</t>
  </si>
  <si>
    <t>MOB-010_332.mp4</t>
  </si>
  <si>
    <r>
      <rPr>
        <sz val="11"/>
        <color rgb="FF000000"/>
        <rFont val="Arial"/>
      </rPr>
      <t xml:space="preserve">1. Item được hiển thị đúng kiểu là Label/Text
Text là 絶縁監視装置
2. Data get từ field: 
inspection_location.chk_insulation_monitoring_device
Hiện thị 4 lựa chọn: 
case IS_BAD  (-1, "✕")
case IS_NOT_APPLICABLE ( 0, "-")
case IS_WARNING  ( 1, "△")
case IS_GOOD ( 2, "◯")
</t>
    </r>
    <r>
      <rPr>
        <sz val="11"/>
        <color rgb="FF000000"/>
        <rFont val="Arial"/>
      </rPr>
      <t xml:space="preserve">
Default chọn "ー" IS_NOT_APPLICABLE </t>
    </r>
  </si>
  <si>
    <t>1. Chuẩn bị các bản ghi có data  thỏa mãn điều kiện (hoặc update data cùng 1 bản ghi lần lượt như dưới)
1.1. last time = this time inspection_location.chk_insulation_monitoring_device=null
1.2. last time = this time inspection_location.chk_insulation_monitoring_device=-1
1.3. last time = this time inspection_location.chk_insulation_monitoring_device=0
1.4. last time = this time inspection_location.chk_insulation_monitoring_device=1
1.5. last time = this time inspection_location.chk_insulation_monitoring_device=2
Confirm hiển thị data của các bàn ghi
2. Chuẩn bị các bản ghi có data  thỏa mãn điều kiện (hoặc update data cùng 1 bản ghi lần lượt như dưới)
2.1. Last time khác this time :
 this time inspection_location.chk_insulation_monitoring_device=-1
 last time inspection_location.chk_insulation_monitoring_device=0</t>
  </si>
  <si>
    <t>MOB-010_334.jpg</t>
  </si>
  <si>
    <t>4. Lưu DB field
inspection_location.chk_insulation_monitoring_device=-1
Lần này ghi đè lần trước.
5. Lưu DB field
inspection_location.chk_insulation_monitoring_device=0
Lần này ghi đè lần trước.
6. Lưu DB field
inspection_location.chk_insulation_monitoring_device=1
Lần này ghi đè lần trước.
7 Lưu DB field
inspection_location.chk_insulation_monitoring_device=2
Lần này ghi đè lần trước.</t>
  </si>
  <si>
    <t>MOB-010_335.mp4</t>
  </si>
  <si>
    <r>
      <rPr>
        <sz val="11"/>
        <color rgb="FF000000"/>
        <rFont val="Arial"/>
      </rPr>
      <t xml:space="preserve">1. Item được hiển thị đúng kiểu là Label/Text
Text là PCB機器 使用状況
2. Data get từ field: 
inspection_location.chk_pcb_equipment_status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</si>
  <si>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inspection_location.chk_pcb_equipment_status=null
1.2. last time = this time inspection_location.chk_pcb_equipment_status=-1
1.3. last time = this time inspection_location.chk_pcb_equipment_status=0
1.4. last time = this time inspection_location.chk_pcb_equipment_status=1
1.5. last time = this time inspection_location.chk_pcb_equipment_status=2
Confirm hiển thị data của các bàn ghi
2. Chuẩn bị các bản ghi có data  thỏa mãn điều kiện (hoặc update data cùng 1 bản ghi lần lượt như dưới)
2.1. Last time khác this time :
 this time inspection_location.chk_pcb_equipment_status=-1
 last time inspection_location.chk_pcb_equipment_status=0</t>
  </si>
  <si>
    <t>MOB-010_337.jpg</t>
  </si>
  <si>
    <t>4. Lưu DB field
inspection_location.chk_pcb_equipment_status=-1
Lần này ghi đè lần trước.
5. Lưu DB field
inspection_location.chk_pcb_equipment_status=0
Lần này ghi đè lần trước.
6. Lưu DB field
inspection_location.chk_pcb_equipment_status=1
Lần này ghi đè lần trước.
7. Lưu DB field
inspection_location.chk_pcb_equipment_status=2
Lần này ghi đè lần trước.</t>
  </si>
  <si>
    <t>MOB-010_338.mp4</t>
  </si>
  <si>
    <r>
      <rPr>
        <sz val="11"/>
        <color rgb="FF000000"/>
        <rFont val="Arial"/>
      </rPr>
      <t xml:space="preserve">1. Item được hiển thị đúng kiểu là Label/Text
Text là 分電盤・低圧開閉器・遮断器等
2. Data get từ field: 
inspection_location.chk_sub_distribution_low_voltage
Hiện thị 4 lựa chọn: 
case IS_BAD  (-1, "✕")
case IS_NOT_APPLICABLE ( 0, "-")
case IS_WARNING  ( 1, "△")
</t>
    </r>
    <r>
      <rPr>
        <sz val="11"/>
        <color rgb="FF000000"/>
        <rFont val="Arial"/>
      </rPr>
      <t xml:space="preserve">case IS_GOOD ( 2, "◯")
Default chọn "ー" IS_NOT_APPLICABLE </t>
    </r>
  </si>
  <si>
    <t>1. Chuẩn bị các bản ghi có data  thỏa mãn điều kiện (hoặc update data cùng 1 bản ghi lần lượt như dưới)
1.1. last time = this time inspection_location.chk_sub_distribution_low_voltage=null
1.2. last time = this time inspection_location.chk_sub_distribution_low_voltage=-1
1.3. last time = this time inspection_location.chk_sub_distribution_low_voltage=0
1.4. last time = this time inspection_location.chk_sub_distribution_low_voltage=1
1.5. last time = this time inspection_location.chk_sub_distribution_low_voltage=2
Confirm hiển thị data của các bàn ghi
2. Chuẩn bị các bản ghi có data  thỏa mãn điều kiện (hoặc update data cùng 1 bản ghi lần lượt như dưới)
2.1. Last time khác this time :
 this time inspection_location.chk_sub_distribution_low_voltage=-1
 last time inspection_location.chk_sub_distribution_low_voltage=0</t>
  </si>
  <si>
    <t>MOB-010_340.jpg</t>
  </si>
  <si>
    <t>4. Lưu DB field
inspection_location.chk_sub_distribution_low_voltage=-1
Lần này ghi đè lần trước.
5. Lưu DB field
inspection_location.chk_sub_distribution_low_voltage=0
Lần này ghi đè lần trước.
6. Lưu DB field
inspection_location.chk_sub_distribution_low_voltage=1
Lần này ghi đè lần trước.
7. Lưu DB field
inspection_location.chk_sub_distribution_low_voltage=2
Lần này ghi đè lần trước.</t>
  </si>
  <si>
    <t>MOB-010_341.mp4</t>
  </si>
  <si>
    <r>
      <rPr>
        <sz val="11"/>
        <color rgb="FF000000"/>
        <rFont val="Arial"/>
      </rPr>
      <t xml:space="preserve">1. Item được hiển thị đúng kiểu là Label/Text
Text là 負荷設備
2.Data get từ field: 
inspection_location.chk_load_equipment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</si>
  <si>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inspection_location.chk_load_equipment=null
1.2. last time = this time inspection_location.chk_load_equipment=-1
1.3. last time = this time inspection_location.chk_load_equipment=0
1.4. last time = this time inspection_location.chk_load_equipment=1
1.5. last time = this time inspection_location.chk_load_equipment=2
Confirm hiển thị data của các bàn ghi
2. Chuẩn bị các bản ghi có data  thỏa mãn điều kiện (hoặc update data cùng 1 bản ghi lần lượt như dưới)
2.1. Last time khác this time :
 this time inspection_location.chk_load_equipment=-1
 last time inspection_location.chk_load_equipment=0</t>
  </si>
  <si>
    <t>MOB-010_343.jpg</t>
  </si>
  <si>
    <t>4. Lưu DB field
inspection_location.chk_load_equipment=-1
Lần này ghi đè lần trước.
5. Lưu DB field
inspection_location.chk_load_equipment=0
Lần này ghi đè lần trước.
6. Lưu DB field
inspection_location.chk_load_equipment=1
Lần này ghi đè lần trước.
7. Lưu DB field
inspection_location.chk_load_equipment=2
Lần này ghi đè lần trước.</t>
  </si>
  <si>
    <t>MOB-010_344.mp4</t>
  </si>
  <si>
    <r>
      <rPr>
        <sz val="11"/>
        <color rgb="FF000000"/>
        <rFont val="Arial"/>
      </rPr>
      <t xml:space="preserve">1. Item được hiển thị đúng kiểu là Label/Text
Text là 低圧配線・配線器具
2.Data get từ field: 
inspection_location.chk_low_voltage_wiring_devices
Hiện thị 4 lựa chọn: 
case IS_BAD  (-1, "✕")
case IS_NOT_APPLICABLE ( 0, "-")
case IS_WARNING  ( 1, "△")
case IS_GOOD ( 2, "◯")
</t>
    </r>
    <r>
      <rPr>
        <sz val="11"/>
        <color rgb="FF000000"/>
        <rFont val="Arial"/>
      </rPr>
      <t xml:space="preserve">Default chọn "ー" IS_NOT_APPLICABLE </t>
    </r>
  </si>
  <si>
    <t>1. Chuẩn bị các bản ghi có data  thỏa mãn điều kiện (hoặc update data cùng 1 bản ghi lần lượt như dưới)
1.1. last time = this time inspection_location.chk_low_voltage_wiring_devices=null
1.2. last time = this time inspection_location.chk_low_voltage_wiring_devices=-1
1.3. last time = this time inspection_location.chk_low_voltage_wiring_devices=0
1.4. last time = this time inspection_location.chk_low_voltage_wiring_devices=1
1.5. last time = this time inspection_location.chk_low_voltage_wiring_devices=2
Confirm hiển thị data của các bàn ghi
2. Chuẩn bị các bản ghi có data  thỏa mãn điều kiện (hoặc update data cùng 1 bản ghi lần lượt như dưới)
2.1. Last time khác this time :
 this time inspection_location.chk_low_voltage_wiring_devices=-1
 last time inspection_location.chk_low_voltage_wiring_devices=0</t>
  </si>
  <si>
    <t>MOB-010_346.jpg</t>
  </si>
  <si>
    <t>4. Lưu DB field
inspection_location.chk_low_voltage_wiring_devices=-1
Lần này ghi đè lần trước.
5. Lưu DB field
inspection_location.chk_low_voltage_wiring_devices=0
Lần này ghi đè lần trước.
6. Lưu DB field
inspection_location.chk_low_voltage_wiring_devices=1
Lần này ghi đè lần trước.
7. Lưu DB field
inspection_location.chk_low_voltage_wiring_devices=2
Lần này ghi đè lần trước.</t>
  </si>
  <si>
    <t>MOB-010_347.mp4</t>
  </si>
  <si>
    <r>
      <rPr>
        <sz val="11"/>
        <color rgb="FF000000"/>
        <rFont val="Arial"/>
      </rPr>
      <t xml:space="preserve">1. Item được hiển thị đúng kiểu là Label/Text
Text là その他
2. Data get từ field: 
inspection_location.chk_other
Hiện thị 4 lựa chọn: 
case IS_BAD  (-1, "✕")
case IS_NOT_APPLICABLE ( 0, "-")
case IS_WARNING  ( 1, "△")
case IS_GOOD ( 2, "◯")
</t>
    </r>
    <r>
      <rPr>
        <sz val="11"/>
        <color rgb="FF000000"/>
        <rFont val="Arial"/>
      </rPr>
      <t xml:space="preserve">
Default chọn "ー" IS_NOT_APPLICABLE </t>
    </r>
  </si>
  <si>
    <t>1. Chuẩn bị các bản ghi có data  thỏa mãn điều kiện (hoặc update data cùng 1 bản ghi lần lượt như dưới)
1.1. last time = this time inspection_location.chk_other=null
1.2. last time = this time inspection_location.chk_other=-1
1.3. last time = this time inspection_location.chk_other=0
1.4. last time = this time inspection_location.chk_other=1
1.5. last time = this time inspection_location.chk_other=2
Confirm hiển thị data của các bàn ghi
2. Chuẩn bị các bản ghi có data  thỏa mãn điều kiện (hoặc update data cùng 1 bản ghi lần lượt như dưới)
2.1. Last time khác this time :
 this time inspection_location.chk_other=-1
 last time inspection_location.chk_other=0</t>
  </si>
  <si>
    <t>MOB-010_349.jpg</t>
  </si>
  <si>
    <t>4. Lưu DB field
inspection_location.chk_other=-1
Lần này ghi đè lần trước.
5. Lưu DB field
inspection_location.chk_other=0
Lần này ghi đè lần trước."
6. Lưu DB field
inspection_location.chk_other=1
Lần này ghi đè lần trước."
7. Lưu DB field
inspection_location.chk_other=2
Lần này ghi đè lần trước.</t>
  </si>
  <si>
    <t>MOB-010_350.mp4</t>
  </si>
  <si>
    <t>Step ⑤ 点検結果: Luôn xuất hiện ở mọi phòng theo site_location, không liên quan tới thiết bị</t>
  </si>
  <si>
    <t xml:space="preserve">1. Check hiển thị data của vùng 点検結果
</t>
  </si>
  <si>
    <t xml:space="preserve">1. Data hiển thị được get từ SQL sau:
SELECT 
location_result                                                                 
FROM inspection_location
        INNER JOIN inspection i ON ier.inspection_id = i.id 
        INNER JOIN site_location sl ON ier.site_location_id = sl.id   
WHERE 
         inspection_location.site_location_id = &lt;❶ sl.id - xử lý 5.2.3.b site_location.id từng phòng&gt;
this_time: 
         AND inspection_location.inspection_id = :&lt;current_inspection.id&gt;
         ORDER BY inspection_location.id DESC LIMIT 1;
last_time: (cho từng record tương ứng của this time)
WHERE 
         AND inspection_location.inspection_id = :&lt;last_inspection.id&gt;
         ORDER BY inspection_location.id DESC LIMIT 1;
</t>
  </si>
  <si>
    <t>MOB-010_352.mp4</t>
  </si>
  <si>
    <t>location_result_title
location_result</t>
  </si>
  <si>
    <t>1. 1. Confirm hiển thị dropdown title
2. Mở dropdown list
2. Kiểm tra các giá trị trong pulldown</t>
  </si>
  <si>
    <t>1. Item được hiển thị đúng kiểu là Label/Text
Text là 点検結果
3. Hiển thị đúng data dropdown được get từ enum (field: inspection_location.location_result)
List data như sau:
本日の点検の結果、特に異常はありませんでした。
本日の点検の結果、以前からの「指摘事項」を除き、特に異常はありませんでした。
本日の点検の結果、電気設備に異常がありました。詳細は別紙の「指摘事項」に記載しております。
Default: chọn option đầu tiên</t>
  </si>
  <si>
    <t>MOB-010_353.webm</t>
  </si>
  <si>
    <t>1. Select data hợp lệ: 本日の点検の結果、特に異常はありませんでした。
2. Press button アップロード
3. Click button  はい
4.Confirm DB
5. Select data hợp lệ: 本日の点検の結果、以前からの「指摘事項」を除き、特に異常はありませんでした。, thực hiện tiếp các step tương tự trên
6. Select data hợp lệ: 本日の点検の結果、電気設備に異常がありました。詳細は別紙の「指摘事項」に記載しております。, thực hiện tiếp các step tương tự trên</t>
  </si>
  <si>
    <t>4. Lưu DB đúng trường tương ứng
inspection_location.location_result=1
5 Lưu DB đúng trường tương ứng
inspection_location.location_result=2
6. Lưu DB đúng trường tương ứng
inspection_location.location_result=3</t>
  </si>
  <si>
    <t>MOB-010_354.webm</t>
  </si>
  <si>
    <t>last_location_result (last time)</t>
  </si>
  <si>
    <t>1. Hiển thị text: 
Data get từ field: 
last time: last inspection_location.location_result</t>
  </si>
  <si>
    <t>MOB-010_355.webm</t>
  </si>
  <si>
    <t>Step ⑥ 非常用・常用発電機: Với mỗi thiết bị, hiện thị tương ứng 1 cụm</t>
  </si>
  <si>
    <t>Chuẩn bị data 4-5 equipment</t>
  </si>
  <si>
    <t>1. Check hiển thị data của vùng 非常用・常用発電機</t>
  </si>
  <si>
    <r>
      <rPr>
        <sz val="11"/>
        <color rgb="FF0000FF"/>
        <rFont val="Arial"/>
      </rPr>
      <t xml:space="preserve">1.Hiển thị data từ câu SQL sau
SELECT m.name,
e.usage_purpose,
e.manufacture_date,
em.model_number,
ieg.chk_battery_voltage,                                                                  
ieg.chk_output_voltage,                                                                       
ieg.chk_frequency,                                                               
</t>
    </r>
    <r>
      <rPr>
        <strike/>
        <sz val="11"/>
        <color rgb="FF0000FF"/>
        <rFont val="Arial"/>
      </rPr>
      <t>ieg.chk_in_rotation_speed,</t>
    </r>
    <r>
      <rPr>
        <sz val="11"/>
        <color rgb="FF0000FF"/>
        <rFont val="Arial"/>
      </rPr>
      <t xml:space="preserve">
ieg.chk_total_operating_hours,
ieg.chk_remaining_fuel,
ieg.chk_post_rotation_speed,
ieg.chk_cooling_water_level,
ieg.chk_appearance_inspection,
ieg.chk_decision                                                                                                                                                                                                                                                                                                                            
FROM inspection_equipment_generator ieg
        INNER JOIN inspection i ON ier.inspection_id = i.id 
        INNER JOIN site_location sl ON ier.site_location_id = sl.id                                                                                                                                           
        INNER JOIN equipment e ON ieg.equipment_id = e.id
        INNER JOIN equipment_master em ON e.equipment_master_id = </t>
    </r>
    <r>
      <rPr>
        <u/>
        <sz val="11"/>
        <color rgb="FF1155CC"/>
        <rFont val="Arial"/>
      </rPr>
      <t>em.id</t>
    </r>
    <r>
      <rPr>
        <sz val="11"/>
        <color rgb="FF0000FF"/>
        <rFont val="Arial"/>
      </rPr>
      <t xml:space="preserve">
        INNER JOIN manufacturer m ON em.manufacturer_id = m.id
WHERE 
         i.site_id = e.site_id
         AND ieg.site_location_id = &lt;❶ sl.id - xử lý 5.2.3.b site_location.id từng phòng&gt;
this_time:
         AND ieg.inspection_id = :current_inspection.id
         ORDER BY ieg.id ASC;
last_time: (cho từng record tương ứng của this time, gắn với equipment / device)
WHERE 
         ieg.inspection_id = :last_inspection.id
         AND ieg.equipment_id = &lt;this_time.equipment_id&gt;
ORDER BY ieg.id DESC LIMIT 1;</t>
    </r>
  </si>
  <si>
    <t>MOB-010_356.png</t>
  </si>
  <si>
    <t xml:space="preserve">Query ra 2 record nhưng đang hiển thị mỗi 1 record
SELECT
    m.name AS manufacturer_name,
    e.usage_purpose,
    e.manufacture_date,
    em.model_number,
    ieg.chk_battery_voltage,
    ieg.chk_output_voltage,
    ieg.chk_frequency,
    ieg.chk_in_rotation_speed,
    ieg.chk_total_operating_hours,
    ieg.chk_remaining_fuel,
    ieg.chk_post_rotation_speed,
    ieg.chk_cooling_water_level,
    ieg.chk_appearance_inspection,
    ieg.chk_decision
FROM inspection_equipment_generator ieg
INNER JOIN rezil_esms.equipment e
    ON ieg.equipment_id = e.id
INNER JOIN rezil_esms.equipment_master em
    ON e.equipment_master_id = em.id
INNER JOIN rezil_esms.safety_equipment se
    ON em.safety_equipment_id = se.id
INNER JOIN rezil_esms.manufacturer m
    ON em.manufacturer_id = m.id
WHERE
    ieg.inspection_id = 224
    AND ieg.site_location_id = 4
ORDER BY ieg.id ASC;
</t>
  </si>
  <si>
    <t>All item step6</t>
  </si>
  <si>
    <t>1.Confirm hiển thị các item có thể input ở  step6 
2. Tap focus lần lượt vào các text input này
3. Input lần lượt vào các text input
4. Click button back ra màn hình khác rồi qua lại màn hình</t>
  </si>
  <si>
    <t>Click button back ra màn hình khác rồi qua lại màn hình rồi vào đúng phòng trước đó thoát ra, Item chưa hiển thị giá trị đã input trước đó.
Đang có value, sau đó xóa value đi thì bị đang đóng bàn phím và scroll lên đầu page</t>
  </si>
  <si>
    <t>đợi roc mô tả kỹ hơn</t>
  </si>
  <si>
    <r>
      <rPr>
        <sz val="11"/>
        <color rgb="FF000000"/>
        <rFont val="Arial"/>
      </rPr>
      <t xml:space="preserve">Các item require thuộc step6
Item có thể input:
BATT電圧(V)
出力電圧(V)
周波数(Hz)
</t>
    </r>
    <r>
      <rPr>
        <strike/>
        <sz val="11"/>
        <color rgb="FF000000"/>
        <rFont val="Arial"/>
      </rPr>
      <t>回転数(rpm)</t>
    </r>
    <r>
      <rPr>
        <sz val="11"/>
        <color rgb="FF000000"/>
        <rFont val="Arial"/>
      </rPr>
      <t xml:space="preserve">
累計運転時間(ｈ)
残燃料(％)
回転数(rpm)
Item enum
冷却水レベル
外観点検
判定</t>
    </r>
  </si>
  <si>
    <t>1. Không input các item require  (note ở precondition)
2. Focus out 
3. Không select các item require (note ở precondition)
4.Click button 顧客確認へ</t>
  </si>
  <si>
    <t xml:space="preserve">2.1.Tô đỏ khung
Có background đỏ nhạt
Hiện label 必須
2.2. 
Hiển thị error required ở các item require
Tô đỏ khung
Có background đỏ nhạt
Hiện label 必須
Các item ko require hiển thị bình thường
4.Tô đỏ khung
Có background đỏ nhạt
Hiện label 必須
 Step (sidebar) nào có error, hiển thị mark ! tương ứng
</t>
  </si>
  <si>
    <t>MOB-010_362.mp4</t>
  </si>
  <si>
    <t>chưa tô đỏ khung</t>
  </si>
  <si>
    <r>
      <rPr>
        <sz val="11"/>
        <color rgb="FF000000"/>
        <rFont val="Arial"/>
      </rPr>
      <t xml:space="preserve">Các item require thuộc step6
Item có thể input:
BATT電圧(V)
出力電圧(V)
周波数(Hz)
</t>
    </r>
    <r>
      <rPr>
        <strike/>
        <sz val="11"/>
        <color rgb="FF000000"/>
        <rFont val="Arial"/>
      </rPr>
      <t>回転数(rpm)</t>
    </r>
    <r>
      <rPr>
        <sz val="11"/>
        <color rgb="FF000000"/>
        <rFont val="Arial"/>
      </rPr>
      <t xml:space="preserve">
累計運転時間(ｈ)
残燃料(％)
回転数(rpm)
Item enum
冷却水レベル
外観点検
判定</t>
    </r>
  </si>
  <si>
    <t xml:space="preserve">1. Không input /select các item require 
2. Click chuyển tab phòng khác
</t>
  </si>
  <si>
    <t>MOB-010_363.mp4</t>
  </si>
  <si>
    <t>All item có define min,max ở tab other room (step6)</t>
  </si>
  <si>
    <r>
      <rPr>
        <sz val="11"/>
        <color rgb="FF000000"/>
        <rFont val="Arial"/>
      </rPr>
      <t>1. Tô đỏ khung        
Có background đỏ nhạt        
Xoá input đã nhập        
Hiện thị label tương ứng với phạm vi input 
format 入力範囲：{min}〜{max}        
2.Tô đỏ khung</t>
    </r>
    <r>
      <rPr>
        <sz val="11"/>
        <color rgb="FFFF0000"/>
        <rFont val="Arial"/>
      </rPr>
      <t xml:space="preserve"> (không bao gồm các item không phải require)
Có background đỏ nhạt</t>
    </r>
    <r>
      <rPr>
        <sz val="11"/>
        <color rgb="FF000000"/>
        <rFont val="Arial"/>
      </rPr>
      <t xml:space="preserve">
Hiện label 必須</t>
    </r>
  </si>
  <si>
    <t>MOB-010_364.mp4</t>
  </si>
  <si>
    <t>All item có define kiểu dữ liệu decimal, integer ở tab other room (step6)</t>
  </si>
  <si>
    <r>
      <rPr>
        <sz val="11"/>
        <color rgb="FF000000"/>
        <rFont val="Arial"/>
      </rPr>
      <t>1</t>
    </r>
    <r>
      <rPr>
        <sz val="11"/>
        <color rgb="FF000000"/>
        <rFont val="Arial"/>
      </rPr>
      <t>. Nhập vào text input khác kiểu dữ liệu cho phép, Focus out
2. Nhập vào text input số khác format cho phép, Focus out</t>
    </r>
  </si>
  <si>
    <t>Đang Q&amp;A sẽ show message require hay min, max vì hiện xóa input đã nhập thì sẽ rơi vào case require</t>
  </si>
  <si>
    <t>generator_label</t>
  </si>
  <si>
    <t>1. Item được hiển thị đúng kiểu là Label/Text
Text là 非常用・常用発電機</t>
  </si>
  <si>
    <t>1. Item được hiển thị đúng kiểu là Label/Text
Text là 運転前点検</t>
  </si>
  <si>
    <t>1. Item được hiển thị đúng kiểu là Label/Text
Text là 運転中点検</t>
  </si>
  <si>
    <t>1. Item được hiển thị đúng kiểu là Label/Text
Text là 運転後点検</t>
  </si>
  <si>
    <t>1. Item được hiển thị đúng kiểu là Label/Text
Text là 外観点検</t>
  </si>
  <si>
    <t>1. Item được hiển thị đúng kiểu là Label/Text
Text là 判定</t>
  </si>
  <si>
    <t>manufacturer</t>
  </si>
  <si>
    <t>1. Item được hiển thị đúng kiểu là Label/Text
Text là メーカー
2. Data get từ field: 
manufacturer.name
FK equipment.equipment_master_id
FK equipment_master.manufacturer_id</t>
  </si>
  <si>
    <t>MOB-010_372.png</t>
  </si>
  <si>
    <t>MOB-010_373.png</t>
  </si>
  <si>
    <t>equipment_info_area</t>
  </si>
  <si>
    <t xml:space="preserve">1. Hiển thị thông tin equipment gồm các thông số sau  
model_number                                                                        output_capacity                                                                        manufacture_date                                                                        batt_manufacture_date                                                                        batt_renwal_deadline                                                                        </t>
  </si>
  <si>
    <t>MOB-010_374.png</t>
  </si>
  <si>
    <r>
      <rPr>
        <sz val="10"/>
        <color theme="1"/>
        <rFont val="Arial"/>
      </rPr>
      <t xml:space="preserve">batt_manufacture_date,
batt_renwal_deadline chưa format YYYYMM
</t>
    </r>
    <r>
      <rPr>
        <sz val="10"/>
        <color rgb="FFFF0000"/>
        <rFont val="Arial"/>
      </rPr>
      <t>QuangDD: Code hiện tại đã đúng format như BD</t>
    </r>
  </si>
  <si>
    <t xml:space="preserve">model_number  </t>
  </si>
  <si>
    <t>1. Item được hiển thị đúng kiểu là Label/Text
Text là 型式
2. Data get từ field: 
equipment_master.model_number
FK equipment.equipment_master_id</t>
  </si>
  <si>
    <t>MOB-010_375.png</t>
  </si>
  <si>
    <t xml:space="preserve">output_capacity </t>
  </si>
  <si>
    <t>1. Item được hiển thị đúng kiểu là Label/Text
Text là 出力(ｋVA)
2. Data get từ SQL: 
SELECT eav.value 
FROM equipment e 
LEFT JOIN equipment_attribute_value eav ON e.id = eav.equipment_id 
WHERE e.id = &lt;equipment_id&gt; AND eav.type_attribute_id = 34;</t>
  </si>
  <si>
    <t>MOB-010_376.png</t>
  </si>
  <si>
    <t xml:space="preserve">manufacture_date  </t>
  </si>
  <si>
    <t>1. Item được hiển thị đúng kiểu là Label/Text
Text là 製造年月(YYYYMM)
2.Data get từ field: 
equipment.manufacture_date
Format: YYYY/MM</t>
  </si>
  <si>
    <t>MOB-010_377.png</t>
  </si>
  <si>
    <t xml:space="preserve">batt_manufacture_date   </t>
  </si>
  <si>
    <t>1. Item được hiển thị đúng kiểu là Label/Text
Text là BATT製造年月
2. Data get từ SQL:
SELECT eav.value 
FROM equipment e 
LEFT JOIN equipment_attribute_value eav ON e.id = eav.equipment_id 
WHERE e.id = &lt;equipment_id&gt; AND eav.type_attribute_id = 36;
Format:  YYYY/MM</t>
  </si>
  <si>
    <t>MOB-010_378.png</t>
  </si>
  <si>
    <r>
      <rPr>
        <sz val="10"/>
        <color theme="1"/>
        <rFont val="Arial"/>
      </rPr>
      <t xml:space="preserve">batt_manufacture_date,
batt_renwal_deadline chưa format YYYYMM
</t>
    </r>
    <r>
      <rPr>
        <sz val="10"/>
        <color rgb="FFFF0000"/>
        <rFont val="Arial"/>
      </rPr>
      <t>QuangDD: Code hiện tại đã đúng format như BD</t>
    </r>
  </si>
  <si>
    <t xml:space="preserve">batt_renwal_deadline   </t>
  </si>
  <si>
    <t>1. Item được hiển thị đúng kiểu là Label/Text
Text là BATT更新期限
2.Data get từ SQL: 
SELECT eav.value 
FROM equipment e 
LEFT JOIN equipment_attribute_value eav ON e.id = eav.equipment_id 
WHERE e.id = &lt;equipment_id&gt; AND eav.type_attribute_id = 40;
Format:  YYYY/MM</t>
  </si>
  <si>
    <t>MOB-010_379.png</t>
  </si>
  <si>
    <r>
      <rPr>
        <sz val="10"/>
        <color theme="1"/>
        <rFont val="Arial"/>
      </rPr>
      <t xml:space="preserve">batt_manufacture_date,
batt_renwal_deadline chưa format YYYYMM
</t>
    </r>
    <r>
      <rPr>
        <sz val="10"/>
        <color rgb="FFFF0000"/>
        <rFont val="Arial"/>
      </rPr>
      <t>QuangDD: Code hiện tại đã đúng format như BD</t>
    </r>
  </si>
  <si>
    <r>
      <rPr>
        <sz val="11"/>
        <color rgb="FF000000"/>
        <rFont val="Arial"/>
      </rPr>
      <t xml:space="preserve">1. Item được hiển thị đúng kiểu là Label/Text
Text là </t>
    </r>
    <r>
      <rPr>
        <sz val="11"/>
        <color rgb="FF000000"/>
        <rFont val="Arial"/>
      </rPr>
      <t xml:space="preserve">BATT電圧(V)※ </t>
    </r>
  </si>
  <si>
    <t>chk_battery_voltage (last time)</t>
  </si>
  <si>
    <t>1. Hiển thị text: 
Data get từ field: 
last time: last inspection_equipment_generator.chk_battery_voltage</t>
  </si>
  <si>
    <t>MOB-010_381.png</t>
  </si>
  <si>
    <t>chk_battery_voltage(this time)</t>
  </si>
  <si>
    <t>MOB-010_382.webm</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</si>
  <si>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inspection_equipment_generator.chk_battery_voltage
</t>
  </si>
  <si>
    <t>MOB-010_383.webm</t>
  </si>
  <si>
    <r>
      <rPr>
        <sz val="11"/>
        <color rgb="FF000000"/>
        <rFont val="Arial"/>
      </rPr>
      <t xml:space="preserve">1. Item được hiển thị đúng kiểu là Label/Text
Text là </t>
    </r>
    <r>
      <rPr>
        <sz val="11"/>
        <color rgb="FF000000"/>
        <rFont val="Arial"/>
      </rPr>
      <t>出力電圧(V)※</t>
    </r>
  </si>
  <si>
    <t>chk_output_voltage (last time)</t>
  </si>
  <si>
    <t>1. Hiển thị text: 
Data get từ field: 
last time: last inspection_equipment_generator.chk_output_voltage</t>
  </si>
  <si>
    <t>MOB-010_385.webm</t>
  </si>
  <si>
    <t>chk_output_voltage(this time)</t>
  </si>
  <si>
    <t>MOB-010_386.webm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</si>
  <si>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inspection_equipment_generator.chk_output_voltage</t>
  </si>
  <si>
    <t>MOB-010_387.webm</t>
  </si>
  <si>
    <r>
      <rPr>
        <sz val="11"/>
        <color rgb="FF000000"/>
        <rFont val="Arial"/>
      </rPr>
      <t xml:space="preserve">1. Item được hiển thị đúng kiểu là Label/Text
Text là </t>
    </r>
    <r>
      <rPr>
        <sz val="11"/>
        <color rgb="FF000000"/>
        <rFont val="Arial"/>
      </rPr>
      <t>周波数(Hz)※</t>
    </r>
  </si>
  <si>
    <t>chk_frequency (last time)</t>
  </si>
  <si>
    <t>1. Hiển thị text: 
Data get từ field: 
last time: last inspection_equipment_generator.chk_frequency</t>
  </si>
  <si>
    <t>MOB-010_389.webm</t>
  </si>
  <si>
    <t>chk_frequency (this time)</t>
  </si>
  <si>
    <t>MOB-010_390.webm</t>
  </si>
  <si>
    <t xml:space="preserve">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inspection_equipment_generator.chk_frequency
</t>
  </si>
  <si>
    <t>MOB-010_391.webm</t>
  </si>
  <si>
    <t>1. Item 回転数(rpm)※ không được hiển thị (chk_in_rotation_speed)</t>
  </si>
  <si>
    <t>chk_in_rotation_speed (last time)</t>
  </si>
  <si>
    <t>1. Hiển thị text: 
Data get từ field: 
last time: last inspection_equipment_generator.chk_in_rotation_speed</t>
  </si>
  <si>
    <t>chk_in_rotation_speed(this time)</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</si>
  <si>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inspection_equipment_generator.chk_in_rotation_speed</t>
  </si>
  <si>
    <r>
      <rPr>
        <sz val="11"/>
        <color rgb="FF000000"/>
        <rFont val="Arial"/>
      </rPr>
      <t xml:space="preserve">1. Item được hiển thị đúng kiểu là Label/Text
Text là </t>
    </r>
    <r>
      <rPr>
        <sz val="11"/>
        <color rgb="FF000000"/>
        <rFont val="Arial"/>
      </rPr>
      <t>累計運転時間(ｈ)※</t>
    </r>
  </si>
  <si>
    <t>chk_total_operating_hours (last time)</t>
  </si>
  <si>
    <t xml:space="preserve">1. Hiển thị text: 
Data get từ field: 
last time: last inspection_equipment_generator.chk_total_operating_hours
</t>
  </si>
  <si>
    <t>MOB-010_397.webm</t>
  </si>
  <si>
    <t>chk_total_operating_hours (this time)</t>
  </si>
  <si>
    <t>MOB-010_398.webm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</si>
  <si>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inspection_equipment_generator.chk_total_operating_hours</t>
  </si>
  <si>
    <t>MOB-010_399.webm</t>
  </si>
  <si>
    <r>
      <rPr>
        <sz val="11"/>
        <color rgb="FF000000"/>
        <rFont val="Arial"/>
      </rPr>
      <t xml:space="preserve">1. Item được hiển thị đúng kiểu là Label/Text
Text là </t>
    </r>
    <r>
      <rPr>
        <sz val="11"/>
        <color rgb="FF000000"/>
        <rFont val="Arial"/>
      </rPr>
      <t>残燃料(％)※</t>
    </r>
  </si>
  <si>
    <t>chk_remaining_fuel (last time)</t>
  </si>
  <si>
    <t>1. Hiển thị text: 
Data get từ field: 
last time: last inspection_equipment_generator.chk_remaining_fuel</t>
  </si>
  <si>
    <t>MOB-010_401.webm</t>
  </si>
  <si>
    <t>chk_remaining_fuel (this time)</t>
  </si>
  <si>
    <t>MOB-010_402.webm</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</si>
  <si>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inspection_equipment_generator.chk_remaining_fuel</t>
  </si>
  <si>
    <t>MOB-010_403.webm</t>
  </si>
  <si>
    <t>chk_post_rotation_speed</t>
  </si>
  <si>
    <t>1. Item được hiển thị đúng kiểu là Label/Text
Text là 回転数(rpm)※</t>
  </si>
  <si>
    <t>chk_post_rotation_speed (last time)</t>
  </si>
  <si>
    <t>1. Hiển thị text: 
Data get từ field: 
last time: last inspection_equipment_generator.chk_post_rotation_speed</t>
  </si>
  <si>
    <t>MOB-010_405.mp4</t>
  </si>
  <si>
    <t>chk_post_rotation_speed (this time)</t>
  </si>
  <si>
    <t>1. Input vào text input số bất kì trong khoảng min, max
2. Press button ダウンロード
3. Click button  はい
4.Confirm DB</t>
  </si>
  <si>
    <t>MOB-010_406.mp4</t>
  </si>
  <si>
    <t>1. Input thành công
2.Hiển thị message cảnh báo dạng popup
ローカルデータをサーバーへ同期しますか？
2 button はい, いいえ
3. Update thành công, thực hiện ghi đè dữ liệu lên server, hiện thị toast thông báo kết quả
データのアップロードが完了しました 
4. Lưu DB field:
this time: inspection_equipment_generator.chk_post_rotation_speed</t>
  </si>
  <si>
    <t>MOB-010_407.mp4</t>
  </si>
  <si>
    <r>
      <rPr>
        <sz val="11"/>
        <color rgb="FF000000"/>
        <rFont val="Arial"/>
      </rPr>
      <t xml:space="preserve">1. Item được hiển thị đúng kiểu là Label/Text
Text là </t>
    </r>
    <r>
      <rPr>
        <sz val="11"/>
        <color rgb="FF000000"/>
        <rFont val="Arial"/>
      </rPr>
      <t xml:space="preserve">冷却水レベル ※ </t>
    </r>
  </si>
  <si>
    <t>1. Hiển thị text: 
Data get từ field: 
inspection_location.chk_section_switch_cabinet
Hiện thị 4 lựa chọn: 
case IS_BAD  (-1, "✕")
case IS_NOT_APPLICABLE ( 0, "-")
case IS_WARNING  ( 1, "△")
case IS_GOOD ( 2, "◯")
Default: không chọn</t>
  </si>
  <si>
    <t>MOB-010_410.webm</t>
  </si>
  <si>
    <t>4. Lưu DB field
inspection_equipment_generator.chk_cooling_water_level=-1
5. Lưu DB field
inspection_equipment_generator.chk_cooling_water_level=0
6. Lưu DB field
inspection_equipment_generator.chk_cooling_water_level=1
7. Lưu DB field
inspection_equipment_generator.chk_cooling_water_level=2</t>
  </si>
  <si>
    <t>MOB-010_411.webm</t>
  </si>
  <si>
    <t>chk_appearance_inspection</t>
  </si>
  <si>
    <t>1. Item được hiển thị đúng kiểu là Label/Text
Text là 外観点検※</t>
  </si>
  <si>
    <r>
      <rPr>
        <sz val="11"/>
        <color rgb="FF000000"/>
        <rFont val="Arial"/>
      </rPr>
      <t xml:space="preserve">1. Hiển thị text: 
Data get từ field: 
inspection_location.chk_section_switch_cabinet
Hiện thị 4 lựa chọn: 
case IS_BAD  (-1, "✕")
case IS_NOT_APPLICABLE ( 0, "-")
case IS_WARNING  ( 1, "△")
case IS_GOOD ( 2, "◯")
</t>
    </r>
    <r>
      <rPr>
        <sz val="11"/>
        <color rgb="FF0000FF"/>
        <rFont val="Arial"/>
      </rPr>
      <t xml:space="preserve">
</t>
    </r>
    <r>
      <rPr>
        <sz val="11"/>
        <color rgb="FF000000"/>
        <rFont val="Arial"/>
      </rPr>
      <t>Default: không chọn</t>
    </r>
  </si>
  <si>
    <t>MOB-010_413.png</t>
  </si>
  <si>
    <t>MOB-010_414.webm</t>
  </si>
  <si>
    <t>4. Lưu DB field
inspection_equipment_generator.chk_appearance_inspection=-1
5. Lưu DB field
inspection_equipment_generator.chk_appearance_inspection=0
6. Lưu DB field
inspection_equipment_generator.chk_appearance_inspection=1
7. Lưu DB field
inspection_equipment_generator.chk_appearance_inspection=2</t>
  </si>
  <si>
    <t>MOB-010_415.webm</t>
  </si>
  <si>
    <t>chk_decision</t>
  </si>
  <si>
    <t>1. Item được hiển thị đúng kiểu là Label/Text
Text là 判定※</t>
  </si>
  <si>
    <t>1. Hiển thị text: 
Data get từ field: 
inspection_equipment_generator.chk_decision
Hiện thị 4 lựa chọn: 
case IS_BAD  (-1, "✕")
case IS_NOT_APPLICABLE ( 0, "-")
case IS_WARNING  ( 1, "△")
case IS_GOOD ( 2, "◯")
Default: không chọn</t>
  </si>
  <si>
    <t>MOB-010_417.png</t>
  </si>
  <si>
    <t>1. Chuẩn bị các bản ghi có data  thỏa mãn điều kiện (hoặc update data cùng 1 bản ghi lần lượt như dưới)
1.1. last time = this time inspection_equipment_generator.chk_decision=null
1.2. last time = this time inspection_equipment_generator.chk_decision=-1
1.3. last time = this time inspection_equipment_generator.chk_decision=0
1.4. last time = this time inspection_equipment_generator.chk_decision=1
1.5. last time = this time inspection_equipment_generator.chk_decision=2
Confirm hiển thị data của các bàn ghi
2. Chuẩn bị các bản ghi có data  thỏa mãn điều kiện (hoặc update data cùng 1 bản ghi lần lượt như dưới)
2.1. Last time khác this time :
 this time inspection_equipment_generator.chk_decision=-1
 last time inspection_equipment_generator.chk_decision=0</t>
  </si>
  <si>
    <t>MOB-010_418.webm</t>
  </si>
  <si>
    <t>4. Lưu DB field
inspection_equipment_generator.chk_decision=-1
5. Lưu DB field
inspection_equipment_generator.chk_decision=0
6. Lưu DB field
inspection_equipment_generator.chk_decision=1
7. Lưu DB field
inspection_equipment_generator.chk_decision=2</t>
  </si>
  <si>
    <t>MOB-010_419.webm</t>
  </si>
  <si>
    <t>1. Kiểm tra log khi user vào màn hình này</t>
  </si>
  <si>
    <t>1. Ghi log như bên dưới 
User :logged_in_user_id access inspection execute screen. inspection_id=:id :access_url :date_time :ip_address :user_agent</t>
  </si>
  <si>
    <t>1. Kiểm tra log khi user vào room master</t>
  </si>
  <si>
    <t>1. Ghi log như bên dưới 
User :logged_in_user_id access inspection execute screen - master room. inspection_id=:id :access_url :date_time :ip_address :user_agent</t>
  </si>
  <si>
    <t>MOB-010_0422.png</t>
  </si>
  <si>
    <t>1. Kiểm tra log khi user vào room khác</t>
  </si>
  <si>
    <t>1. Ghi log như bên dưới 
User :logged_in_user_id access inspection execute screen - site_location_id:site_location_id inspection_id=:id :access_url :date_time :ip_address :user_agent</t>
  </si>
  <si>
    <t>Khi user download dữ liệu thành công ở site location</t>
  </si>
  <si>
    <t>1. Kiểm tra log khi user download dữ liệu thành công ở site location</t>
  </si>
  <si>
    <t>1. Ghi log như bên dưới 
User :logged_in_user_id download data inspection result successful for site_location_id:site_location_id inspection_id=:id :access_url :date_time :ip_address :user_agent</t>
  </si>
  <si>
    <t>MOB-010_0424.png</t>
  </si>
  <si>
    <t>Khi user download dữ liệu thất bại ở site location</t>
  </si>
  <si>
    <t>1. Kiểm tra log khi user download dữ liệu thất bại ở site location</t>
  </si>
  <si>
    <t>1. Ghi log như bên dưới 
User :logged_in_user_id download data inspection result failed for site_location_id:site_location_id inspection_id=:id :access_url :date_time :ip_address :user_agent</t>
  </si>
  <si>
    <t>MOB-010_0425.png</t>
  </si>
  <si>
    <t>Khi user upload dữ liệu thành công ở site location</t>
  </si>
  <si>
    <t>1. Kiểm tra log khi user upload dữ liệu thành công ở site location</t>
  </si>
  <si>
    <t>1. Ghi log như bên dưới 
User :logged_in_user_id upload data inspection result successful for site_location_id:site_location_id inspection_id=:id :access_url :date_time :ip_address :user_agent</t>
  </si>
  <si>
    <t>MOB-010_0426.png</t>
  </si>
  <si>
    <t>Khi user upload dữ liệu thất bại ở site location</t>
  </si>
  <si>
    <t>1. Kiểm tra log khi user upload dữ liệu thất bại ở site location</t>
  </si>
  <si>
    <t>1. Ghi log như bên dưới 
User :logged_in_user_id upload data inspection result failed for site_location_id:site_location_id inspection_id=:id :access_url :date_time :ip_address :user_agent</t>
  </si>
  <si>
    <t>MOB-010_0427.png</t>
  </si>
  <si>
    <t>Khi user download dữ liệu thành công ở master room</t>
  </si>
  <si>
    <t>1. Kiểm tra log khi user download dữ liệu thành công ở master room</t>
  </si>
  <si>
    <t>1. Ghi log như bên dưới 
User :logged_in_user_id download data inspection result successful for master room inspection_id=:id :access_url :date_time :ip_address :user_agent</t>
  </si>
  <si>
    <t>MOB-010_0428.png</t>
  </si>
  <si>
    <t>Khi user download dữ liệu thất bại ở master room</t>
  </si>
  <si>
    <t>1. Kiểm tra log khi user download dữ liệu thất bại ở master room</t>
  </si>
  <si>
    <t>1. Ghi log như bên dưới 
User :logged_in_user_id download data inspection result failed for master room inspection_id=:id :access_url :date_time :ip_address :user_agent</t>
  </si>
  <si>
    <t>MOB-010_0429.png</t>
  </si>
  <si>
    <t>Khi user upload dữ liệu thành công ở master room</t>
  </si>
  <si>
    <t>1. Kiểm tra log khi user upload dữ liệu thành công ở master room</t>
  </si>
  <si>
    <t>1. Ghi log như bên dưới 
User :logged_in_user_id upload data inspection result successful for master room inspection_id=:id :access_url :date_time :ip_address :user_agent</t>
  </si>
  <si>
    <t>MOB-010_0430.png</t>
  </si>
  <si>
    <t>Khi user upload dữ liệu thất bại ở master room</t>
  </si>
  <si>
    <t>1. Kiểm tra log khi user upload dữ liệu thất bại ở master room</t>
  </si>
  <si>
    <t>1. Ghi log như bên dưới 
User :logged_in_user_id upload data inspection result failed for master room inspection_id=:id :access_url :date_time :ip_address :user_agent</t>
  </si>
  <si>
    <t>MOB-010_0431.png</t>
  </si>
  <si>
    <t>Khi user submit inspection</t>
  </si>
  <si>
    <t>1. Kiểm tra log khi user submit inspection</t>
  </si>
  <si>
    <t>1. Ghi log như bên dưới 
User :logged_in_user_id submit inspection. inspection_id=:id :access_url :date_time :ip_address :user_agent</t>
  </si>
  <si>
    <t>MOB-010_0432.png</t>
  </si>
  <si>
    <t>1. Open app Rezil, login thành công
2. Vào màn hình màn hình MOB-002, tab 1 click button 点検開始   của  bản ghi bất kì
3. Click button back quay lại màn hình MOB-002
4. Tại màn hình MOB-002, Setting offline
5. Tại màn hình MOB-002, tab 1: click button 点検開始  của bản ghi trước đó di chuyển vào màn MOB-010
6. Confirm hiển thị màn hình MOB-010</t>
  </si>
  <si>
    <t>6. Màn hình hiển thị data bình thường như mode online
Button upload, download disable
Button 顧客確認へ disable
Button 作業手順書 enable</t>
  </si>
  <si>
    <t>MOB-010_433.mp4</t>
  </si>
  <si>
    <t>1. Open app Rezil, login thành công
2. Vào màn hình màn hình MOB-002, tab 1 click button 点検再開  của bản ghi bất kì
3. Click button back quay lại màn hình MOB-002
4. Tại màn hình MOB-002, Setting offline
5. Tại màn hình MOB-002, tab 1: click button di chuyển sang MOB-008
6. Click button 点検再開 tại màn MOB-008
7. Confirm hiển thị màn hình MOB-010</t>
  </si>
  <si>
    <t>7. Màn hình hiển thị data bình thường như mode online
Button upload, download disable
Button 顧客確認へ disable
Button 作業手順書 enable</t>
  </si>
  <si>
    <t>MOB-010_434.mp4</t>
  </si>
  <si>
    <t>1. Open app 
2. Thực hiện login với role Engineer
3. Tại màn hình MOB-002 Home, tab 2,  click button 報告書作成  ở Inspection Plan
4. Tại màn hình MOB-011 press button 点検項目を修正 
5..Setting offline, confirm hiển thị MOB-010</t>
  </si>
  <si>
    <t xml:space="preserve">
5. Màn hình MOB-010 Inspection Execute hiển thị data bình thường
Button upload, download disable
Button 顧客確認へ disable
Button 作業手順書 disable</t>
  </si>
  <si>
    <t>MOB-010_435.mp4</t>
  </si>
  <si>
    <t>MOB-010-ADD Issue</t>
  </si>
  <si>
    <t>1. Cài đặt app thành công 
2. Nhấp vào app và  login với role Engineer
3. MOB-002 HOME: click 点検開始 btn ở Inspection Plan 
4. Từ màn hình MOB-010 Inspection Execute Ở bottom, có chứa button「指摘事項(x)」, khi click button</t>
  </si>
  <si>
    <t>4. Hiển thị màn hình MOB-010-ADD Issue (issue list)</t>
  </si>
  <si>
    <t>1. Open app 
2. Thực hiện login với role Engineer
3. Tại màn hình MOB-002 Home, click tab 点検報告未完了
4. Tại tab 点検報告未完了. click button 報告書修正 ở bản ghi bất kì
5. Từ màn hình MOB-011 Inspection Report tại vùng issue list  指摘事項 click button edit 編集</t>
  </si>
  <si>
    <t>4. Hiển thị màn hình MOB-010-ADD Issue (issue list)
5. Hiển thị màn hình  MOB-010-ADD Issue (mode edit)</t>
  </si>
  <si>
    <t xml:space="preserve"> MOB-010_002.mp4</t>
  </si>
  <si>
    <t xml:space="preserve">1. Open app 
2. Thực hiện login với role Engineer
3. Tại màn hình MOB-002 Home, click tab 点検報告未完了
4. Tại tab 点検報告未完了. click button 報告書修正 ở bản ghi bất kì
5. Từ màn hình MOB-011 Inspection Report click button 指摘事項を追加
</t>
  </si>
  <si>
    <t>5. Hiển thị màn hình  MOB-010-ADD issue</t>
  </si>
  <si>
    <t xml:space="preserve"> MOB-010_003.mp4</t>
  </si>
  <si>
    <t>User 実施技術者(Implement Engineer)</t>
  </si>
  <si>
    <t xml:space="preserve">1. Đã login hệ thống </t>
  </si>
  <si>
    <t>1. Truy cập vào màn hình</t>
  </si>
  <si>
    <t>1. Hiển thị màn hình MOB-010-ADD Issue</t>
  </si>
  <si>
    <t>MOB-010_004.png</t>
  </si>
  <si>
    <t>Chưa làm phân quyền bên mobile</t>
  </si>
  <si>
    <t>User 応援技術者 (Supporting Engineer)</t>
  </si>
  <si>
    <t>User 外注技術者 (Subcontracted Engineer)</t>
  </si>
  <si>
    <t xml:space="preserve">User khác 3 loại user trên </t>
  </si>
  <si>
    <t xml:space="preserve">1. Không có quyền truy cập màn hình </t>
  </si>
  <si>
    <t>1. Quay lại màn hình  MOB-010-ADD Issue</t>
  </si>
  <si>
    <t>1. Màn hình  MOB-010-ADD Issue được load lại và hiển thị</t>
  </si>
  <si>
    <t xml:space="preserve"> MOB-010_010.mp4</t>
  </si>
  <si>
    <t>Cách test: Đang ở màn issue list, vào edit 1 item, sau đó back lại thì không thấy refresh lại</t>
  </si>
  <si>
    <r>
      <rPr>
        <sz val="11"/>
        <color rgb="FF000000"/>
        <rFont val="Arial"/>
      </rPr>
      <t xml:space="preserve">1. Giao diện màn hình được hiển thị giống với Figma 
UI Layout : Link 
</t>
    </r>
    <r>
      <rPr>
        <u/>
        <sz val="11"/>
        <color rgb="FF000000"/>
        <rFont val="Arial"/>
      </rPr>
      <t xml:space="preserve">https://www.figma.com/design/0nUR2v0mzjAhKLNU1UULQi/%E3%83%87%E3%82%B6%E3%82%A4%E3%83%B3?node-id=152-31010&amp;t=JM0ku91fFXsM3e2t-4 </t>
    </r>
  </si>
  <si>
    <t>MOB-010_009.png</t>
  </si>
  <si>
    <t>- Khi expand 1 item, value của 高度化適否： đang dính sát với nút 編集
- Size ảnh thumbnail đang để 50x50, Figma là 48x48
- Ảnh thumbnail khi expand item đang có border, Figma thì không có</t>
  </si>
  <si>
    <t>feTJ@7f4or8</t>
  </si>
  <si>
    <t>Test với inspection 263 như SQL Script (trong note) thì đúng với kết quả API trả về.</t>
  </si>
  <si>
    <t xml:space="preserve">Trường hợp k có data </t>
  </si>
  <si>
    <t>1. Kiểm tra hiển thị màn hình</t>
  </si>
  <si>
    <t>1. Hiển thị thông báo :
指摘事項がありません</t>
  </si>
  <si>
    <t>Label title issue_list_title 指摘事項一覧</t>
  </si>
  <si>
    <t>1. Item hiển thị đúng kiểu Label 指摘事項一覧</t>
  </si>
  <si>
    <t>1. Item hiển thị trạng thái active
2.  Back lại màn hình trước đó</t>
  </si>
  <si>
    <t>Label issue_total</t>
  </si>
  <si>
    <t>Icon safety_type_repair_priority_badge</t>
  </si>
  <si>
    <t>last issue_revision.safety_type = 2</t>
  </si>
  <si>
    <t>1. Kiểm tra hiển thị trường hợp last issue_revision.safety_type = 2</t>
  </si>
  <si>
    <t>1. Badge hiện thị thông tin bao gồm :
- Icon : Giống figma 
- Label :  推奨
1.1. Nếu issue.state IN (99-IS_INVALID, 4-IS_COMPLETION_CONFIRMED) thì issue_item hiển thị background xám</t>
  </si>
  <si>
    <t>last issue_revision.safety_type =1
AND 
last issue_revision.repair_priority = 1</t>
  </si>
  <si>
    <t>1. Badge hiện thị thông tin bao gồm :
- Icon : Giống figma 
- Label :  至急
1.1. Nếu issue.state IN (99-IS_INVALID, 4-IS_COMPLETION_CONFIRMED) thì issue_item hiển thị background xám</t>
  </si>
  <si>
    <t>last issue_revision.safety_type =1
AND 
last issue_revision.repair_priority = 2</t>
  </si>
  <si>
    <r>
      <rPr>
        <sz val="11"/>
        <color rgb="FF000000"/>
        <rFont val="Arial"/>
      </rPr>
      <t xml:space="preserve">1. Badge hiện thị thông tin bao gồm :
- Icon : Giống figma 
- Label :  急
</t>
    </r>
    <r>
      <rPr>
        <sz val="11"/>
        <color rgb="FF000000"/>
        <rFont val="Arial"/>
      </rPr>
      <t>1.1. Nếu issue.state IN (99-IS_INVALID, 4-IS_COMPLETION_CONFIRMED) thì issue_item hiển thị background xám</t>
    </r>
  </si>
  <si>
    <t>last issue_revision.safety_type = 1
AND 
last issue_revision.repair_priority = 3</t>
  </si>
  <si>
    <t>1. Badge hiện thị thông tin bao gồm :
- Icon : Giống figma 
- Label :  適宜
1.1. Nếu issue.state IN (99-IS_INVALID, 4-IS_COMPLETION_CONFIRMED) thì issue_item hiển thị background xám</t>
  </si>
  <si>
    <t>last issue_revision.safety_type = 1
AND 
last issue_revision.repair_priority = 4</t>
  </si>
  <si>
    <r>
      <rPr>
        <sz val="11"/>
        <color rgb="FF000000"/>
        <rFont val="Arial"/>
      </rPr>
      <t xml:space="preserve">1. Badge hiện thị thông tin bao gồm :
- Icon : Giống figma 
- Label :
 経過
 観察
</t>
    </r>
    <r>
      <rPr>
        <sz val="11"/>
        <color rgb="FF000000"/>
        <rFont val="Arial"/>
      </rPr>
      <t>1.1. Nếu issue.state IN (99-IS_INVALID, 4-IS_COMPLETION_CONFIRMED) thì issue_item hiển thị background xám</t>
    </r>
  </si>
  <si>
    <t>MOB-010_019.png</t>
  </si>
  <si>
    <t xml:space="preserve">Label detected_time_title </t>
  </si>
  <si>
    <t>1. Item hiển thị đúng kiểu Label 初回指摘：</t>
  </si>
  <si>
    <t>MOB-010_020.png</t>
  </si>
  <si>
    <t>Label detected_time_value</t>
  </si>
  <si>
    <t>1. Hiển thị data  last issue_revision.date_detected
Format YYYY/MM/DD</t>
  </si>
  <si>
    <t>MOB-010_021.png</t>
  </si>
  <si>
    <t>Label detected_inspection_category</t>
  </si>
  <si>
    <t>1. Hiển thị data inspection.category (FK issue.detected_inspection_id)
Format : (value). 
VD: (月次点検)</t>
  </si>
  <si>
    <t>MOB-010_022.png</t>
  </si>
  <si>
    <r>
      <rPr>
        <sz val="10"/>
        <color rgb="FF000000"/>
        <rFont val="Arial"/>
      </rPr>
      <t xml:space="preserve">- Lấy detected_inspection_category của từng item đang sai, có vẻ là đang lấy category của chính inspection đang xem
QuangDD: Nhờ Lợi check lại BE, FE đang lấy đúng prop detectedInspectionCategory
</t>
    </r>
    <r>
      <rPr>
        <u/>
        <sz val="10"/>
        <color rgb="FF1155CC"/>
        <rFont val="Arial"/>
      </rPr>
      <t>https://rezil-electrical.atlassian.net/browse/REZIL-1248</t>
    </r>
  </si>
  <si>
    <t>Label confirmed_date_title</t>
  </si>
  <si>
    <t>1. Item hiển thị đúng kiểu Label 改修確認：</t>
  </si>
  <si>
    <t>MOB-010_023.png</t>
  </si>
  <si>
    <t>Label date_repair_confirmed</t>
  </si>
  <si>
    <t>1. Hiển thị last issue_revision.date_repair_confirmed
TH k có data, hiện thị "-"</t>
  </si>
  <si>
    <t>MOB-010_024.png</t>
  </si>
  <si>
    <t>Label issue_content</t>
  </si>
  <si>
    <t xml:space="preserve">1. Hiển thị  last issue_revision.content
Text dài thì hiển thị xuống dòng như figma </t>
  </si>
  <si>
    <t>MOB-010_025.png</t>
  </si>
  <si>
    <t>Thumnail_image</t>
  </si>
  <si>
    <r>
      <rPr>
        <sz val="11"/>
        <color rgb="FF000000"/>
        <rFont val="Arial"/>
      </rPr>
      <t xml:space="preserve">1. Hiển thị Thumbnail first image in issue_revision.attachment_ids
</t>
    </r>
    <r>
      <rPr>
        <u/>
        <sz val="11"/>
        <color rgb="FF000000"/>
        <rFont val="Arial"/>
      </rPr>
      <t>issue_attachment.id</t>
    </r>
    <r>
      <rPr>
        <sz val="11"/>
        <color rgb="FF000000"/>
        <rFont val="Arial"/>
      </rPr>
      <t xml:space="preserve"> ASC</t>
    </r>
  </si>
  <si>
    <t>MOB-010_026.png</t>
  </si>
  <si>
    <t>Trường hợp k có ảnh</t>
  </si>
  <si>
    <t xml:space="preserve">1.Ẩn cụm thumnail_image và image_count
Tham khảo:
https://www.figma.com/design/0nUR2v0mzjAhKLNU1UULQi/%E3%83%87%E3%82%B6%E3%82%A4%E3%83%B3?node-id=2052-37837&amp;t=UI4Mz9Z5rj0llMIV-4 </t>
  </si>
  <si>
    <t>MOB-010_027.png</t>
  </si>
  <si>
    <t>Label image_count</t>
  </si>
  <si>
    <t xml:space="preserve">1.Hiển thị theo format:
&lt;image_count&gt;枚
&lt;image_count&gt; là  issue_revision.attachment_ids.length tương ứng với issue_revision
</t>
  </si>
  <si>
    <t>MOB-010_028.png</t>
  </si>
  <si>
    <t>MOB-010_029.png</t>
  </si>
  <si>
    <t>down / up button</t>
  </si>
  <si>
    <t xml:space="preserve">1. Item hiển thị trạng thái active
2. Expand / collapse nội dung detail của issue
</t>
  </si>
  <si>
    <t>add_issue_btn 新規指摘事項を追加</t>
  </si>
  <si>
    <t>1. Item hiển thị trạng thái active
2.  Mở modal Add with template</t>
  </si>
  <si>
    <t xml:space="preserve"> MOB-010_031.mp4</t>
  </si>
  <si>
    <t xml:space="preserve"> Issue Detail (Click down button )</t>
  </si>
  <si>
    <r>
      <rPr>
        <sz val="11"/>
        <color rgb="FF000000"/>
        <rFont val="Arial"/>
      </rPr>
      <t xml:space="preserve">1. Giao diện màn hình được hiển thị giống với Figma 
UI Layout : Link 
</t>
    </r>
    <r>
      <rPr>
        <u/>
        <sz val="11"/>
        <color rgb="FF000000"/>
        <rFont val="Arial"/>
      </rPr>
      <t>https://www.figma.com/design/0nUR2v0mzjAhKLNU1UULQi/%E3%83%87%E3%82%B6%E3%82%A4%E3%83%B3?node-id=2287-28435&amp;t=JM0ku91fFXsM3e2t-4</t>
    </r>
  </si>
  <si>
    <t>MOB-010_032.mp4</t>
  </si>
  <si>
    <r>
      <rPr>
        <sz val="10"/>
        <color theme="1"/>
        <rFont val="Arial"/>
      </rPr>
      <t xml:space="preserve">Cùng nội dung đã note ở case </t>
    </r>
    <r>
      <rPr>
        <u/>
        <sz val="10"/>
        <color rgb="FF1155CC"/>
        <rFont val="Arial"/>
      </rPr>
      <t>#9</t>
    </r>
  </si>
  <si>
    <t>Label location_information</t>
  </si>
  <si>
    <r>
      <rPr>
        <sz val="11"/>
        <color rgb="FF000000"/>
        <rFont val="Arial"/>
      </rPr>
      <t>1.Hiển thị data theo format : &lt;</t>
    </r>
    <r>
      <rPr>
        <u/>
        <sz val="11"/>
        <color rgb="FF1155CC"/>
        <rFont val="Arial"/>
      </rPr>
      <t>issue.site_location.name</t>
    </r>
    <r>
      <rPr>
        <sz val="11"/>
        <color rgb="FF000000"/>
        <rFont val="Arial"/>
      </rPr>
      <t>&gt; / &lt;issue.safety_equipment.name&gt; / &lt;issue.equipment.usage_purpose&gt;</t>
    </r>
  </si>
  <si>
    <t>MOB-010_033.jpg</t>
  </si>
  <si>
    <r>
      <rPr>
        <sz val="10"/>
        <color theme="1"/>
        <rFont val="Arial"/>
      </rPr>
      <t xml:space="preserve">Hiện tại, nếu không có data thì hiển thị -, trong BD không có mô tả yêu cầu này
</t>
    </r>
    <r>
      <rPr>
        <u/>
        <sz val="10"/>
        <color rgb="FF1155CC"/>
        <rFont val="Arial"/>
      </rPr>
      <t>https://rezil-electrical.atlassian.net/browse/REZIL-1249</t>
    </r>
  </si>
  <si>
    <t>Label issue_code</t>
  </si>
  <si>
    <t xml:space="preserve">1. Item hiển thị đúng kiểu Label ID ：
Data lấy từ issue.code                                                                                                                                                                       </t>
  </si>
  <si>
    <t>Label issue_state</t>
  </si>
  <si>
    <t xml:space="preserve">1. Item hiển thị đúng kiểu ステータス：
1.2.Hiển thị  issue.state của issue  tương ứng          </t>
  </si>
  <si>
    <t>1. Kiểm tra hiển thị  issue.state = 1
2. Kiểm tra hiển thị  issue.state = 2
3. Kiểm tra hiển thị  issue.state = 3
4. Kiểm tra hiển thị  issue.state = 4
5. Kiểm tra hiển thị  issue.state = 99</t>
  </si>
  <si>
    <t>1. Hiển thị lable 起票: 
2. Hiển thị lable 内容確認
3. Hiển thị lable 顧客報告
4. Hiển thị lable 完了確認
5. Hiển thị lable 無効</t>
  </si>
  <si>
    <t xml:space="preserve"> MOB-010_036.mp4</t>
  </si>
  <si>
    <t>Label issue_revision_level1</t>
  </si>
  <si>
    <t xml:space="preserve">1. Item hiển thị đúng kiểu 点検項目：
Value lấy từ trường last issue_revision.level1 để hiển thị </t>
  </si>
  <si>
    <t>MOB-010_037.png</t>
  </si>
  <si>
    <t xml:space="preserve">1. Kiểm tra hiển thị  với leverl bất kỳ 
VD: Leverl1_id = 1
</t>
  </si>
  <si>
    <r>
      <rPr>
        <sz val="11"/>
        <color rgb="FF000000"/>
        <rFont val="Arial"/>
      </rPr>
      <t xml:space="preserve">1. Hiển thị label : 高圧機器
Refer enums: </t>
    </r>
    <r>
      <rPr>
        <u/>
        <sz val="11"/>
        <color rgb="FF1155CC"/>
        <rFont val="Arial"/>
      </rPr>
      <t>https://docs.google.com/spreadsheets/d/1cG3GlJAgWOVOu9aE_nAw0_Gv80A-PvlnFSwDbwV14Xw/edit?gid=0#gid=0</t>
    </r>
  </si>
  <si>
    <t>MOB-010_038.png</t>
  </si>
  <si>
    <t>Label issue_revision_level2</t>
  </si>
  <si>
    <t xml:space="preserve">1. Item hiển thị đúng kiểu 事象：
Value lấy từ trường last issue_revision.level2 để hiển thị </t>
  </si>
  <si>
    <t>MOB-010_039.png</t>
  </si>
  <si>
    <t xml:space="preserve">Kiểm tra hiển thị  với leverl bất kỳ 
VD: Leverl2_id = 12
</t>
  </si>
  <si>
    <r>
      <rPr>
        <sz val="11"/>
        <color rgb="FF000000"/>
        <rFont val="Arial"/>
      </rPr>
      <t xml:space="preserve">1. Hiển thị label :設備異常
Refer enums: </t>
    </r>
    <r>
      <rPr>
        <u/>
        <sz val="11"/>
        <color rgb="FF1155CC"/>
        <rFont val="Arial"/>
      </rPr>
      <t>https://docs.google.com/spreadsheets/d/1cG3GlJAgWOVOu9aE_nAw0_Gv80A-PvlnFSwDbwV14Xw/edit?gid=0#gid=0</t>
    </r>
  </si>
  <si>
    <t>MOB-010_040.png</t>
  </si>
  <si>
    <t>Label issue_revision_level3</t>
  </si>
  <si>
    <t xml:space="preserve">1. Item hiển thị đúng kiểu 機器名：
Value lấy từ trường  last issue_revision.level3 </t>
  </si>
  <si>
    <t>MOB-010_041.png</t>
  </si>
  <si>
    <t xml:space="preserve">Kiểm tra hiển thị  với leverl bất kỳ 
VD: Leverl2_id = 69
</t>
  </si>
  <si>
    <t>1. Hiển thị label : OCR</t>
  </si>
  <si>
    <t>MOB-010_042.png</t>
  </si>
  <si>
    <t>Label is_advanced_remediation</t>
  </si>
  <si>
    <t xml:space="preserve">1. Item hiển thị đúng kiểu 高度化適否：
Value  lấy từ trường   last issue_revision.is_advanced_remediation để hiển thị </t>
  </si>
  <si>
    <t>MOB-010_043.png</t>
  </si>
  <si>
    <t>1. Kiểm tra hiển thị khi is_advanced_remediation = 1
2. Kiểm tra hiển thị khi is_advanced_remediation = 0</t>
  </si>
  <si>
    <t>1. Hiển thị label  適
2. Hiển thị label   否</t>
  </si>
  <si>
    <t>Edit_btn 編集</t>
  </si>
  <si>
    <t>MOB-010_045.png</t>
  </si>
  <si>
    <t>1.  Mở modal edit issue</t>
  </si>
  <si>
    <t xml:space="preserve"> MOB-010_046.mp4</t>
  </si>
  <si>
    <t>Attach_image</t>
  </si>
  <si>
    <t xml:space="preserve">Hiển thị </t>
  </si>
  <si>
    <t xml:space="preserve">1. Kiểm tra hiển thị 
2. Click link image </t>
  </si>
  <si>
    <t>1. Hiển thị thumbnail image trong list issue 
last_issue_revision.attachment_ids
Hiển thị hết các thumbnail, không lazyload hay phân trang
2. Mở view gallery (item 13-14)</t>
  </si>
  <si>
    <t xml:space="preserve"> MOB-010_047.mp4</t>
  </si>
  <si>
    <t>Vùng hiển thị repair_confirmed_area</t>
  </si>
  <si>
    <t xml:space="preserve"> last issue_revision.repair_content &amp; date_repair_confirmed not null</t>
  </si>
  <si>
    <t>1.Hiển thị vùng dữ liệu bao gồm :
repair_confirmed_area
date_repair_confirmed</t>
  </si>
  <si>
    <t>MOB-010_048.png</t>
  </si>
  <si>
    <t xml:space="preserve"> last issue_revision.repair_content &amp; date_repair_confirmed = null</t>
  </si>
  <si>
    <t>1. Không hiển thị vùng dữ liệu này</t>
  </si>
  <si>
    <t xml:space="preserve"> last issue_revision.repair_content = null &amp; date_repair_confirmed not  null</t>
  </si>
  <si>
    <t xml:space="preserve"> last issue_revision.repair_content not null &amp; date_repair_confirmed =null</t>
  </si>
  <si>
    <t>MOB-010_051.png</t>
  </si>
  <si>
    <t xml:space="preserve">1. Item hiển thị đúng kiểu 改修確認:
data lấy từ  last issue_revision.date_repair_confirmed       </t>
  </si>
  <si>
    <t>MOB-010_052.png</t>
  </si>
  <si>
    <t xml:space="preserve">Label date_repair_content  </t>
  </si>
  <si>
    <t xml:space="preserve">1. Item hiển thị đúng kiểu lable 
data lấy từ  last issue_revision.repair_content     </t>
  </si>
  <si>
    <t>MOB-010_053.png</t>
  </si>
  <si>
    <t>gallery_view image link</t>
  </si>
  <si>
    <t>1. Kiểm tra hiển thị 
 2. Click ngoài phạm vi ảnh và navigation_btn (14)</t>
  </si>
  <si>
    <t>1. Hiển thị large image tương ứng của  last_issue_revision.attachment_ids
2. Đóng view gallery</t>
  </si>
  <si>
    <t xml:space="preserve"> MOB-010_054.mp4</t>
  </si>
  <si>
    <t>navigation_btn ＜</t>
  </si>
  <si>
    <t>1. Image đang là image đầu tiên click button &lt;
Image đang không phải là image đầu tiên click button &lt;</t>
  </si>
  <si>
    <t xml:space="preserve">1. Không click được button trạng thái disable 
2. Trở lại ảnh trước ảnh đó trong list attach image </t>
  </si>
  <si>
    <t xml:space="preserve"> MOB-010_055.mp4</t>
  </si>
  <si>
    <t>navigation_btn &gt;</t>
  </si>
  <si>
    <t>1. Image đang là image cuối cùng click button &gt;
2. Image đang không phải là image cuối cùng click button &gt;</t>
  </si>
  <si>
    <t xml:space="preserve">1. Không click được button trạng thái disable 
2. Trở lại ảnh sau  ảnh đó trong list attach image </t>
  </si>
  <si>
    <t xml:space="preserve"> MOB-010_056.mp4</t>
  </si>
  <si>
    <t>Add with template ( mở ra từ click button  新規指摘事項を追加)</t>
  </si>
  <si>
    <r>
      <rPr>
        <sz val="11"/>
        <color rgb="FF000000"/>
        <rFont val="Arial"/>
      </rPr>
      <t xml:space="preserve">1. Giao diện màn hình được hiển thị giống với Figma 
UI Layout : Link 
</t>
    </r>
    <r>
      <rPr>
        <u/>
        <sz val="11"/>
        <color rgb="FF000000"/>
        <rFont val="Arial"/>
      </rPr>
      <t xml:space="preserve">https://www.figma.com/design/0nUR2v0mzjAhKLNU1UULQi/%E3%83%87%E3%82%B6%E3%82%A4%E3%83%B3?node-id=2113-57371&amp;t=JM0ku91fFXsM3e2t-4 </t>
    </r>
  </si>
  <si>
    <t>MOB-010_057.png</t>
  </si>
  <si>
    <t>- Khi search ra data, thì 2 nút ở foooter đè lên item ở dưới cùng.
Ví dụ: search 'b', ra 3 item, thì sẽ thấy item cuối bị đè</t>
  </si>
  <si>
    <t xml:space="preserve">Search templace </t>
  </si>
  <si>
    <t xml:space="preserve">1. Check data sau khi search templace </t>
  </si>
  <si>
    <t>1. Data hiển thị theo truy vấn sau 
SET @keyword = '機器';
SET @level1 = NULL;
SET @level2 = NULL;
SET @level3 = NULL;
SELECT
 it.id, it.level1, it.level2, it.level3,
 it.safety_type, it.content, it.repair_priority, it.is_advanced_remediation
FROM issue_template it
WHERE 1=1
 AND (@level1 IS NULL OR it.level1 = @level1)
 AND (@level2 IS NULL OR it.level2 = @level2)
 AND (@level3 IS NULL OR it.level3 = @level3)
 AND (
   '機器' = '' OR
   CAST(it.id AS CHAR) LIKE CONCAT('%', '機器', '%')
   OR it.level1 IN (
     SELECT n.id FROM issue_node n
     WHERE n.level = 1
       AND n.name COLLATE utf8mb4_unicode_ci
           LIKE CONCAT('%', '機器' COLLATE utf8mb4_unicode_ci, '%')
   )
   OR it.level2 IN (
     SELECT n.id FROM issue_node n
     WHERE n.level = 2
       AND n.name COLLATE utf8mb4_unicode_ci
           LIKE CONCAT('%', '機器' COLLATE utf8mb4_unicode_ci, '%')
   )
   OR it.level3 IN (
     SELECT n.id FROM issue_node n
     WHERE n.level = 3
       AND n.name COLLATE utf8mb4_unicode_ci
           LIKE CONCAT('%', '機器' COLLATE utf8mb4_unicode_ci, '%')
   )
 );</t>
  </si>
  <si>
    <t>Noted Sample SQL</t>
  </si>
  <si>
    <t>1. Click button back</t>
  </si>
  <si>
    <t xml:space="preserve"> MOB-010_059.webm</t>
  </si>
  <si>
    <t>https://rezil-electrical.atlassian.net/browse/REZIL-1245</t>
  </si>
  <si>
    <t>Label issue_add_title</t>
  </si>
  <si>
    <t>1. Item hiển thị đúng label 指摘事項を追加</t>
  </si>
  <si>
    <t>MOB-010_060.png</t>
  </si>
  <si>
    <t>Text link 定型文を使わずに手動作成</t>
  </si>
  <si>
    <t>1. Item hiển thị đúng text link 定型文を使わずに手動作成</t>
  </si>
  <si>
    <t>MOB-010_061.png</t>
  </si>
  <si>
    <t>Click link</t>
  </si>
  <si>
    <t xml:space="preserve">1. Click link </t>
  </si>
  <si>
    <t>1. Hiển thị UI Add Issue Detail</t>
  </si>
  <si>
    <t xml:space="preserve"> MOB-010_062.mp4</t>
  </si>
  <si>
    <t>Textbox search_keyword</t>
  </si>
  <si>
    <t>1. Item hiển thị đúng kiểu textbox và active
Bên cạnh textbox có search icon
1.1. Placeholder  定型文・定型文コードで検索</t>
  </si>
  <si>
    <t>MOB-010_063.png</t>
  </si>
  <si>
    <t xml:space="preserve">1. Kiểm tra default
2. Enter và kiểm tra kết quả search                                  </t>
  </si>
  <si>
    <t xml:space="preserve">1. Hiển thị blank
2. Không hiển thị search lable và mục kết quả search </t>
  </si>
  <si>
    <t>MOB-010_064.png</t>
  </si>
  <si>
    <t>1. Input số ký tự vào textbox == 100 kí tự
2. Enter và kiểm tra kết quả search</t>
  </si>
  <si>
    <t>1. Input dữ liệu tối đa 100 kí tự
2. Hiển thị kết quả search tương ứng
 Search theo issue_template.id,  issue_template.content (logic OR)</t>
  </si>
  <si>
    <t>MOB-010_065.png</t>
  </si>
  <si>
    <t>1. Input số ký tự vào textbox &lt; 100 kí tự
2. Enter và kiểm tra kết quả search</t>
  </si>
  <si>
    <t>2. Hiển thị kết quả search tương ứng
 Search theo issue_template.id,  issue_template.content (logic OR)</t>
  </si>
  <si>
    <t>MOB-010_066.png</t>
  </si>
  <si>
    <t>1. Input số ký tự vào textbox &gt; 100 kí tự
2. Focus out</t>
  </si>
  <si>
    <t>2. Hiển thị error message màu đỏ bên dưới item
定型文を検索・選択は100文字以内で入力してください</t>
  </si>
  <si>
    <t>MOB-010_067.png</t>
  </si>
  <si>
    <t>Label search_example</t>
  </si>
  <si>
    <t>1. Item hiển thị đúng label 検索例：変圧器、異音、受変電、絶縁不良</t>
  </si>
  <si>
    <t>MOB-010_068.png</t>
  </si>
  <si>
    <t>Dropdown 点検項目</t>
  </si>
  <si>
    <t xml:space="preserve">1. Kiểm tra default value 
2. Không input Text box search 
3. Kiểm tra kết quả search </t>
  </si>
  <si>
    <t xml:space="preserve">1. Hiển thị Giá trị default: NULL "--選択してく・・"
3. Không hiển thị search lable và mục kết quả search </t>
  </si>
  <si>
    <t>MOB-010_069.png</t>
  </si>
  <si>
    <t>Không hiển thị được kí tự く, mặc dù khoảng trống phía sau còn rất rộng</t>
  </si>
  <si>
    <t xml:space="preserve">List value </t>
  </si>
  <si>
    <t xml:space="preserve">1. Kiểm tra list value </t>
  </si>
  <si>
    <t>1. Giá trị list dropdown lấy từ 
SELECT DISTINCT 
    it.level1,
    n.name
FROM issue_template it
INNER JOIN issue_node n 
    ON n.id = it.level1;
WHERE 1
AND level2 = &lt;7.level2_select&gt; -- nếu 7.level2_select có giá trị
AND level3 = &lt;8.level3_select&gt; -- nếu 8.level3_select có giá trị
3 field 6,7,8 có phụ thuôc lẫn nhau dùng để filter 2 field còn lại
Text dài quá độ dài component thì cắt và hiển thị ...</t>
  </si>
  <si>
    <t>MOB-010_070.png</t>
  </si>
  <si>
    <t>https://rezil-electrical.atlassian.net/browse/REZIL-1251</t>
  </si>
  <si>
    <t xml:space="preserve">Chọn giá trị </t>
  </si>
  <si>
    <t xml:space="preserve">3 trường 点検項目,事象 ,機器名 dữ liệu   có quan hệ cha con với nhau </t>
  </si>
  <si>
    <t xml:space="preserve">1. Chọn giá trị bất kỳ trong dropdown
2. Kiểm tra kết quả search </t>
  </si>
  <si>
    <t xml:space="preserve">1. Giá thị được chọn sẽ hiển thị 
1.2 . Giá trị 事象 ,機器名 sẽ thay đổi tương ứng 
2. Hiển thị kết quả search tương ứng </t>
  </si>
  <si>
    <t>MOB-010_071.mp4</t>
  </si>
  <si>
    <t>- Khi giá trị cha thay đổi, thì giá trị con chưa clear
- Khi thay đổi đi, thay đổi lại nhiều lần các options, thì các options của 点検項目 biến mất, chỉ còn lại item đang chọn</t>
  </si>
  <si>
    <t xml:space="preserve">3 trường 点検項目,事象 ,機器名 dữ liệu không quan hệ cha con với nhau </t>
  </si>
  <si>
    <t xml:space="preserve">1. Giá thị được chọn sẽ hiển thị 
1.2 . Giá trị 事象 ,機器名 không thay đổi. Người dùng chọn bình thường
2. Hiển thị kết quả search tương ứng </t>
  </si>
  <si>
    <t>MOB-010_072.mp4</t>
  </si>
  <si>
    <t>Dropdown 事象</t>
  </si>
  <si>
    <t>1. Giá trị list dropdown lấy từ 
SELECT DISTINCT level2 
FROM issue_template
WHERE 1
AND level1 = &lt;6.level1_select&gt; -- nếu 6.level1_select có giá trị
AND level3 = &lt;8.level3_select&gt; -- nếu 8.level3_select có giá trị
Text dài quá độ dài component thì cắt và hiển thị ...</t>
  </si>
  <si>
    <t>MOB-010_074.png</t>
  </si>
  <si>
    <t xml:space="preserve">1. Giá thị được chọn sẽ hiển thị 
1.2 . Giá trị 点検項目 ,機器名 sẽ thay đổi tương ứng 
2. Hiển thị kết quả search tương ứng  </t>
  </si>
  <si>
    <t>MOB-010_075.mp4</t>
  </si>
  <si>
    <t xml:space="preserve">1. Giá thị được chọn sẽ hiển thị 
1.2 . Giá trị 点検項目 ,機器名 không thay đổi. Người dùng chọn bình thường
2. Hiển thị kết quả search tương ứng  </t>
  </si>
  <si>
    <t>MOB-010_076.mp4</t>
  </si>
  <si>
    <t>Dropdown 機器名</t>
  </si>
  <si>
    <t xml:space="preserve">1. Kiểm tra default value 
 </t>
  </si>
  <si>
    <t>1. Hiển thị Giá trị default: NULL "--選択してく・・"</t>
  </si>
  <si>
    <t>MOB-010_077.png</t>
  </si>
  <si>
    <t>1. Giá trị list dropdown lấy từ 
SELECT DISTINCT level3
FROM issue_template
WHERE 1
AND level1 = &lt;6.level1_select&gt; -- nếu 6.level1_select có giá trị
AND level2 = &lt;7.level2_select&gt; -- nếu 7.level2_select có giá trị
Text dài quá độ dài component thì cắt và hiển thị ...</t>
  </si>
  <si>
    <t>MOB-010_078.png</t>
  </si>
  <si>
    <t xml:space="preserve">Không chọn giá trị </t>
  </si>
  <si>
    <t xml:space="preserve">1. Không chọn giá trị nào  trong dropdown
2. Không input Text box search 
3. Kiểm tra kết quả search </t>
  </si>
  <si>
    <t xml:space="preserve">1. Giá thị được chọn sẽ hiển thị 
1.2 . Giá trị 点検項目 ,事象 sẽ thay đổi tương ứng
2. Hiển thị kết quả search tương ứng  </t>
  </si>
  <si>
    <t xml:space="preserve"> MOB-010_080.webm</t>
  </si>
  <si>
    <t xml:space="preserve">1. Giá thị được chọn sẽ hiển thị 
1.2 . Giá trị 点検項目 ,事象 không thay đổi. Người dùng chọn bình thường
2. Hiển thị kết quả search tương ứng  </t>
  </si>
  <si>
    <t>MOB-010_081.mp4</t>
  </si>
  <si>
    <t>Search_result_label 該当する定型文</t>
  </si>
  <si>
    <t xml:space="preserve">Default hiển thị </t>
  </si>
  <si>
    <t xml:space="preserve">Chưa chọn điều kiện search nào </t>
  </si>
  <si>
    <t>1. Kiểm tra hiển thị khởi tạo</t>
  </si>
  <si>
    <t>1. Khi khởi tạo, không hiển thị label này</t>
  </si>
  <si>
    <t>MOB-010_082.png</t>
  </si>
  <si>
    <t>Đã chọn điều kiện search</t>
  </si>
  <si>
    <t xml:space="preserve">1. Hiển thị lable này </t>
  </si>
  <si>
    <t>MOB-010_083.png</t>
  </si>
  <si>
    <t>template_card</t>
  </si>
  <si>
    <t xml:space="preserve">1. Template_card hiển thị nội dung issue_template.
</t>
  </si>
  <si>
    <t>MOB-010_084.jpg</t>
  </si>
  <si>
    <t>Label "点検項目" và các label phía sau: màu text đang sai</t>
  </si>
  <si>
    <t xml:space="preserve">Click item </t>
  </si>
  <si>
    <t xml:space="preserve">1. Click 1 item </t>
  </si>
  <si>
    <t>1. Khi click vào 1 item template_card, hiển thị highlight để thể hiện template đang được chọn.
Chỉ có thể chọn 1 template (theo kiểu radio)
1.1 .Enable button この定型文を使用</t>
  </si>
  <si>
    <t xml:space="preserve"> MOB-010_085.mp4</t>
  </si>
  <si>
    <t xml:space="preserve">Search_result_count label </t>
  </si>
  <si>
    <t>1. Khi khởi tạo, không hiển thị  mục kết quả search</t>
  </si>
  <si>
    <t>MOB-010_086.png</t>
  </si>
  <si>
    <t>1. Hiển thị  mục kết quả search .</t>
  </si>
  <si>
    <t>MOB-010_087.png</t>
  </si>
  <si>
    <t xml:space="preserve">Format </t>
  </si>
  <si>
    <t xml:space="preserve">Có kết quả search </t>
  </si>
  <si>
    <t xml:space="preserve">1. Kiểm tra format value </t>
  </si>
  <si>
    <t xml:space="preserve">1. Hiển thị dữ liệu format như sau :
(&lt;search_result_count&gt;件)
search_result_count: Số kết quả trả về </t>
  </si>
  <si>
    <t>MOB-010_088.png</t>
  </si>
  <si>
    <t xml:space="preserve">Không có kết quả search </t>
  </si>
  <si>
    <t>1. Hiển thị 0件</t>
  </si>
  <si>
    <t>MOB-010_089.png</t>
  </si>
  <si>
    <t>Template_id Label</t>
  </si>
  <si>
    <t>1. Giá trị lấy từ issue_template.id</t>
  </si>
  <si>
    <t>MOB-010_090.png</t>
  </si>
  <si>
    <t xml:space="preserve">Icon safety_type_repair_priority_badge Label_badge </t>
  </si>
  <si>
    <t>1. Badge hiện thị thông tin bao gồm :
- Icon : Giống figma 
- Label :  推奨</t>
  </si>
  <si>
    <t>MOB-010_091.png</t>
  </si>
  <si>
    <t>1. Badge hiện thị thông tin bao gồm :
- Icon : Giống figma 
- Label :  至急</t>
  </si>
  <si>
    <t>MOB-010_092.png</t>
  </si>
  <si>
    <t>1. Badge hiện thị thông tin bao gồm :
- Icon : Giống figma 
- Label :  急</t>
  </si>
  <si>
    <t>MOB-010_093.png</t>
  </si>
  <si>
    <t>1. Badge hiện thị thông tin bao gồm :
- Icon : Giống figma 
- Label :  適宜</t>
  </si>
  <si>
    <t>MOB-010_094.png</t>
  </si>
  <si>
    <t>1. Badge hiện thị thông tin bao gồm :
- Icon : Giống figma 
- Label :
 経過
 観察</t>
  </si>
  <si>
    <t>MOB-010_095.png</t>
  </si>
  <si>
    <t>MOB-010_096.png</t>
  </si>
  <si>
    <r>
      <rPr>
        <sz val="11"/>
        <color rgb="FF0000FF"/>
        <rFont val="Arial"/>
      </rPr>
      <t xml:space="preserve">1. Hiển thị label : 高圧機器
Refer enum: </t>
    </r>
    <r>
      <rPr>
        <u/>
        <sz val="11"/>
        <color rgb="FF0000FF"/>
        <rFont val="Arial"/>
      </rPr>
      <t>https://docs.google.com/spreadsheets/d/1cG3GlJAgWOVOu9aE_nAw0_Gv80A-PvlnFSwDbwV14Xw/edit?gid=0#gid=0</t>
    </r>
  </si>
  <si>
    <t>MOB-010_097.png</t>
  </si>
  <si>
    <t>MOB-010_098.png</t>
  </si>
  <si>
    <r>
      <rPr>
        <sz val="11"/>
        <color rgb="FF0000FF"/>
        <rFont val="Arial"/>
      </rPr>
      <t xml:space="preserve">1. Hiển thị label :設備異常
Refer enum: </t>
    </r>
    <r>
      <rPr>
        <u/>
        <sz val="11"/>
        <color rgb="FF0000FF"/>
        <rFont val="Arial"/>
      </rPr>
      <t>https://docs.google.com/spreadsheets/d/1cG3GlJAgWOVOu9aE_nAw0_Gv80A-PvlnFSwDbwV14Xw/edit?gid=0#gid=0</t>
    </r>
  </si>
  <si>
    <t>MOB-010_099.png</t>
  </si>
  <si>
    <t>MOB-010_100.png</t>
  </si>
  <si>
    <r>
      <rPr>
        <sz val="11"/>
        <color rgb="FF0000FF"/>
        <rFont val="Arial"/>
      </rPr>
      <t xml:space="preserve">1. Hiển thị label : OCR
Refer enum: </t>
    </r>
    <r>
      <rPr>
        <u/>
        <sz val="11"/>
        <color rgb="FF0000FF"/>
        <rFont val="Arial"/>
      </rPr>
      <t>https://docs.google.com/spreadsheets/d/1cG3GlJAgWOVOu9aE_nAw0_Gv80A-PvlnFSwDbwV14Xw/edit?gid=0#gid=0</t>
    </r>
  </si>
  <si>
    <t>MOB-010_101.png</t>
  </si>
  <si>
    <t>Advanced_remediation_label</t>
  </si>
  <si>
    <t>1. Hiển thị đúng label 高度化適否：
Giá trị lấy từ issue_template.is_advanced_remediation</t>
  </si>
  <si>
    <t>MOB-010_102.png</t>
  </si>
  <si>
    <t xml:space="preserve"> Issue_template.is_advanced_remediation = 0</t>
  </si>
  <si>
    <t>1. Hiển thị label  否</t>
  </si>
  <si>
    <t>MOB-010_103.png</t>
  </si>
  <si>
    <t xml:space="preserve"> Issue_template.is_advanced_remediation = 1</t>
  </si>
  <si>
    <t>1. Hiển thị label  適</t>
  </si>
  <si>
    <t>MOB-010_104.png</t>
  </si>
  <si>
    <t xml:space="preserve">Content lable </t>
  </si>
  <si>
    <t>1. Giá trị lấy từ issue_template.content</t>
  </si>
  <si>
    <t>1. Kiểm tra trạng thái Active/Inactive
2. Click button キャンセル</t>
  </si>
  <si>
    <t>1. Item hiển thị trạng thái acitive
Hiển thị floating ở dưới màn hình
2.Quay về màn hình trước</t>
  </si>
  <si>
    <t xml:space="preserve"> MOB-010_106.mp4</t>
  </si>
  <si>
    <t>select_template_button この定型文を使用</t>
  </si>
  <si>
    <t xml:space="preserve">Chưa chọn template_card nào 
</t>
  </si>
  <si>
    <t xml:space="preserve">1.Button disable
</t>
  </si>
  <si>
    <t>Tap chọn 1 item template_card</t>
  </si>
  <si>
    <t xml:space="preserve">1. Button enable </t>
  </si>
  <si>
    <t xml:space="preserve">1. Di chuyển tới form 3.3 Edit Issue </t>
  </si>
  <si>
    <t xml:space="preserve"> MOB-010_109.mp4</t>
  </si>
  <si>
    <t>Add Issue Detail ( Open từ màn hình Add with template  click text link 定型文を使わずに手動作成)</t>
  </si>
  <si>
    <t xml:space="preserve">Open màn hình bằng cách click link  定型文を使わずに手動作成 từ màn Add templace </t>
  </si>
  <si>
    <r>
      <rPr>
        <sz val="11"/>
        <color rgb="FF000000"/>
        <rFont val="Arial"/>
      </rPr>
      <t xml:space="preserve">1. Giao diện màn hình được hiển thị giống với Figma 
UI Layout : Link 
</t>
    </r>
    <r>
      <rPr>
        <u/>
        <sz val="11"/>
        <color rgb="FF000000"/>
        <rFont val="Arial"/>
      </rPr>
      <t xml:space="preserve">https://www.figma.com/design/0nUR2v0mzjAhKLNU1UULQi/%E3%83%87%E3%82%B6%E3%82%A4%E3%83%B3?node-id=2287-30313&amp;t=JM0ku91fFXsM3e2t-4 </t>
    </r>
  </si>
  <si>
    <t>MOB-010_110.png</t>
  </si>
  <si>
    <t>Text link 定型文選択に戻る</t>
  </si>
  <si>
    <t>1. Hiển thị text link 定型文選択に戻る</t>
  </si>
  <si>
    <t>MOB-010_111.png</t>
  </si>
  <si>
    <t>1. Click link</t>
  </si>
  <si>
    <t>1.  Back lại màn " Add template".</t>
  </si>
  <si>
    <t xml:space="preserve"> MOB-010_112.mp4</t>
  </si>
  <si>
    <t>MOB-010_113.png</t>
  </si>
  <si>
    <t>Dropdown safety_type 保安指摘事項</t>
  </si>
  <si>
    <t>1. Kiểm tra default value 
 2. Focus out / click button この指摘内容を保存</t>
  </si>
  <si>
    <t>1. Giá trị default: 
・Nếu có issue_template truyền vào: issue_template.repair_priority
・Else: NULL "--選択してください--"
2. Hiển thị message :保安指摘事項は必須項目です bên dưới item .</t>
  </si>
  <si>
    <t>MOB-010_114.png</t>
  </si>
  <si>
    <t>1. Giá trị lấy từ  issue_revision.safety_type
Các giá trị có thể:
・1-1 改修要請
・2-2 推奨事項</t>
  </si>
  <si>
    <t>MOB-010_115.png</t>
  </si>
  <si>
    <t>1. Chọn giá trị bất kỳ 
2. Input giá trị hợp lệ các trường còn lại 
3. Click button この指摘内容を保存</t>
  </si>
  <si>
    <t xml:space="preserve">1.Giá trị được chọn hiển thị lên dropdown. 
3. Lưu issue và quay lại màn hình đã di chuyển tới màn MOB-010-ADD trước đó </t>
  </si>
  <si>
    <t xml:space="preserve"> MOB-010_116.webm</t>
  </si>
  <si>
    <r>
      <rPr>
        <sz val="10"/>
        <color rgb="FF000000"/>
        <rFont val="Arial"/>
      </rPr>
      <t xml:space="preserve">Lưu data bị lỗi, thao tác như </t>
    </r>
    <r>
      <rPr>
        <u/>
        <sz val="10"/>
        <color rgb="FF1155CC"/>
        <rFont val="Arial"/>
      </rPr>
      <t>video</t>
    </r>
  </si>
  <si>
    <t>https://drive.google.com/file/d/1818S-lmZCKa3fvXIooOPiA8Ccey6yJsA/view?usp=drive_link</t>
  </si>
  <si>
    <t>1. Kiểm tra default value 
2. Kiểm tra list value 
3. Focus out / click button この指摘内容を保存</t>
  </si>
  <si>
    <t>1. Giá trị default: 
・Nếu có issue_template truyền vào: issue_template.repair_priority
・Else: NULL "--選択してください--"
2.  Giá trị lấy từ issue_revision.repair_priority
Các giá trị có thể:
・1-1 至急
・2-2 急
・3-3 適時
・4-4 経過観察
3. Hiển thị message :改修区分は必須項目です bên dưới item .</t>
  </si>
  <si>
    <t xml:space="preserve"> MOB-010_117.mp4</t>
  </si>
  <si>
    <t xml:space="preserve"> MOB-010_118.webm</t>
  </si>
  <si>
    <r>
      <rPr>
        <sz val="10"/>
        <color rgb="FF000000"/>
        <rFont val="Arial"/>
      </rPr>
      <t xml:space="preserve">Lưu data bị lỗi, thao tác như </t>
    </r>
    <r>
      <rPr>
        <u/>
        <sz val="10"/>
        <color rgb="FF1155CC"/>
        <rFont val="Arial"/>
      </rPr>
      <t>video</t>
    </r>
  </si>
  <si>
    <t xml:space="preserve">Related_items_label </t>
  </si>
  <si>
    <t>1. Hiển thị đúng label 関連項目(任意)</t>
  </si>
  <si>
    <t>MOB-010_119.png</t>
  </si>
  <si>
    <t xml:space="preserve">Dropdown level1_select </t>
  </si>
  <si>
    <t>1. Kiểm tra label 
2.  Kiểm tra default value 
3. Kiểm tra list data 
4. Chọn value bất kỳ 
5. Input giá trị hợp lệ các trường còn lại 
6. Click button この指摘内容を保存</t>
  </si>
  <si>
    <t xml:space="preserve">1. Hiển thị đúng label 点検項目
2. Hiển thị giá trị default: NULL "--選択してく・・"
3. Giá trị list dropdown lấy từ 
SELECT id, name
FROM issue_node
WHERE level = 1
ORDER BY id ASC;
4. Giá trị được chọn hiển thị lên dropdown.
5.Giá trị được input
6. Lưu issue và quay lại màn hình đã di chuyển tới màn MOB-010-ADD trước đó </t>
  </si>
  <si>
    <t>MOB-010_120.png</t>
  </si>
  <si>
    <r>
      <rPr>
        <sz val="10"/>
        <color rgb="FF000000"/>
        <rFont val="Arial"/>
      </rPr>
      <t xml:space="preserve">Data load lên chưa đúng, như </t>
    </r>
    <r>
      <rPr>
        <u/>
        <sz val="10"/>
        <color rgb="FF1155CC"/>
        <rFont val="Arial"/>
      </rPr>
      <t>ảnh</t>
    </r>
  </si>
  <si>
    <t>Dropdown site_location</t>
  </si>
  <si>
    <t>1. Kiểm tra label field 使用場所.
2. Kiểm tra giá trị mặc định của field 使用場所.
3. Kiểm tra giá trị hiển thị khi load record issue_revision.
4. Input giá trị hợp lệ các trường còn lại.
5. Click button 「この指摘内容を保存」.</t>
  </si>
  <si>
    <t>1. Hiển thị đúng label 使用場所.
2. Giá trị mặc định hiển thị: NULL 「--選択してください--」.
3. Giá trị hiển thị đúng theo DB:
   3.1 Nếu issue_revision.site_location_id = 0
       → Hiển thị text 「その他」.
   3.2 Nếu issue_revision.site_location_id ≠ 0
       → Hiển thị đúng site_location.name.
4. Lưu issue thành công.
5. Quay lại màn hình trước đó.</t>
  </si>
  <si>
    <t xml:space="preserve"> MOB-010_121.webm</t>
  </si>
  <si>
    <r>
      <rPr>
        <sz val="10"/>
        <color rgb="FF000000"/>
        <rFont val="Arial"/>
      </rPr>
      <t xml:space="preserve">Data load lên sai, như </t>
    </r>
    <r>
      <rPr>
        <u/>
        <sz val="10"/>
        <color rgb="FF1155CC"/>
        <rFont val="Arial"/>
      </rPr>
      <t>ảnh</t>
    </r>
  </si>
  <si>
    <t>1. Click mở dropdown 使用場所.
2. Chọn value bất kỳ trong dropdown.
3. Input giá trị hợp lệ các trường còn lại.
4. Click button 「この指摘内容を保存」.</t>
  </si>
  <si>
    <t>1. Lấy dữ liệu theo SQL:
       SELECT id, name
       FROM site_location
       WHERE site_id = &lt;current_inspection.site_id&gt;
       ORDER BY id ASC;
   1.1. Giá trị 「0 – その他」 hiển thị ở cuối dropdown.
2. Giá trị được chọn hiển thị đúng trên dropdown.
3. Trường hợp text dài quá độ rộng component. Text bị cắt và hiển thị 「...」.
4. Lưu issue thành công và quay lại màn hình trước đó.</t>
  </si>
  <si>
    <t xml:space="preserve"> MOB-010_122.webm</t>
  </si>
  <si>
    <r>
      <rPr>
        <sz val="10"/>
        <color rgb="FF000000"/>
        <rFont val="Arial"/>
      </rPr>
      <t xml:space="preserve">Lưu data bị lỗi, thao tác như </t>
    </r>
    <r>
      <rPr>
        <u/>
        <sz val="10"/>
        <color rgb="FF1155CC"/>
        <rFont val="Arial"/>
      </rPr>
      <t>video</t>
    </r>
  </si>
  <si>
    <t>Dropdown safety_equipment</t>
  </si>
  <si>
    <t>1. Kiểm tra label field .
2. Kiểm tra giá trị mặc định của field
3. Kiểm tra trạng thái field khi site_location chưa được chọn hoặc site_location = 0.
4. Chọn site_location hợp lệ (site_location ≠ 0).
5. Input giá trị hợp lệ các trường còn lại.
6. Click button 「この指摘内容を保存」.</t>
  </si>
  <si>
    <t>1. Hiển thị đúng label 設備/機器名称(任意).
2. Giá trị mặc định hiển thị: NULL 「--選択してください--」.
3. Field 設備/機器名称 bị disable.
4 Field 設備/機器名称 được enable.
5. Giá trị hiển thị không bị thay đổi ngoài mong đợi.
6. Lưu issue thành công và quay lại màn hình trước đó.</t>
  </si>
  <si>
    <t xml:space="preserve"> MOB-010_123.webm</t>
  </si>
  <si>
    <t>Text 設備/機器名称(任意) đang sai (thừa dấu space trước dấu "(")</t>
  </si>
  <si>
    <t>1. Chọn site_location hợp lệ (site_location ≠ 0).
2. Click mở dropdown 
3. Chọn value bất kỳ trong dropdown.
4. Input giá trị hợp lệ các trường còn lại.
5. Click button 「この指摘内容を保存」.</t>
  </si>
  <si>
    <t>1. Dropdown hiển thị danh sách safety_equipment theo site_location đã chọn:
 Lấy dữ liệu theo SQL:
        SELECT se.id, se.name
       FROM equipment e
       INNER JOIN equipment_master em ON e.equipment_master_id = em.id
       INNER JOIN safety_equipment se ON em.safety_equipment_id = se.id
       WHERE e.site_location_id = &lt;selected_site_location.id&gt;
       ORDER BY se.id ASC;
2. Format hiển thị: safety_equipment.name.
3. Giá trị được chọn hiển thị đúng trên dropdown. Text bị cắt và hiển thị 「...」.
5. Lưu issue thành công và quay lại màn hình trước đó.</t>
  </si>
  <si>
    <t xml:space="preserve"> MOB-010_124.webm</t>
  </si>
  <si>
    <t xml:space="preserve">- Text dài vẫn xuống dòng, chưa hiển thị </t>
  </si>
  <si>
    <t>Dropdown equipment_usage_purpose</t>
  </si>
  <si>
    <t>1. Kiểm tra label field 
2. Kiểm tra giá trị mặc định của field 
3. Kiểm tra trạng thái field khi safety_equipment chưa được chọn.
4. Chọn safety_equipment hợp lệ.
5. Input giá trị hợp lệ các trường còn lại.
6. Click button 「この指摘内容を保存」.</t>
  </si>
  <si>
    <t>1. Hiển thị đúng label 用途(任意).
2. Giá trị mặc định hiển thị: NULL 「--選択してください--」.
3. Field 用途 bị disable.
4.  Field 用途 được enable.
6. Lưu issue thành công và quay lại màn hình trước đó.</t>
  </si>
  <si>
    <t xml:space="preserve"> MOB-010_125.webm</t>
  </si>
  <si>
    <t>1. Chọn site_location hợp lệ.
2. Chọn safety_equipment hợp lệ.
3. Click mở dropdown 
4. Chọn value bất kỳ trong dropdown.
5. Input giá trị hợp lệ các trường còn lại.
6. Click button 「この指摘内容を保存」.</t>
  </si>
  <si>
    <t>1. Dropdown hiển thị danh sách equipment theo safety_equipment và site_location đã chọn:
  Lấy dữ liệu theo SQL:
       SELECT e.id, e.usage_purpose
       FROM equipment e
       INNER JOIN site_location sl ON e.site_location_id = sl.id
       INNER JOIN equipment_master em ON e.equipment_master_id = em.id
       INNER JOIN safety_equipment se ON em.safety_equipment_id = se.id
       WHERE se.id = &lt;selected_safety_equipment.id&gt;
         AND sl.id = &lt;selected_site_location.id&gt;
       ORDER BY e.id ASC;
2. Format hiển thị: equipment.usage_purpose.
3. Giá trị được chọn hiển thị đúng trên dropdown.
4. Trường hợp text dài quá độ rộng component. Text bị cắt và hiển thị 「...」.
5. Lưu issue thành công và quay lại màn hình trước đó.</t>
  </si>
  <si>
    <t>MOB-010_126.png</t>
  </si>
  <si>
    <t>Dropdown level2_select 事象</t>
  </si>
  <si>
    <t xml:space="preserve">1. Hiển thị giá trị default: NULL "--選択してく・・"
2. Lưu issue và quay lại màn hình đã di chuyển tới màn MOB-010-ADD trước đó </t>
  </si>
  <si>
    <t xml:space="preserve"> MOB-010_127.webm</t>
  </si>
  <si>
    <r>
      <rPr>
        <sz val="10"/>
        <color rgb="FF000000"/>
        <rFont val="Arial"/>
      </rPr>
      <t xml:space="preserve">Lưu data bị lỗi, thao tác như </t>
    </r>
    <r>
      <rPr>
        <u/>
        <sz val="10"/>
        <color rgb="FF1155CC"/>
        <rFont val="Arial"/>
      </rPr>
      <t>video</t>
    </r>
  </si>
  <si>
    <t>1. Giá trị list dropdown lấy từ 
SELECT id, name
FROM issue_node
WHERE level = 2
ORDER BY id ASC;</t>
  </si>
  <si>
    <t>MOB-010_128.png</t>
  </si>
  <si>
    <t>Kết quả chưa map với data khi chạy SQL script</t>
  </si>
  <si>
    <t xml:space="preserve"> MOB-010_129.webm</t>
  </si>
  <si>
    <r>
      <rPr>
        <sz val="10"/>
        <color rgb="FF000000"/>
        <rFont val="Arial"/>
      </rPr>
      <t xml:space="preserve">Lưu data bị lỗi, thao tác như </t>
    </r>
    <r>
      <rPr>
        <u/>
        <sz val="10"/>
        <color rgb="FF1155CC"/>
        <rFont val="Arial"/>
      </rPr>
      <t>video</t>
    </r>
  </si>
  <si>
    <t>Dropdown level3_select 機器名</t>
  </si>
  <si>
    <t xml:space="preserve"> MOB-010_130.webm</t>
  </si>
  <si>
    <r>
      <rPr>
        <sz val="10"/>
        <color rgb="FF000000"/>
        <rFont val="Arial"/>
      </rPr>
      <t xml:space="preserve">Lưu data bị lỗi, thao tác như </t>
    </r>
    <r>
      <rPr>
        <u/>
        <sz val="10"/>
        <color rgb="FF1155CC"/>
        <rFont val="Arial"/>
      </rPr>
      <t>video</t>
    </r>
  </si>
  <si>
    <t xml:space="preserve">1. Giá trị list dropdown lấy từ 
SELECT id, name
FROM issue_node
WHERE level = 3
ORDER BY id ASC;
</t>
  </si>
  <si>
    <t>MOB-010_131.png</t>
  </si>
  <si>
    <t xml:space="preserve"> MOB-010_132.webm</t>
  </si>
  <si>
    <r>
      <rPr>
        <sz val="10"/>
        <color rgb="FF000000"/>
        <rFont val="Arial"/>
      </rPr>
      <t xml:space="preserve">Lưu data bị lỗi, thao tác như </t>
    </r>
    <r>
      <rPr>
        <u/>
        <sz val="10"/>
        <color rgb="FF1155CC"/>
        <rFont val="Arial"/>
      </rPr>
      <t>video</t>
    </r>
  </si>
  <si>
    <t xml:space="preserve">1. Item hiển thị đúng kiểu textbox
Text hiển thị: 指摘内容
1.1.  Hiển thị blank
Placeholder: 指摘内容を入力してください (最大1000文字) </t>
  </si>
  <si>
    <t>MOB-010_133.png</t>
  </si>
  <si>
    <t>1. Không nhập data hoặc nhập  space
2. Các filed require khác input/select giá trị hợp lệ
3.  Focus out / click button この指摘内容を保存</t>
  </si>
  <si>
    <t>3. Show error message màu đỏ bên dưới item  :指摘内容は必須項目です bên dưới item .</t>
  </si>
  <si>
    <t>MOB-010_134.png</t>
  </si>
  <si>
    <t>1. Input số ký tự vào textarea &gt; 1000 kí tự
2. Các filed require khác input/select giá trị hợp lệ
3.  Focus out / click button この指摘内容を保存</t>
  </si>
  <si>
    <t>3. Show error message màu đỏ bên dưới item 
指摘内容は1000文字以内で入力してください</t>
  </si>
  <si>
    <t>MOB-010_135.png</t>
  </si>
  <si>
    <t>1. Input số ký tự vào textbarea &lt;= 1000 kí tự ( chữ ,số , ký tự đặc biệt , thẻ html , xuống dòng )
2. Các filed require khác input/select giá trị hợp lệ
3.  Focus out / click button この指摘内容を保存</t>
  </si>
  <si>
    <t xml:space="preserve">1.Giá trị được chọn hiển thị 
3 Lưu issue và quay lại màn hình đã di chuyển tới màn MOB-010-ADD trước đó </t>
  </si>
  <si>
    <t xml:space="preserve"> MOB-010_136.webm</t>
  </si>
  <si>
    <r>
      <rPr>
        <sz val="10"/>
        <color rgb="FF000000"/>
        <rFont val="Arial"/>
      </rPr>
      <t xml:space="preserve">Lưu data bị lỗi, thao tác như </t>
    </r>
    <r>
      <rPr>
        <u/>
        <sz val="10"/>
        <color rgb="FF1155CC"/>
        <rFont val="Arial"/>
      </rPr>
      <t>video</t>
    </r>
  </si>
  <si>
    <t>Text location_information 場所情報（任意）</t>
  </si>
  <si>
    <t xml:space="preserve">1. Bỏ item này đi </t>
  </si>
  <si>
    <t>MOB-010_137.png</t>
  </si>
  <si>
    <t>Bỏ đi rồi</t>
  </si>
  <si>
    <t>Calendar 初回指摘年月日</t>
  </si>
  <si>
    <t xml:space="preserve">1. Kiểm tra hiển thị                                                                          </t>
  </si>
  <si>
    <t>MOB-010_138.png</t>
  </si>
  <si>
    <t>1. Hiển thị TODAY()</t>
  </si>
  <si>
    <t>MOB-010_139.png</t>
  </si>
  <si>
    <t>Default đang không có value</t>
  </si>
  <si>
    <t>Format</t>
  </si>
  <si>
    <t>1.Format: icon calendar + YYYY/MM/DD
Khi click vào icon calendar thì hiển thị calendar để chọn ngày</t>
  </si>
  <si>
    <t>MOB-010_140.png</t>
  </si>
  <si>
    <t xml:space="preserve">Chọn ngày là hiện tại </t>
  </si>
  <si>
    <t>1. Chọn ngày là hiện tại 
2. Các filed require khác input/select giá trị hợp lệ
3.  Focus out / click button この指摘内容を保存</t>
  </si>
  <si>
    <t xml:space="preserve">1.Giá trị được chọn hiển thị 
3. Lưu issue và quay lại màn hình đã di chuyển tới màn MOB-010-ADD trước đó </t>
  </si>
  <si>
    <t xml:space="preserve"> MOB-010_141.mp4</t>
  </si>
  <si>
    <t>Chọn ngày trong quá khứ</t>
  </si>
  <si>
    <t>1. Chọn ngày trong quá khứ
2. Các filed require khác input/select giá trị hợp lệ
3.  Focus out / click button この指摘内容を保存</t>
  </si>
  <si>
    <t xml:space="preserve"> MOB-010_142.mp4</t>
  </si>
  <si>
    <t xml:space="preserve">Để ngày là blank </t>
  </si>
  <si>
    <t>1. Đề ngày là blank 
2. Các filed require khác input/select giá trị hợp lệ
3.  Focus out / click button この指摘内容を保存</t>
  </si>
  <si>
    <t>3. Show error message màu đỏ bên dưới item  :初回指摘年月日は必須項目です bên dưới item .</t>
  </si>
  <si>
    <t>MOB-010_143.png</t>
  </si>
  <si>
    <t>CLick vào để show popup calendar rồi không chọn và focus out thì không thấy show text lỗi</t>
  </si>
  <si>
    <t>Chọn ngày tương lai</t>
  </si>
  <si>
    <t xml:space="preserve">1.Chọn ngày tương lai
</t>
  </si>
  <si>
    <t xml:space="preserve">1. Không cho nhập ngày tương  lai. Ngày tương lai disable </t>
  </si>
  <si>
    <t>MOB-010_144.png</t>
  </si>
  <si>
    <t>Date_detected_subtitle</t>
  </si>
  <si>
    <t>1. Hiển thị đúng label ※デフォルトは点検実施日です。過去の指摘事項の場合は変更してください。</t>
  </si>
  <si>
    <t>MOB-010_145.png</t>
  </si>
  <si>
    <t>Radio date_detected_subtitle</t>
  </si>
  <si>
    <t>1. Hiển thị đúng dạng radio 
Label chính: この指摘事項を紐づける点検項目
Label phụ (hiển thị chữ nhỏ bên dưới): 点検結果の判定（良/否）に影響する点検項目を選択してください</t>
  </si>
  <si>
    <t>MOB-010_146.png</t>
  </si>
  <si>
    <t xml:space="preserve">List button </t>
  </si>
  <si>
    <t>1. Giá trị button chọn được:
1-IS_VISUAL_HV_CABLE 高圧ケーブルの目視点検
2-IS_IR_TRANSFORMER 変圧器の絶縁抵抗
3-IS_GROUND_RESISTANCE 接地抵抗測定
4-IS_TEMP_HV_EQUIPMENT 高圧機器の温度測定
99-IS_OTHER その他(紐づけなし)</t>
  </si>
  <si>
    <t>MOB-010_147.png</t>
  </si>
  <si>
    <t>1. Chọn button bất lỳ VD: 高圧ケーブルの目視点検
2. Các filed require khác input/select giá trị hợp lệ
3.  Focus out / click button この指摘内容を保存</t>
  </si>
  <si>
    <t xml:space="preserve">1. Button được chọn 
3 Lưu issue và quay lại màn hình đã di chuyển tới màn MOB-010-ADD trước đó </t>
  </si>
  <si>
    <t xml:space="preserve"> MOB-010_148.mp4</t>
  </si>
  <si>
    <t>Issue_attachment_label</t>
  </si>
  <si>
    <t xml:space="preserve">1. Hiển thị đúng label  写真を添付 (最大100枚) </t>
  </si>
  <si>
    <t>MOB-010_149.png</t>
  </si>
  <si>
    <t>1.Hiển thị thumbnail các ảnh được upload từ nút upload_from_camera_button, upload_from_library_button
1.1. Hiển thị hết các thumbnail, không lazyload hay phân trang</t>
  </si>
  <si>
    <t>MOB-010_150.png</t>
  </si>
  <si>
    <t xml:space="preserve">1.Chưa upload ảnh nào 
2. Upload 1 ảnh 
3. Upload 100 ảnh </t>
  </si>
  <si>
    <t>1.Thumnail_image Không hiển thị ảnh 
2. Danh sách thumbnail hiển thị 1 ảnh
3. Danh sách thumbnail hiển thị 100 ảnh</t>
  </si>
  <si>
    <t>MOB-010_151.png</t>
  </si>
  <si>
    <t>1. Click  Thumnail_image
2. Click thêm 1 lân nữa vào thumnail image</t>
  </si>
  <si>
    <t xml:space="preserve">1. Hiển thị ảnh có icon xóa như figma 
2. Thực hiện xóa ảnh khỏi danh sách và không hiển thị trên màn hình nữa </t>
  </si>
  <si>
    <t xml:space="preserve">Upload_from_camera_button </t>
  </si>
  <si>
    <t>1. Item hiển thị trạng thái acitive
1. 2. Item hiển thị dạng Icon camera + text "カメラで撮影"</t>
  </si>
  <si>
    <t>MOB-010_153.jpg</t>
  </si>
  <si>
    <t xml:space="preserve">1. Click button Upload_from_camera_button 
2. Thực hiện chụp 1 ảnh và upload 
3. Thực hiện chụp 100 ảnh  và upload 
4. Thực hiện chụp 101 ảnh  và upload </t>
  </si>
  <si>
    <t>1. Mở app camera để chụp ảnh
2.  Upload 1 ảnh sau khi chụp và hiển thị lên danh sách thumnail_image
3.  Upload 100 ảnh sau khi chụp và hiển thị lên danh sách thumnail_image
4. Hiển thị message lỗi E-MSG-038 dưới item 
アップロードできるファイル数の上限を超えています</t>
  </si>
  <si>
    <t>MOB-010_154.png</t>
  </si>
  <si>
    <t>Nhờ Sĩ chụp evidence</t>
  </si>
  <si>
    <t>Upload_from_library_button</t>
  </si>
  <si>
    <t>1. Item hiển thị trạng thái acitive
1. 2. Item hiển thị dạng Icon camera + text "ライブラリから選択"</t>
  </si>
  <si>
    <t>MOB-010_155.jpg</t>
  </si>
  <si>
    <t xml:space="preserve">1. Click button Upload_from_library_button 
2. Thực hiện chụp 1 ảnh và upload 
3. Thực hiện chụp 100 ảnh  và upload 
4. Thực hiện chụp 101 ảnh  và upload </t>
  </si>
  <si>
    <t>1. Mở app camera để chụp ảnh
2.  Upload 1 ảnh từ libray và hiển thị lên danh sách thumnail_image
3.  Upload 100 ảnh sau khi chụp và hiển thị lên danh sách thumnail_image
4. Hiển thị message lỗi E-MSG-038 dưới item 
アップロードできるファイル数の上限を超えています</t>
  </si>
  <si>
    <t>MOB-010_156.png</t>
  </si>
  <si>
    <t>MOB-010_157.mp4</t>
  </si>
  <si>
    <t>Save_issue_button この指摘内容を保存</t>
  </si>
  <si>
    <t>1. Nếu chưa điền đủ các field required, nút này sẽ bị disable
2. Nếu chưa điền đủ các field required, nút này sẽ enable</t>
  </si>
  <si>
    <t>MOB-010_158.mp4</t>
  </si>
  <si>
    <t>Màn hình đi từ MOB-010 và save thành công
Màn hình đi từ MOB-011 và save thành công</t>
  </si>
  <si>
    <t xml:space="preserve">
1. Input/select giá trị hợp lệ vào tất cả các trường 
2. Click button この指摘内容を保存</t>
  </si>
  <si>
    <t xml:space="preserve"> 2. Insert 1 record issue mới
2.1.  Upload các ảnh attachment mới lên S3 và insert vào bảng file
2.2.  Với mỗi file ảnh được upload, tạo 1 record issue_attachment mới
2.3.  Tạo 1 record issue_revison mới
2.4.  Hiện thị toaster thành công                                                                
        Message: 保存しました  
2.5.  Quay lại màn hình List remaining issue</t>
  </si>
  <si>
    <t>MOB-010_159.mp4</t>
  </si>
  <si>
    <t>Nếu không nhập 設備/機器名称 (任意) , 用途 (任意) thì api lưu issue lỗi</t>
  </si>
  <si>
    <t>1. Check data sau khi  Insert 1 record issue mới</t>
  </si>
  <si>
    <t xml:space="preserve">1. Insert 1 record issue mới                                                                                                                
INSERT INTO issue                                                                                                                                                
VALUES                                                                                                                                                
site_id= &lt;current_inspection.site_id&gt;                                                                                                                                                
code = &lt;generate dựa trên issue.id, Format: IF-XXXXXXX&gt;                                                                                                                                                
detected_inspection_id = &lt;current_inspection.id&gt;                                                                                                                                                
state= '1-IS_DRAFT'                                                                                                                                                                                                                                         </t>
  </si>
  <si>
    <t>MOB-010_160.png</t>
  </si>
  <si>
    <t>1. Check  Upload các ảnh attachment mới lên S3 và insert vào bảng file</t>
  </si>
  <si>
    <t xml:space="preserve"> 1. Upload các ảnh attachment mới lên S3 và insert vào bảng file đúng </t>
  </si>
  <si>
    <t>MOB-010_161.jpg</t>
  </si>
  <si>
    <t>1. Check ảnh sau khi được upload</t>
  </si>
  <si>
    <t xml:space="preserve">1. Với mỗi file ảnh được upload, tạo 1 record issue_attachment mới                                                                                                                
  INSERT INTO issue_attachment                                                                                                        
  VALUES                                                                                                        
 issue_id=&lt;current_issue.id&gt;                                                                                                        
 site_id=&lt;current_inspection.site_id&gt;                                                                                                        
 file_id=&lt;uploaded_file.id&gt;                                                                                                        </t>
  </si>
  <si>
    <t>1. Check tạo 1 record issue_revison mới</t>
  </si>
  <si>
    <t xml:space="preserve">4. Tạo 1 record issue_revison mới:                                                                                                                                                                                                                                                                                                                                                                                          INSERT INTO issue_revision                                                                                                                                                                                                                                                                                                                                                                        
 VALUES                                                                                                                                                                                                                                                                                                                                                                        
 site_id= &lt;current_inspection.site_id&gt;                                                                                                                                                                                                                                                                                                                                                                        
 issue_id = &lt;current_issue.id&gt;                                                                                                                                                                                                                                                                                                            
 editor_id = &lt;logged_in_engineer.eid&gt;                                                                                                                                                                                                                                                                                                                                                                        
 site_location_id = &lt;22.site_location.id&gt;                                                                                                                                                                                     
 safety_equipment_id = &lt;23.safety_equipment.id&gt;                                                                                                                                                                                                                                                                                                                                                                        
 equipment_id = &lt;24.equipment_usage_purpose.id&gt;                                                                                                                                                                                                                                                                                                                                                                        
 current_state= '1-IS_DRAFT'                                                                                                                                                                                                                                                                                                                                                                        
 safety_type= &lt;2.safety_type&gt;                                                                                                                                                                                                                                                                                                                                                                        
 repair_priority= &lt;3.repair_priority&gt;                                                                                                                                                                                                                                                                                                                                                                        
 level1= &lt;4.level1_select&gt;                                                                                                                                                                                                                                                                                                                                                                        
 level2= &lt;5.level2_select&gt;                                                                                                                                                                                                                                                                                                                                                                        
 level3= &lt;6.level3_select&gt;                                                                                                                                                                                                                                                                                                                                                                        
 content= &lt;7.content&gt;                                                                                                                                                                                                                                                                                                                                                                        
 location_information= &lt;8.location_information&gt;                                                                                                                                                                                                                                                                                                                                                                        
date_detected= &lt;9.date_detected&gt;                                                                                                                                                                                                                                                                                                                                                                        
related_inspection= &lt;11.related_inspection&gt;                                                                                                                                                                                                                                                                                                                                                                        
 attachment_ids= &lt;uploaded_attachment_ids&gt;                                                                                                                                                                                                                                                                                                                                                                        
 date_repair_confirmed= &lt;19.date_repair_confirmed&gt;  -- Nếu create sẽ là NULL                                                                                                                                                                                                                                                                                                                                                                        
 repair_content= &lt;20.repair_content&gt; -- Nếu create sẽ là NULL                                                                                                                                                                                                                                                                                                                                                                        
 is_advanced_remediation=&lt;current_issue_template.is_advanced_remediation&gt; || 0 //TODO MVP2: thêm logic phán định is_advanced_remediation                                                                                                                                                                                                                                                                                                                                                                                                                                                                                                                                                                                                                                                                                                             </t>
  </si>
  <si>
    <t>MOB-010_163.png</t>
  </si>
  <si>
    <t>1. Dể trống tất cả các trường input/select</t>
  </si>
  <si>
    <t>3. Show error message màu đỏ bên dưới item bắt buộc   :item_nameは必須項目です bên dưới item .</t>
  </si>
  <si>
    <t xml:space="preserve">
1. Input/select giá trị hợp lệ vào tất cả các trường 
2. Click liên tục button この指摘内容を保存
3. Save thất bại </t>
  </si>
  <si>
    <t xml:space="preserve">1.  Tắt modal, trở lại modal list remaining issue                                                                            
Hiện thị toaster thất bại                                                                                
Message: 保存失敗しました                                                                        
Design: https://www.figma.com/design/0nUR2v0mzjAhKLNU1UULQi/%E3%83%87%E3%82%B6%E3%82%A4%E3%83%B3?node-id=3261-41725&amp;t=JM0ku91fFXsM3e2t-4 
- Roll back data </t>
  </si>
  <si>
    <t>MOB-010_165.mp4</t>
  </si>
  <si>
    <t>Edit Issue</t>
  </si>
  <si>
    <t>Open sau khi click button 編集 sau khi chọn 1 issue</t>
  </si>
  <si>
    <r>
      <rPr>
        <sz val="11"/>
        <color rgb="FF000000"/>
        <rFont val="Arial"/>
      </rPr>
      <t xml:space="preserve">1. Giao diện màn hình được hiển thị giống với Figma 
UI Layout : Link 
</t>
    </r>
    <r>
      <rPr>
        <u/>
        <sz val="11"/>
        <color rgb="FF000000"/>
        <rFont val="Arial"/>
      </rPr>
      <t xml:space="preserve">https://www.figma.com/design/0nUR2v0mzjAhKLNU1UULQi/%E3%83%87%E3%82%B6%E3%82%A4%E3%83%B3?node-id=2404-45147&amp;t=JM0ku91fFXsM3e2t-4  </t>
    </r>
  </si>
  <si>
    <t>MOB-010_166.mp4</t>
  </si>
  <si>
    <t>Xử lý load thông tin issue</t>
  </si>
  <si>
    <t>1. Check xử lý load thông tin issue</t>
  </si>
  <si>
    <t xml:space="preserve">1. Xử lý load thông tin issue theo truy vấn sau :                                                                                            
        SELECT                                                                                                                                                                                                                                                                                                                                                                         
                i.state                                                                                                                                                                                                                                                                                                                                                                
                ir.safety_type                                                                                                                                                                                                                                                                                                                                                                
                ir.repair_priority                                                                                                                                                                                                                                                                                                                                                                
                ir.site_location_id                                                                                                                                                                                                                                                                                                                                                                
                ir.safety_equipment_id                                                                                                                                                                                                                                                                                                                                                                
                ir.equipment_id                                                                                                                                                                                                                                                                                                                                                                
                ir.level1                                                                                                                                                                                                                                                                                                                                                                
                ir.level2                                                                                                                                                                                                                                                                                                                                                                
                ir.level3                                                                                                                                                                                                                                                                                                                                                                
                ir.content                                                                                                                                                                                                                                                                                                                                                                
                ir.location_information                                                                                                                                                                                                                                                                                                                                                                
                ir.date_detected                                                                                                                                                                                                                                                                                                                                                                
                ir.related_inspection                                                                                                                                                                                                                                                                                                                                                                
                ir.attachment_ids                                                                                                                                                                                                                                                                                                                                                                
                ir.date_repair_confirmed                                                                                                                                                                                                                                                                                                                                                                
                ir.repair_content                                                                                                                                                                                                                                                                                                                                                                
                ia.id                                                                                                                                                                                                                                                                                                                                                                
                f.s3_region                                                                                                                                                                                                                                                                                                                                                                
                f.s3_bucket                                                                                                                                                                                                                                                                                                                                                                
                f.s3_key                                                                                                                                                                                                                                                                                                                                                                
        FROM issue i                                                                                                                                                                                                                                                                                                                                                                        
        -- Join revision mới nhất per issue                                                                                                                                                                                                                                                                                                                                                                        
        INNER JOIN issue_revision ir ON ir.id = (                                                                                                                                                                                                                                                                                                                                                                        
                SELECT                                                                                                                                                                                                                                                                                                                                                                
                        ir2.id                                                                                                                                                                                                                                                                                                                                                        
                FROM                                                                                                                                                                                                                                                                                                                                                                
                        issue_revision ir2                                                                                                                                                                                                                                                                                                                                                        
                WHERE                                                                                                                                                                                                                                                                                                                                                                
                        ir2.issue_id = i.id                                                                                                                                                                                                                                                                                                                                                        
                ORDER BY                                                                                                                                                                                                                                                                                                                                                                
                        ir2.created_at DESC                                                                                                                                                                                                                                                                                                                                                        
                LIMIT 1                                                                                                                                                                                                                                                                                                                                                                
        )                                                                                                                                                                                                                                                                                                                                                                        
        LEFT JOIN issue_attachment ia ON FIND_IN SET (ia.id, ir.attachment_ids)                                                                                                                                                                                                                                                                                                                                                                        
        LEFT JOIN file f ON f.id = ia.file_id                                                                                                                                                                                                                                                                                                                                                                        
        LEFT JOIN plan this_inspection_plan ON this_inspection_plan.inspection_id = &lt;current_inspection.id&gt;                                                                                                                                                                                                                                                                                                                                                                        
        -- Lấy plan.work_start của inspection gần nhất                                                                                                                                                                                                                                                                                                                                                                        
        LEFT JOIN LATERAL (                                                                                                                                                                                                                                                                                                                                                                        
                SELECT                                                                                                                                                                                                                                                                                                                                                                
                        p.work_start,                                                                                                                                                                                                                                                                                                                                                        
                        p.site_id,                                                                                                                                                                                                                                                                                                                                                        
                FROM `plan` p                                                                                                                                                                                                                                                                                                                                                                 
                INNER JOIN inspection i ON i.id = p.inspection_id                                                                                                                                                                                                                                                                                                                                                                
                WHERE                                                                                                                                                                                                                                                                                                                                                                
                p.`work_start` &lt; NOW()                                                                                                                                                                                                                                                                                                                                                                
                AND p.site_id = &lt;current_inspection.site_id&gt;                                                                                                                                                                                                                                                                                                                                                                
                AND i.id != &lt;current_inspection.id&gt;                                                                                                                                                                                                                                                                                                                                                                
                ORDER BY p.`work_start` DESC                                                                                                                                                                                                                                                                                                                                                                
                LIMIT 1                                                                                                                                                                                                                                                                                                                                                                
        ) AS previous_inspection_plan ON previous_inspection_plan.site_id = &lt;current_inspection.site_id&gt;                                                                                                                                                                                                                                                                                                                                                                        
        WHERE i.id = &lt;query_param.issue_id&gt;                                                                                                                                                                                                                                                                                                                                                                        
        AND (                                                                                                                                                                                                                                                                                                                                                                        
                i.state NOT IN (4-IS_COMPLETION_CONFIRMED, 99-IS_INVALID) -- Những issue vẫn còn open                                                                                                                                                                                                                                                                        "2026-01-16 REZIL-819 MOB-010-ADD Issue Round 2                                                                        "                                                                                        
                OR ( --Những issue bị đổi trạng thái thành 99-IS_INVALID hoặc 4-IS_COMPLETION_CONFIRMED trong inspection hiện tại                                                                                                                                                                                                                                                                                                                                                                
                        i.state IN (4-IS_COMPLETION_CONFIRMED, 99-IS_INVALID)                                                                                                                                                                                                                                                                                                                                                         
                        AND i.closed_by_inspection_id = &lt;current_inspection.id&gt;                                                                                                                                                                                                                                                                                                                                                        
                )                                                                                                                                                                                                                                                                                                                                                                
                OR ( -- những issue bị đổi trạng thái thành 99-IS_INVALID hoặc 4-IS_COMPLETION_CONFIRMED trực tiếp bên admin trong thời gian cụ thể                                                                                                                                                                                                                                                                                                                                                                
                        ir.current_state IN (4-IS_COMPLETION_CONFIRMED, 99-IS_INVALID) -- do lấy issue_revision mới nhất, nên i.state và ir.current_state giống nhau                                                                                                                                                                                                                                                                                                                                                        
                        AND i.closed_by_inspection_id IS NULL                                                                                                                                                                                                                                                                                                                                                         
                        AND ir.created_at &gt; previous_inspection_plan.work_start                                                                                                                                                                                                                                                                                                                                                        
                        AND ir.created_at &lt; this_inspection_plan.work_start                                                                                                                                                                                                                                                                                                                                                        
                )                                                                                                                                                                                                                                                                                                                                                                
        )                                                                                                                                                                                                                                                                                                                                                                        </t>
  </si>
  <si>
    <t>Các dropdown 使用場所 , 設備/機器名称 (任意) ,用途 (任意)  không thấy có value được chọn mặc dù có lưu trong db</t>
  </si>
  <si>
    <t>1. Check hiển thị khi không có data tương ứng</t>
  </si>
  <si>
    <t>1. Hiển thị message lỗi E-MSG-041 dạng popup với key entity_name="指摘事項"
Khi đóng popup thì quay lại màn trước đó</t>
  </si>
  <si>
    <t>MOB-010_168.mp4</t>
  </si>
  <si>
    <t>Label Issue_edit_title</t>
  </si>
  <si>
    <t>1. Hiển thị text 指摘事項を編集</t>
  </si>
  <si>
    <t>1. Kiểm tra hiển thị 
2. Click link</t>
  </si>
  <si>
    <t xml:space="preserve">1. Hiển thị text link 定型文選択に戻る
Nếu issue.state IN (99-IS_INVALID, 4-IS_COMPLETION_CONFIRMED) thì disable item này
2.  Back lại màn trước đó </t>
  </si>
  <si>
    <t xml:space="preserve"> MOB-010_170.webm</t>
  </si>
  <si>
    <t>case này k thể xảy ra</t>
  </si>
  <si>
    <t xml:space="preserve">Open màn hình từ click button この定型文を使用 ở màn hình Add templace 
</t>
  </si>
  <si>
    <t>1. Hiển thị giá trị  issue_revision.safety_type tương ứng với issue_template
Nếu issue.state IN (99-IS_INVALID, 4-IS_COMPLETION_CONFIRMED) thì disable item này</t>
  </si>
  <si>
    <t>1. Kiểm tra list value 
2. Chọn giá trị bất kỳ 
3. Input giá trị hợp lệ các trường còn lại 
4. Click button この指摘内容を保存</t>
  </si>
  <si>
    <t>1. Giá trị lấy từ  issue_revision.safety_type
Các giá trị có thể:
・1-1 改修要請
・2-2 推奨事項
2.Giá trị được chọn hiển thị lên dropdown. 
4. Lưu issue và quay lại màn sau:
・Nếu lúc đầu đi từ màn MOB-010-ADD thì quay lại màn 3.1 List remaining issue
・Nếu lúc đầu đi từ màn MOB-011 Inspection Report thì quay lại màn MOB-011</t>
  </si>
  <si>
    <t>MOB-010_172.mp4</t>
  </si>
  <si>
    <t>Dropdown repair_priority 改修区分</t>
  </si>
  <si>
    <t>1. Hiển thị giá trị default: NULL "--選択してく・・"
2.  Giá trị lấy từ issue_revision.repair_priority
Các giá trị có thể:
・1-1 至急
・2-2 急
・3-3 適時
・4-4 経過観察
Nếu issue.state IN (99-IS_INVALID, 4-IS_COMPLETION_CONFIRMED) thì disable item này
3. Hiển thị message :改修区分は必須項目です bên dưới item .</t>
  </si>
  <si>
    <t>MOB-010_173.jpg</t>
  </si>
  <si>
    <t xml:space="preserve"> MOB-010_175.webm</t>
  </si>
  <si>
    <r>
      <rPr>
        <sz val="10"/>
        <color rgb="FF000000"/>
        <rFont val="Arial"/>
      </rPr>
      <t xml:space="preserve">Không thấy hiển thị giá trị mới khi vào lại
Lần đầu vào page thì mở được dropdown nhưng back ra màn MOB-010 rôi vào lại màn MOB-010-Add-Issue rồi vào lại màn edit thì không show được option nữa
</t>
    </r>
    <r>
      <rPr>
        <sz val="10"/>
        <color rgb="FF38761D"/>
        <rFont val="Arial"/>
      </rPr>
      <t>=&gt; Done Local</t>
    </r>
  </si>
  <si>
    <t xml:space="preserve"> MOB-010_176.webm</t>
  </si>
  <si>
    <t>Không thấy hiển thị giá trị mới khi vào lại
Không có option 0-Other その他</t>
  </si>
  <si>
    <t xml:space="preserve"> MOB-010_177.webm</t>
  </si>
  <si>
    <r>
      <rPr>
        <sz val="10"/>
        <color rgb="FF000000"/>
        <rFont val="Arial"/>
      </rPr>
      <t xml:space="preserve">Không thấy hiển thị giá trị mới khi vào lại
</t>
    </r>
    <r>
      <rPr>
        <sz val="10"/>
        <color rgb="FF38761D"/>
        <rFont val="Arial"/>
      </rPr>
      <t>=&gt; Done Local</t>
    </r>
  </si>
  <si>
    <r>
      <rPr>
        <sz val="11"/>
        <color rgb="FF000000"/>
        <rFont val="Arial"/>
      </rPr>
      <t>1. Dropdown hiển thị danh sách safety_equipment theo site_location đã chọn:
 Lấy dữ liệu theo SQL:
        SELECT se.id, se.name
       FROM equipment e
       INNER JOIN equipment_master em ON e.equipment_master_id = em.id
       INNER JOIN safety_equipment se ON em.safety_equipment_id = se.id
       WHERE e.site_location_id = &lt;</t>
    </r>
    <r>
      <rPr>
        <u/>
        <sz val="11"/>
        <color rgb="FF1155CC"/>
        <rFont val="Arial"/>
      </rPr>
      <t>selected_site_location.id</t>
    </r>
    <r>
      <rPr>
        <sz val="11"/>
        <color rgb="FF000000"/>
        <rFont val="Arial"/>
      </rPr>
      <t>&gt;
       ORDER BY se.id ASC;
2. Format hiển thị: safety_equipment.name.
3. Giá trị được chọn hiển thị đúng trên dropdown. Text bị cắt và hiển thị 「...」.
5. Lưu issue thành công và quay lại màn hình trước đó.</t>
    </r>
  </si>
  <si>
    <t>MOB-010_178.png</t>
  </si>
  <si>
    <r>
      <rPr>
        <sz val="10"/>
        <color rgb="FF000000"/>
        <rFont val="Arial"/>
      </rPr>
      <t xml:space="preserve">Không thấy hiển thị giá trị mới khi vào lại
</t>
    </r>
    <r>
      <rPr>
        <sz val="10"/>
        <color rgb="FF38761D"/>
        <rFont val="Arial"/>
      </rPr>
      <t>=&gt; Done Local</t>
    </r>
  </si>
  <si>
    <t xml:space="preserve"> MOB-010_179.webm</t>
  </si>
  <si>
    <t>Không thấy lưu giá trị mới vào DB</t>
  </si>
  <si>
    <t xml:space="preserve"> MOB-010_180.webm</t>
  </si>
  <si>
    <t>Dropdown level1_select 点検項目</t>
  </si>
  <si>
    <t>1. Hiển thị giá trị issue_revision.level1 tương ứng với issue_template
Text dài quá độ dài component thì cắt và hiển thị ...
Nếu issue.state IN (99-IS_INVALID, 4-IS_COMPLETION_CONFIRMED) thì disable item này</t>
  </si>
  <si>
    <t>MOB-010_182.jpg</t>
  </si>
  <si>
    <t>1.Giá trị list dropdown lấy từ 
SELECT id, name
FROM issue_node
WHERE level = 1
ORDER BY id ASC;</t>
  </si>
  <si>
    <t>MOB-010_183.png</t>
  </si>
  <si>
    <t>Dropdown trong DB lấy ra là 11 option nhưng đây có 3 option</t>
  </si>
  <si>
    <t>1. Hiển thị giá trị issue_revision.level2 tương ứng với issue_template
Text dài quá độ dài component thì cắt và hiển thị ...
Nếu issue.state IN (99-IS_INVALID, 4-IS_COMPLETION_CONFIRMED) thì disable item này</t>
  </si>
  <si>
    <t>MOB-010_185.jpg</t>
  </si>
  <si>
    <t>MOB-010_186.png</t>
  </si>
  <si>
    <t>Trong DB có 56 nhưng trên UI hiển thị có 7 option</t>
  </si>
  <si>
    <t>MOB-010_187.mp4</t>
  </si>
  <si>
    <t>1. Hiển thị giá trị issue_revision.level3 tương ứng với issue_template
Text dài quá độ dài component thì cắt và hiển thị ...
Nếu issue.state IN (99-IS_INVALID, 4-IS_COMPLETION_CONFIRMED) thì disable item này</t>
  </si>
  <si>
    <t>MOB-010_188.jpg</t>
  </si>
  <si>
    <t>MOB-010_189.png</t>
  </si>
  <si>
    <t>Trong DB có 61 nhưng trên UI hiển thị có 7 option</t>
  </si>
  <si>
    <t xml:space="preserve">Text area content </t>
  </si>
  <si>
    <t>1. Item hiển thị đúng kiểu textbox
Text hiển thị: 指摘内容
Nếu issue.state IN (99-IS_INVALID, 4-IS_COMPLETION_CONFIRMED) thì disable item này</t>
  </si>
  <si>
    <t>MOB-010_191.png</t>
  </si>
  <si>
    <t>1. Hiển thị giá trị issue_revision.content tương ứng với issue_template
Text dài quá độ dài component thì xuống dòng hiển thị.</t>
  </si>
  <si>
    <t>1. Không nhập data hoặc toàn kí tự space
2. Các filed require khác input/select giá trị hợp lệ
3.  Focus out / click button この指摘内容を保存</t>
  </si>
  <si>
    <t>3. Show error message màu đỏ bên dưới item  :item_nameは必須項目です bên dưới item .</t>
  </si>
  <si>
    <t>MOB-010_193.mp4</t>
  </si>
  <si>
    <t>MOB-010_194.png</t>
  </si>
  <si>
    <t>1. Input số ký tự vào textbarea =&lt; 1000 kí tự ( chữ ,số , ký tự đặc biệt , thẻ html , xuống dòng )
2. Các filed require khác input/select giá trị hợp lệ
3.  Focus out / click button この指摘内容を保存</t>
  </si>
  <si>
    <t>MOB-010_196.jpg</t>
  </si>
  <si>
    <t>Calendar date_detected</t>
  </si>
  <si>
    <t xml:space="preserve">1. Kiểm tra trạng thái hiển thị      
2. Kiểm tra default     
3. Kiểm tra format hiển thị                                                                </t>
  </si>
  <si>
    <r>
      <rPr>
        <sz val="11"/>
        <color rgb="FF000000"/>
        <rFont val="Arial"/>
      </rPr>
      <t xml:space="preserve">1. Item hiển thị trạng thái active.
</t>
    </r>
    <r>
      <rPr>
        <sz val="11"/>
        <color rgb="FF000000"/>
        <rFont val="Arial"/>
      </rPr>
      <t xml:space="preserve">Nếu issue.state IN (99-IS_INVALID, 4-IS_COMPLETION_CONFIRMED) thì disable item này
</t>
    </r>
    <r>
      <rPr>
        <sz val="11"/>
        <color rgb="FF000000"/>
        <rFont val="Arial"/>
      </rPr>
      <t>2. Hiển thị TODAY()
3.Format: icon calendar + YYYY/MM/DD
Khi click vào icon calendar thì hiển thị calendar để chọn ngày</t>
    </r>
  </si>
  <si>
    <t>MOB-010_197.mp4</t>
  </si>
  <si>
    <t xml:space="preserve">1.Giá trị được chọn hiển thị 
3.Lưu issue và quay lại màn hình đã di chuyển tới màn MOB-010-ADD trước đó </t>
  </si>
  <si>
    <t>MOB-010_198.mp4</t>
  </si>
  <si>
    <t>MOB-010_201.jpg</t>
  </si>
  <si>
    <t>MOB-010_202.jpg</t>
  </si>
  <si>
    <t>Radio related_inspection</t>
  </si>
  <si>
    <t xml:space="preserve">1. Kiểm tra hiển thị 
2. Kiểm tra list value </t>
  </si>
  <si>
    <t>1. Hiển thị đúng dạng radio 
Label chính: この指摘事項を紐づける点検項目
Label phụ (hiển thị chữ nhỏ bên dưới): 点検結果の判定(良/否)に影響する点検項目を選択してください
1.2. Nếu issue.state IN (99-IS_INVALID, 4-IS_COMPLETION_CONFIRMED) thì disable item này
2. Giá trị button chọn được:
1-IS_VISUAL_HV_CABLE 高圧ケーブルの目視点検
2-IS_IR_TRANSFORMER 変圧器の絶縁抵抗
3-IS_GROUND_RESISTANCE 接地抵抗測定
4-IS_TEMP_HV_EQUIPMENT 高圧機器の温度測定
99-IS_OTHER その他(紐づけなし)</t>
  </si>
  <si>
    <t>MOB-010_203.png</t>
  </si>
  <si>
    <r>
      <rPr>
        <sz val="11"/>
        <color theme="1"/>
        <rFont val="Calibri"/>
      </rPr>
      <t xml:space="preserve">Chưa disable item neeus state IN (99,4)
</t>
    </r>
    <r>
      <rPr>
        <sz val="11"/>
        <color rgb="FF38761D"/>
        <rFont val="Calibri"/>
      </rPr>
      <t>=&gt; Done Local</t>
    </r>
  </si>
  <si>
    <t>1. Chọn button bất kỳ VD: 高圧ケーブルの目視点検
2. Các filed require khác input/select giá trị hợp lệ
3.  Focus out / click button この指摘内容を保存</t>
  </si>
  <si>
    <t xml:space="preserve">1. Button được chọn 
3.Lưu issue và quay lại màn hình đã di chuyển tới màn MOB-010-ADD trước đó </t>
  </si>
  <si>
    <t>MOB-010_204.mp4</t>
  </si>
  <si>
    <t>MOB-010_205.jpg</t>
  </si>
  <si>
    <t>1. Item hiển thị trạng thái acitive
Nếu issue.state IN (99-IS_INVALID, 4-IS_COMPLETION_CONFIRMED) thì disable item này</t>
  </si>
  <si>
    <t>MOB-010_206.png</t>
  </si>
  <si>
    <t>MOB-010_207.png</t>
  </si>
  <si>
    <t>MOB-010_208.png</t>
  </si>
  <si>
    <t>MOB-010_209.png</t>
  </si>
  <si>
    <t>State_change</t>
  </si>
  <si>
    <t>Hiển thị ban đầu của field ステータス</t>
  </si>
  <si>
    <t>1. Kiểm tra label và subtitle của field ステータス.
2. Kiểm tra giá trị mặc định của dropdown ステータス.</t>
  </si>
  <si>
    <t>1. Hiển thị đúng label ステータス và subtitle 「※顧客確認せずに完了させる場合は、こちらでステータスを更新してください。」.
2. Dropdown hiển thị giá trị mặc định theo current_issue.state.</t>
  </si>
  <si>
    <t>MOB-010_210.jpg</t>
  </si>
  <si>
    <t>Trạng thái disable của field ステータス</t>
  </si>
  <si>
    <t>1. Set current_issue.state = 99 (IS_INVALID).
2. Set current_issue.closed_by_inspection_id ≠ current_inspection.id.
3. Kiểm tra trạng thái field ステータス.</t>
  </si>
  <si>
    <t xml:space="preserve">1. Trạng thái issue được cập nhật theo giá trị set.
2. Giá trị closed_by_inspection_id được cập nhật.
3. Không hiển thị issue trên màn hình list </t>
  </si>
  <si>
    <r>
      <rPr>
        <sz val="10"/>
        <rFont val="Arial"/>
      </rPr>
      <t xml:space="preserve">Không có case này vì khi get màn list chỉ lấy các issue có state khác 4 và khác 99, nếu có state 4 và 99 thì closed_inspection_id = </t>
    </r>
    <r>
      <rPr>
        <u/>
        <sz val="10"/>
        <color rgb="FF1155CC"/>
        <rFont val="Arial"/>
      </rPr>
      <t>current_inspection.id</t>
    </r>
    <r>
      <rPr>
        <sz val="10"/>
        <rFont val="Arial"/>
      </rPr>
      <t xml:space="preserve"> hoặc closed_inspection_id = null
</t>
    </r>
    <r>
      <rPr>
        <sz val="10"/>
        <color rgb="FF38761D"/>
        <rFont val="Arial"/>
      </rPr>
      <t>=&gt; Done Local</t>
    </r>
  </si>
  <si>
    <t>1. Set current_issue.state = 4 (IS_COMPLETION_CONFIRMED).
2. Set current_issue.closed_by_inspection_id ≠ current_inspection.id.
3. Kiểm tra trạng thái field ステータス.</t>
  </si>
  <si>
    <t>MOB-010_212.mp4</t>
  </si>
  <si>
    <r>
      <rPr>
        <sz val="10"/>
        <color theme="1"/>
        <rFont val="Arial"/>
      </rPr>
      <t xml:space="preserve">Không có case này vì khi get màn list chỉ lấy các issue có state khác 4 và khác 99, nếu có state 4 và 99 thì closed_inspection_id = current_inspection.id hoặc closed_inspection_id = null
</t>
    </r>
    <r>
      <rPr>
        <sz val="10"/>
        <color rgb="FF38761D"/>
        <rFont val="Arial"/>
      </rPr>
      <t>=&gt; Done Local</t>
    </r>
  </si>
  <si>
    <t>Trạng thái enabel  của field ステータス</t>
  </si>
  <si>
    <t>1. Set current_issue.state = 99 (IS_INVALID).
2. Set current_issue.closed_by_inspection_id = current_inspection.id.
3. Kiểm tra trạng thái field ステータス.</t>
  </si>
  <si>
    <t>3. Field ステータス được enable.</t>
  </si>
  <si>
    <t>MOB-010_213.png</t>
  </si>
  <si>
    <r>
      <rPr>
        <sz val="10"/>
        <color theme="1"/>
        <rFont val="Arial"/>
      </rPr>
      <t xml:space="preserve">Đang bị disabled
</t>
    </r>
    <r>
      <rPr>
        <sz val="10"/>
        <color rgb="FF38761D"/>
        <rFont val="Arial"/>
      </rPr>
      <t>=&gt; Done Local</t>
    </r>
  </si>
  <si>
    <t>1. Set current_issue.state = 4 (IS_COMPLETION_CONFIRMED).
2. Set current_issue.closed_by_inspection_id = current_inspection.id.
3. Kiểm tra trạng thái field ステータス.</t>
  </si>
  <si>
    <t>MOB-010_214.png</t>
  </si>
  <si>
    <r>
      <rPr>
        <sz val="10"/>
        <color theme="1"/>
        <rFont val="Arial"/>
      </rPr>
      <t xml:space="preserve">Đang bị disabled
</t>
    </r>
    <r>
      <rPr>
        <sz val="10"/>
        <color rgb="FF38761D"/>
        <rFont val="Arial"/>
      </rPr>
      <t>=&gt; Done Local</t>
    </r>
  </si>
  <si>
    <t>Dropdown ステータス – các state thông thường</t>
  </si>
  <si>
    <t>1. Set current_issue.state = 1 (IS_DRAFT).
2. Click mở dropdown ステータス.
3. Set current_issue.state = 3 (IS_CLIENT_REPORTED).
4. Click mở dropdown ステータス.
5. Set current_issue.state = 4 (IS_COMPLETION_CONFIRMED).
6. Set current_issue.is_closed_by_inspection_id = current_inspection.id.
7. Click mở dropdown ステータス.</t>
  </si>
  <si>
    <t>1. Trạng thái issue được cập nhật theo giá trị set.
2. Dropdown hiển thị các option:
   - current_issue.state
   - 99 - IS_INVALID
3. Trạng thái issue được cập nhật theo giá trị set.
4. Dropdown hiển thị các option:
   - current_issue.state
   - 4 - IS_COMPLETION_CONFIRMED
5. Trạng thái issue được cập nhật theo giá trị set.
6. Giá trị is_closed_by_inspection_id được cập nhật.
7. Dropdown hiển thị các option:
   - current_issue.state
   - 3 - IS_CLIENT_REPORTED</t>
  </si>
  <si>
    <r>
      <rPr>
        <sz val="10"/>
        <color theme="1"/>
        <rFont val="Arial"/>
      </rPr>
      <t xml:space="preserve">state đang bị disabled nếu state = 4 hoặc 99
</t>
    </r>
    <r>
      <rPr>
        <sz val="10"/>
        <color rgb="FF38761D"/>
        <rFont val="Arial"/>
      </rPr>
      <t>=&gt; Done Local</t>
    </r>
  </si>
  <si>
    <t>Dropdown ステータス – logic previous_state</t>
  </si>
  <si>
    <t>1. Set current_issue.state = 99 (IS_INVALID).
2. Set current_issue.is_closed_by_inspection_id = current_inspection.id.
3. Click mở dropdown ステータス.</t>
  </si>
  <si>
    <t>1. Trạng thái issue được cập nhật theo giá trị set.
2. Giá trị is_closed_by_inspection_id được cập nhật.
3. Dropdown hiển thị các option:
   - current_issue.state
   - previous_state
   previous_state được lấy theo SQL:
   SELECT ir.id,
          ir.current_state AS previous_state
   FROM issue_revision ir
   WHERE ir.issue_id = &lt;current_issue.id&gt;
   ORDER BY ir.id DESC
   LIMIT 1 OFFSET 1;</t>
  </si>
  <si>
    <t>MOB-010_216.png</t>
  </si>
  <si>
    <r>
      <rPr>
        <sz val="10"/>
        <color theme="1"/>
        <rFont val="Arial"/>
      </rPr>
      <t xml:space="preserve">state đang bị disabled nếu state = 4 hoặc 99
</t>
    </r>
    <r>
      <rPr>
        <sz val="10"/>
        <color rgb="FF38761D"/>
        <rFont val="Arial"/>
      </rPr>
      <t>=&gt; Done Local</t>
    </r>
  </si>
  <si>
    <t>Lưu trạng thái ステータス</t>
  </si>
  <si>
    <t>1. Chọn option current_issue.state.
2. Click button 「この指摘内容を保存」.
3. Chọn trạng thái khác current_issue.state trong dropdown.
4. Click button 「この指摘内容を保存」.</t>
  </si>
  <si>
    <t>1. Option được chọn hiển thị trên dropdown.
2. Lưu thành công, trạng thái issue không bị thay đổi.
3. Option được chọn hiển thị trên dropdown.
4. Trạng thái issue được cập nhật theo giá trị đã chọn và lưu thành công.</t>
  </si>
  <si>
    <t xml:space="preserve"> MOB-010_217.webm</t>
  </si>
  <si>
    <r>
      <rPr>
        <sz val="10"/>
        <color theme="1"/>
        <rFont val="Arial"/>
      </rPr>
      <t xml:space="preserve">state đang bị disabled nếu state = 4 hoặc 99
</t>
    </r>
    <r>
      <rPr>
        <sz val="10"/>
        <color rgb="FF38761D"/>
        <rFont val="Arial"/>
      </rPr>
      <t>=&gt; Done Local</t>
    </r>
  </si>
  <si>
    <t>Calendar date_repair_confirmed 改修確認年月日</t>
  </si>
  <si>
    <t>1. Item hiển thị trạng thái active
Nếu issue.state IN (99-IS_INVALID, 4-IS_COMPLETION_CONFIRMED) thì disable item này</t>
  </si>
  <si>
    <t>1. Default: NULL</t>
  </si>
  <si>
    <t>MOB-010_219.jpg</t>
  </si>
  <si>
    <t xml:space="preserve"> Requirement </t>
  </si>
  <si>
    <t xml:space="preserve">repair_content 改修内容 có nhập data </t>
  </si>
  <si>
    <t xml:space="preserve">1. Trường này 改修確認年月日 và nếu trường 改修内容 có nhập data thì trường này bắt buộc nhập </t>
  </si>
  <si>
    <t>MOB-010_220.jpg</t>
  </si>
  <si>
    <t xml:space="preserve">repair_content 改修内容 không nhập data </t>
  </si>
  <si>
    <t>1. Trường này 改修確認年月日 hiển thị là trường  không bắt buộc</t>
  </si>
  <si>
    <t>MOB-010_221.jpg</t>
  </si>
  <si>
    <t>MOB-010_222.mp4</t>
  </si>
  <si>
    <t>MOB-010_223.mp4</t>
  </si>
  <si>
    <t>MOB-010_224.mp4</t>
  </si>
  <si>
    <t xml:space="preserve">1. Trường repair_content 改修内容 có nhập data 
2. Để ngày là blank </t>
  </si>
  <si>
    <t>MOB-010_225.jpg</t>
  </si>
  <si>
    <t>1.Chọn ngày tương lai
2. Các filed require khác input/select giá trị hợp lệ
3.  Focus out / click button この指摘内容を保存</t>
  </si>
  <si>
    <t xml:space="preserve"> MOB-010_226.webm</t>
  </si>
  <si>
    <r>
      <rPr>
        <sz val="10"/>
        <color theme="1"/>
        <rFont val="Arial"/>
      </rPr>
      <t xml:space="preserve">Không chọn được ngày tương lai
=&gt; </t>
    </r>
    <r>
      <rPr>
        <sz val="10"/>
        <color rgb="FF38761D"/>
        <rFont val="Arial"/>
      </rPr>
      <t>Done Local</t>
    </r>
  </si>
  <si>
    <t xml:space="preserve">Text  repair_content 改修内容
</t>
  </si>
  <si>
    <t>1. Item hiển thị đúng kiểu textbox
Text hiển thị: 改修内容</t>
  </si>
  <si>
    <t>MOB-010_227.jpg</t>
  </si>
  <si>
    <r>
      <rPr>
        <sz val="11"/>
        <color rgb="FF000000"/>
        <rFont val="Arial"/>
      </rPr>
      <t xml:space="preserve">1. Item hiển thị trạng thái active
</t>
    </r>
    <r>
      <rPr>
        <sz val="11"/>
        <color rgb="FF000000"/>
        <rFont val="Arial"/>
      </rPr>
      <t>Nếu issue.state IN (99-IS_INVALID, 4-IS_COMPLETION_CONFIRMED) thì disable item này</t>
    </r>
  </si>
  <si>
    <t>MOB-010_228.jpg</t>
  </si>
  <si>
    <t>Đã chọn giá trị date  改修確認年月日</t>
  </si>
  <si>
    <t xml:space="preserve">1. Trường này  改修内容  nếu trường 改修確認年月日 có nhập data thì trường này bắt buộc nhập </t>
  </si>
  <si>
    <t>MOB-010_229.png</t>
  </si>
  <si>
    <t>Để trống date  改修確認年月日</t>
  </si>
  <si>
    <t xml:space="preserve">1. Trường này  改修内容 hiển thị là trường  không bắt buộc </t>
  </si>
  <si>
    <t>MOB-010_230.jpg</t>
  </si>
  <si>
    <t>1.Hiển thị giá trị lấy từ trường 
issue_revision.repair_content</t>
  </si>
  <si>
    <t>MOB-010_231.jpg</t>
  </si>
  <si>
    <t>1. Không nhập data
2. Các filed require khác input/select giá trị hợp lệ
3.  Focus out / click button この指摘内容を保存</t>
  </si>
  <si>
    <t>MOB-010_232.png</t>
  </si>
  <si>
    <t>1. Nhập data toàn kí tự space
2. Các filed require khác input/select giá trị hợp lệ
3.  Focus out / click button この指摘内容を保存</t>
  </si>
  <si>
    <t>MOB-010_233.png</t>
  </si>
  <si>
    <t>1. Input số ký tự vào text box  &gt; 1000 kí tự
2. Các filed require khác input/select giá trị hợp lệ
3.  Focus out / click button この指摘内容を保存</t>
  </si>
  <si>
    <t>3. Show error message E-MSG-002 màu đỏ bên dưới item 
改修内容は1000文字以内で入力してください</t>
  </si>
  <si>
    <t>MOB-010_234.png</t>
  </si>
  <si>
    <t>1. Input số ký tự vào textbox &lt; 1000 kí tự ( chữ ,số , ký tự đặc biệt , thẻ html)
2. Các filed require khác input/select giá trị hợp lệ
3.  Focus out / click button この指摘内容を保存</t>
  </si>
  <si>
    <t>MOB-010_235.mp4</t>
  </si>
  <si>
    <t>MOB-010_236.mp4</t>
  </si>
  <si>
    <t xml:space="preserve">1. Item hiển thị trạng thái acitive
</t>
  </si>
  <si>
    <t>MOB-010_237.jpg</t>
  </si>
  <si>
    <t>Màn hình đi từ MOB-010 và save thành công
Màn hình đi từ MOB-001 và save thành công</t>
  </si>
  <si>
    <t>Pre-condition
Issue đã tồn tại
State hiện tại ≠ 99-IS_INVALID, ≠ 4-IS_COMPLETION_CONFIRMED
Có attachment cũ
1. Thêm ≥1 attachment mới
2.  Click  button この指摘内容を保存</t>
  </si>
  <si>
    <t>2. Upload attachment mới lên S3
2.1. Insert record vào bảng file
2.2. Với mỗi file mới → insert issue_attachment
2.3. Không xoá record issue_attachment cũ
2.4. Update bảng issue:
state = &lt;25.state_change&gt;
closed_by_inspection_id = NULL
2.5. Insert 1 record mới vào issue_revision với:
site_id = current_inspection.site_id
issue_id = current_issue.id
editor_id = logged_in_engineer.eid
current_state = &lt;25.state_change&gt;
attachment_ids = attachment cũ (trừ file bị xoá trên UI) + attachment mới
2.6. Đóng modal edit
2.7 Hiển thị toaster thành công: 保存しました
2.8.List inspection remark hiển thị data mới</t>
  </si>
  <si>
    <t>MOB-010_238.mp4</t>
  </si>
  <si>
    <t>Pre-condition
Issue có ≥2 attachment
1. Xoá 1 attachment 
2.  Click  button この指摘内容を保存</t>
  </si>
  <si>
    <t>2. Không xoá record trong bảng issue_attachment
2.1. issue_revision.attachment_ids: Không chứa attachment đã xoá trên UI
2.2. Các report cũ không bị ảnh hưởng
2.3. Save thành công, hiển thị toaster 保存しました</t>
  </si>
  <si>
    <t>MOB-010_239.mp4</t>
  </si>
  <si>
    <t>1. Thực hiện state_change = state bất kỳ
(≠ 99-IS_INVALID, ≠ 4-IS_COMPLETION_CONFIRMED)
2. Input hợp lệ các trường 
3. Click  button この指摘内容を保存</t>
  </si>
  <si>
    <t>3. Update bảng issue:
state = &lt;25.state_change&gt;
closed_by_inspection_id = NULL
3.1. Insert issue_revision mới
3.2. Save thành công hiển thị toaster 保存しました</t>
  </si>
  <si>
    <t>MOB-010_240.mp4</t>
  </si>
  <si>
    <r>
      <rPr>
        <sz val="10"/>
        <color theme="1"/>
        <rFont val="Arial"/>
      </rPr>
      <t xml:space="preserve">Không có case này vì khi get màn list chỉ lấy các issue có state khác 4 và khác 99, nếu có state 4 và 99 thì closed_inspection_id = current_inspection.id hoặc closed_inspection_id = null
</t>
    </r>
    <r>
      <rPr>
        <sz val="10"/>
        <color rgb="FF38761D"/>
        <rFont val="Arial"/>
      </rPr>
      <t>=&gt; Done Local</t>
    </r>
  </si>
  <si>
    <t>1. Thực hiện state_change = 99-IS_INVALID
2. Input hợp lệ các trường 
3. Click  button この指摘内容を保存</t>
  </si>
  <si>
    <t>3. Update bảng issue:
state = &lt;25.state_change&gt;
closed_by_inspection_id = current_inspection_id
3.1. Insert issue_revision mới
3.2. Save thành công hiển thị toaster 保存しました</t>
  </si>
  <si>
    <t>MOB-010_241.mp4</t>
  </si>
  <si>
    <r>
      <rPr>
        <sz val="10"/>
        <color theme="1"/>
        <rFont val="Arial"/>
      </rPr>
      <t xml:space="preserve">state đang bị disabled nếu state = 4 hoặc 99
</t>
    </r>
    <r>
      <rPr>
        <sz val="10"/>
        <color rgb="FF38761D"/>
        <rFont val="Arial"/>
      </rPr>
      <t>=&gt; Done Local</t>
    </r>
  </si>
  <si>
    <t>1. Thực hiện state_change =4-IS_COMPLETION_CONFIRMED
2. Input hợp lệ các trường 
3. Click  button この指摘内容を保存</t>
  </si>
  <si>
    <t xml:space="preserve"> MOB-010_242.mp4</t>
  </si>
  <si>
    <r>
      <rPr>
        <sz val="10"/>
        <color theme="1"/>
        <rFont val="Arial"/>
      </rPr>
      <t xml:space="preserve">state đang bị disabled nếu state = 4 hoặc 99
</t>
    </r>
    <r>
      <rPr>
        <sz val="10"/>
        <color rgb="FF38761D"/>
        <rFont val="Arial"/>
      </rPr>
      <t>=&gt; Done Local</t>
    </r>
  </si>
  <si>
    <t>1.Không thêm attachment mới
2. Input hợp lệ các trường 
3. Click  button この指摘内容を保存</t>
  </si>
  <si>
    <t>3. Không upload S3
3.1. Không insert file
3.2 Không insert issue_attachment
3.3. issue_revision.attachment_ids chỉ gồm attachment hiện có
 3.4. Save thành công hiển thị toaster 保存しました</t>
  </si>
  <si>
    <t>MOB-010_243.mp4</t>
  </si>
  <si>
    <t>1. Dể trống tất cả các trường input/select
2. Click button この指摘内容を保存</t>
  </si>
  <si>
    <t>MOB-010_244.mp4</t>
  </si>
  <si>
    <t xml:space="preserve">
1. Input hợp lệ các trường 
2. Click  button この指摘内容を保存
3. Save thất bại </t>
  </si>
  <si>
    <r>
      <rPr>
        <sz val="11"/>
        <color rgb="FF000000"/>
        <rFont val="Arial"/>
      </rPr>
      <t xml:space="preserve">3. Đóng modal edit
3.1.Quay lại modal list inspection issue
3.2.Hiển thị toaster thất bại: 保存失敗しました
Design: </t>
    </r>
    <r>
      <rPr>
        <u/>
        <sz val="11"/>
        <color rgb="FF000000"/>
        <rFont val="Arial"/>
      </rPr>
      <t>https://www.figma.com/design/0nUR2v0mzjAhKLNU1UULQi/%E3%83%87%E3%82%B6%E3%82%A4%E3%83%B3?node-id=3261-41725&amp;t=JM0ku91fFXsM3e2t-4</t>
    </r>
    <r>
      <rPr>
        <sz val="11"/>
        <color rgb="FF000000"/>
        <rFont val="Arial"/>
      </rPr>
      <t xml:space="preserve">
3.3. Không phản ánh data mới trong list</t>
    </r>
  </si>
  <si>
    <t>Kiểm tra log</t>
  </si>
  <si>
    <t>Khi vào list issue</t>
  </si>
  <si>
    <t>1. Ghi log như bên dưới 
User :logged_in_user_id access issue list screen. site_id:site_id :access_url :date_time :ip_address :user_agentt</t>
  </si>
  <si>
    <t>MOB-010_246.jpg</t>
  </si>
  <si>
    <t>Khi tạo inspection issue thành công</t>
  </si>
  <si>
    <t>1. Ghi log như bên dưới 
User :logged_in_user_id created issue. issue_id=:issue_id :access_url :date_time :ip_address :user_agent</t>
  </si>
  <si>
    <t>Khi tạo inspection issue thất bại</t>
  </si>
  <si>
    <t>Khi edit inspection issue thành công</t>
  </si>
  <si>
    <t>1. Ghi log như bên dưới 
User :logged_in_user_id edited issue. issue_id=:issue_id :access_url :date_time :ip_address :user_agent</t>
  </si>
  <si>
    <t>MOB-010_249.jpg</t>
  </si>
  <si>
    <t>Khi edit inspection issue thất bại</t>
  </si>
  <si>
    <t>1. Ghi log như bên dưới 
User :logged_in_user_id failed to edit issue. :access_url :date_time :ip_address :user_agent</t>
  </si>
  <si>
    <t>MOB-010_250.jpg</t>
  </si>
  <si>
    <t xml:space="preserve">Xử lý Offline </t>
  </si>
  <si>
    <t>màn list hỗ trợ offline.</t>
  </si>
  <si>
    <t>1. Thiết bị đã từng online và load list issue thành công
2. Chuyển sang trạng thái offline
3. Mở màn MOB-010-ADD Issue – List</t>
  </si>
  <si>
    <t xml:space="preserve">3. List issue hiển thị từ data cache/local
3.1. Các chức năng hoạt động như mode online 
</t>
  </si>
  <si>
    <t xml:space="preserve"> MOB-010_251.webm</t>
  </si>
  <si>
    <t>có thể tạo issue khi offline.</t>
  </si>
  <si>
    <t>1. Thiết bị offline
2. Chưa sync data
3. Mở màn Create Issue từ MOB-010
4. Input hợp lệ các trường 
5. Click  button この指摘内容を保存</t>
  </si>
  <si>
    <t xml:space="preserve">5. Issue được lưu local (pending / unsynced)
5.1.Không upload attachment lên S3
5.2. Đóng modal create
Quay lại list. Issue mới hiển thị trong list (trạng thái offline)
</t>
  </si>
  <si>
    <t xml:space="preserve"> MOB-010_252.webm</t>
  </si>
  <si>
    <t>có thể tạo edit issue khi offline.</t>
  </si>
  <si>
    <t>1. Thiết bị offline
2. Chưa sync data
3. Mở màn eidt  Issue từ MOB-010
4. Input hợp lệ các trường 
5. Click  button この指摘内容を保存</t>
  </si>
  <si>
    <t xml:space="preserve"> MOB-010_253.webm</t>
  </si>
  <si>
    <t>Đồng bộ dữ liệu sau khi từ offline → online</t>
  </si>
  <si>
    <t>1. Tạo issue được create / update khi offline
2. Chuyển trạng thái từ offline → online</t>
  </si>
  <si>
    <t>2. Attachment được upload lên S3
2.1. DB được insert/update đúng:
issue
issue_attachment
issue_revision
2.2. List hiển thị data đã sync</t>
  </si>
  <si>
    <t xml:space="preserve"> MOB-010_254.webm</t>
  </si>
  <si>
    <t>Không hỗ trợ offline cho flow từ MOB-011</t>
  </si>
  <si>
    <t xml:space="preserve">1. Thiết bị offline
2. Từ màn MOB-011, check các button tạo issue </t>
  </si>
  <si>
    <t>2. Disable các button di chuyển sang màn hình MOB-010</t>
  </si>
  <si>
    <t>MOB-010_255.png</t>
  </si>
  <si>
    <t>site_location</t>
  </si>
  <si>
    <t>1. Open app 
2. Thực hiện login với role Engineer
3. Tại màn hình MOB-002 Home, click 点検開始 btn ở Inspection Plan 
4. Tại  màn MOB-010 Inspection Execute,  input data để hiển thị button
5. Click 顧客確認へ
6.Click 確認完了</t>
  </si>
  <si>
    <t>1. Open app 
2. Thực hiện login với role Engineer
3. Tại màn hình MOB-002 Home, click 詳細 btn ở Inspection Plan
4. Tại màn  MOB-008 Inspection Plan Detail, click 点検再開
5. Tại màn MOB-010 Inspection Execute, input data để hiển thị button
6. click 顧客確認へ
7.Click 確認完了</t>
  </si>
  <si>
    <t>1. Open app 
2. Thực hiện login với role Engineer
3. Tại màn hình MOB-002 Home, click 報告書確認 btn ở Inspection Plan trường hợp plan.state =  12-IS_REPORT_COMPLETED 報告書作成済</t>
  </si>
  <si>
    <t>1. Open app 
2. Thực hiện login với role Engineer
3. Tại màn hình MOB-002 Home, click 報告書確認 btn ở Inspection Plan trường hợp plan.state =  13-IS_REPORT_APPROVED 報告書承認</t>
  </si>
  <si>
    <t>1. Open app 
2. Thực hiện login với role Engineer
3. Tại màn hình MOB-002 Home, click 報告書確認 btn ở Inspection Plan trường hợp plan.state = 20-IS_CLIENT_REPORTED 顧客報告</t>
  </si>
  <si>
    <t>Trường hợp vào màn hình từ màn hình MOB-002</t>
  </si>
  <si>
    <t>page_title</t>
  </si>
  <si>
    <t>1. Hiển thị label 点検報告</t>
  </si>
  <si>
    <t>1. Không hiển thị button キャンセル</t>
  </si>
  <si>
    <t>submit_report_btn/報告書を提出する</t>
  </si>
  <si>
    <t>1. Hiển thị label 自家用電気工作物点検報告書&lt;月次&gt; 
Ở phạm vi scope MVP1. Chỉ đối ứng với monthly 月次 inspection</t>
  </si>
  <si>
    <t>1.Hiển thị tên công ty Rezil là 
レジル保安株式会社</t>
  </si>
  <si>
    <t>1. Check last time inspection của inspection hiện tại</t>
  </si>
  <si>
    <t>Nguồn lấy data item 46~78
(Item 事業場ID-&gt; Item 電流 T)</t>
  </si>
  <si>
    <t xml:space="preserve">1. Hiển thị trống tại dòng last_time </t>
  </si>
  <si>
    <t>site_id /事業場ID</t>
  </si>
  <si>
    <t>1. Kiểm tra label hiển thị 
2. Kiểm tra value hiển thị
3. Check khi tên site dài</t>
  </si>
  <si>
    <t xml:space="preserve">1. Hiển thị label 点検者 
2. Hiển thị user.name 
FK enginner.uid
FK plan_assignment (với role = 1 - 実施技術者).eid
SELECT u.name
FROM inspection i
INNER JOIN plan p ON i.id = plan.inspection_id
JOIN plan_assigment pa ON pa.plan_id = p.id AND pa.role = 1
JOIN engineer e ON e.id = pa.eid
JOIN user u ON u.id = e.uid
WHERE i.id = &lt;current inspection.id&gt;
LIMIT 1
</t>
  </si>
  <si>
    <t>Field plan.weather_information: data json như sau: 
{"weather": "晴"}</t>
  </si>
  <si>
    <t>1. Hiển thị label 天候
2. Thông tin thời tiết. Hiện thị trạng thái.
Lấy từ plan.weather_information
Hiển thị text「晴」</t>
  </si>
  <si>
    <t xml:space="preserve">Field plan.weather_information: data json như sau: 
{"temperature": "23"}
</t>
  </si>
  <si>
    <t xml:space="preserve">Field plan.weather_information: data json như sau:
{ "humidity": "70"}
</t>
  </si>
  <si>
    <t>chk_hv_panel_power_multiplie/乗率</t>
  </si>
  <si>
    <t>1. Hiển thị label メーター交換の有無</t>
  </si>
  <si>
    <t>inspection.chk_meter_replaced_flag=1</t>
  </si>
  <si>
    <t>inspection.chk_meter_replaced_flag=0</t>
  </si>
  <si>
    <t xml:space="preserve"> có last inspection</t>
  </si>
  <si>
    <t xml:space="preserve">1. Hiển thị last inspection &gt; plan.work_start
format MM月DD日
                                                                                                                                                   </t>
  </si>
  <si>
    <t>Nguồn lấy data item 80~88
(Các item ở vùng ◆変圧器負荷状況)</t>
  </si>
  <si>
    <t>1. Kiểm tra label hiển thị 
2. Kiểm tra value hiển thị
3. Check khi có data xuống dòng</t>
  </si>
  <si>
    <t>1. Hiển thị label name là 使用場所
2. Hiển thị data trường  site_location.name
3. Hiện thị full nội dung, xuống dòng nếu cần thiết</t>
  </si>
  <si>
    <t>1. Hiển thị label name là 用途
2. Hiển thị data trường   equipment.usage_purpose 
3. Hiện thị full nội dung, xuống dòng nếu cần thiết</t>
  </si>
  <si>
    <t>Nguồn lấy data item 90~92
(Các item vùng ◆その他高圧機器)</t>
  </si>
  <si>
    <t>Nguồn lấy data item 94~98
(Các item ở vùng ◆蓄電設備の点検)</t>
  </si>
  <si>
    <t>Nguồn lấy data item 101~104
(Các item ở vùng 絶縁監視装置)</t>
  </si>
  <si>
    <t>alarm_status_label</t>
  </si>
  <si>
    <t>1. Hiển thị label 
下記点検項目についてお客様の都合で立ち入りできない場所など点検が容易に実施できない場所に設置されたものを除きます。</t>
  </si>
  <si>
    <t>Nguồn lấy data item 108~129
(Các item ở vùng 設備点検結果)</t>
  </si>
  <si>
    <t>edit_inspection_result_btn</t>
  </si>
  <si>
    <t>1. Từ màn hình MOB-010 , click button back</t>
  </si>
  <si>
    <t>1. Hiển thị label ◆特記事項</t>
  </si>
  <si>
    <t>Không có remark  nào</t>
  </si>
  <si>
    <t>1. Không hiển thị label 特記事項 và các table liên quan đến remark bên dưới</t>
  </si>
  <si>
    <t xml:space="preserve">1. Hiển thị label カテゴリ
Data hiển thị get từ field inspection_remark.category </t>
  </si>
  <si>
    <t xml:space="preserve">1. Kiểm tra value hiển thị </t>
  </si>
  <si>
    <t>issue_label</t>
  </si>
  <si>
    <t>1. Hiển thị label ◆指摘事項</t>
  </si>
  <si>
    <t xml:space="preserve">1. Kiểm tra hiển thị list danh sách issue của inspection hiện tại
</t>
  </si>
  <si>
    <t>Không hiển thị label ◆指摘事項 và các table liên quan đến issue bên dưới</t>
  </si>
  <si>
    <t>Load data list danh sách issues của inspection hiện tại</t>
  </si>
  <si>
    <t>3.2. Report Detail</t>
  </si>
  <si>
    <t>Nguồn lấy data item 
(Các item ở vùng ◆絶縁監視装置 (詳細))</t>
  </si>
  <si>
    <t xml:space="preserve">1. Kiểm tra hiển thị data các item ở vùng 絶縁監視装置(詳細) </t>
  </si>
  <si>
    <t>Có remark</t>
  </si>
  <si>
    <t>1. Hiển thị label ◆特記事項 (詳細)</t>
  </si>
  <si>
    <t>remark_detail_item</t>
  </si>
  <si>
    <t xml:space="preserve">Không có remark </t>
  </si>
  <si>
    <t>1. Kiểm tra hiển thị vùng danh sách issue detail</t>
  </si>
  <si>
    <t>1. Không hiển thị label ◆特記事項 (詳細) và table hiển thị thông tin chi tiết issue bên dưới</t>
  </si>
  <si>
    <t>add_remark_button</t>
  </si>
  <si>
    <t>1. Không hiển thị button 特記事項を追加</t>
  </si>
  <si>
    <t>1. Hiển thị button 特記事項を追加</t>
  </si>
  <si>
    <t>1. Di chuyển đến màn hình MOB-010 Add remark</t>
  </si>
  <si>
    <t>1. Từ màn hình MOB-010 Add remark , click button back</t>
  </si>
  <si>
    <t>1.Input/select data hợp lệ
2. Tạo remark thành công</t>
  </si>
  <si>
    <t xml:space="preserve">1.Mở gallery view. </t>
  </si>
  <si>
    <t>edit_remark_button</t>
  </si>
  <si>
    <t>1. Không hiển thị button この特記事項を編集</t>
  </si>
  <si>
    <t>1. Hiển thị button この特記事項を編集</t>
  </si>
  <si>
    <t>1. Di chuyển đến màn hình MOB-010 Edit remark</t>
  </si>
  <si>
    <t>1.Input/select data hợp lệ
2. update remark thành công</t>
  </si>
  <si>
    <t>issue_detail_item</t>
  </si>
  <si>
    <t xml:space="preserve">Không có issue </t>
  </si>
  <si>
    <t>1. Không hiển thị label  ◆指摘事項 (詳細) và table hiển thị thông tin chi tiết issue bên dưới</t>
  </si>
  <si>
    <t>add_issue_button</t>
  </si>
  <si>
    <t>1. Không hiển thị button 指摘事項を追加</t>
  </si>
  <si>
    <t>1. Hiển thị button 指摘事項を追加</t>
  </si>
  <si>
    <t>1. Di chuyển đến màn hình MOB-010 Add issue with template</t>
  </si>
  <si>
    <t>1. Từ màn hình MOB-010 Add issue , click button back</t>
  </si>
  <si>
    <t>1.Input/select data hợp lệ
2. Tạo issue thành công</t>
  </si>
  <si>
    <t xml:space="preserve"> lastest_issue_revision.content </t>
  </si>
  <si>
    <t>1. Khi click image, mở gallery view.</t>
  </si>
  <si>
    <t>edit_issue_button</t>
  </si>
  <si>
    <t>1. Không hiển thị button この指摘事項を編集</t>
  </si>
  <si>
    <t xml:space="preserve">1. Check hiển thị  button </t>
  </si>
  <si>
    <t>1. Hiển thị button この指摘事項を編集</t>
  </si>
  <si>
    <t>1. Di chuyển đến màn hình MOB-010 Edit issue</t>
  </si>
  <si>
    <t>1. Từ màn hình MOB-010 Edit issue , click button back</t>
  </si>
  <si>
    <t>1.Input/select data hợp lệ
2. update issue thành công</t>
  </si>
  <si>
    <t>MOB-012 Report Summary</t>
  </si>
  <si>
    <r>
      <rPr>
        <b/>
        <sz val="10"/>
        <color theme="1"/>
        <rFont val="Arial"/>
      </rPr>
      <t xml:space="preserve">TVP Key </t>
    </r>
    <r>
      <rPr>
        <b/>
        <i/>
        <sz val="10"/>
        <color rgb="FF0000FF"/>
        <rFont val="Arial"/>
      </rPr>
      <t>(select)</t>
    </r>
  </si>
  <si>
    <t>TVP Type</t>
  </si>
  <si>
    <t>S03.1_Login/chưa login</t>
  </si>
  <si>
    <t>Kiểm tra các trường hợp có thể đi đến màn hình  MOB-012 Report Summary</t>
  </si>
  <si>
    <t>3. Hiển thị màn MOB-010 Inspection Execute
5. Di chuyển đến màn hình  MOB-013 Customer Acknowledgement
6.Truyền inspection_id và di chuyển đến màn hình MOB-012 Report Summary</t>
  </si>
  <si>
    <t>3. Hiển thị màn MOB-008 Inspection Plan Detail
4. Hiển thị màn MOB-010 Inspection Execute
6. Di chuyển đến màn hình  MOB-013 Customer Acknowledgement
7. Truyền inspection_id và di chuyển đến màn hình MOB-012 Report Summary</t>
  </si>
  <si>
    <t>3. Truyền inspection_id và di chuyển đến màn hình MOB-012 Report Summary</t>
  </si>
  <si>
    <t>S03.1_F5 screen</t>
  </si>
  <si>
    <t>1. Quay lại màn hình MOB-012 Report Summary</t>
  </si>
  <si>
    <t>1. Màn hình MOB-012 Report Summary được load lại và hiển thị</t>
  </si>
  <si>
    <t>S04_UI ~90%</t>
  </si>
  <si>
    <r>
      <rPr>
        <sz val="11"/>
        <color rgb="FF000000"/>
        <rFont val="Arial"/>
      </rPr>
      <t xml:space="preserve">1. Giao diện màn hình được hiển thị giống với figma 
UI Layout : Link 
</t>
    </r>
    <r>
      <rPr>
        <u/>
        <sz val="11"/>
        <color rgb="FF1155CC"/>
        <rFont val="Arial"/>
      </rPr>
      <t>https://www.figma.com/design/0nUR2v0mzjAhKLNU1UULQi/%E3%83%87%E3%82%B6%E3%82%A4%E3%83%B3?node-id=4323-42684&amp;t=HNQY9b3ZyCnqEEfw-0</t>
    </r>
  </si>
  <si>
    <t>- width các cột table đang k dúng so với figma
- text この特記事項を編集 đang sai line-height và letter-spacing
- Thông số font của table th đang sai: font-size, line-height, letter-spacing
- Các text title bảng như ◆絶縁監視装置(詳細),... đang sai line-height
- gap giữa các ảnh ở issue và remark đang sai
- Các button zoom ion dang k nằm giữa</t>
  </si>
  <si>
    <t>S03.2_Click button</t>
  </si>
  <si>
    <t>1.  Back lại màn hình MOB-002</t>
  </si>
  <si>
    <t>Trường hợp vào màn hình từ màn hình MOB-011</t>
  </si>
  <si>
    <t>1.  Back lại màn hình MOB-011
(hiện tại chưa có màn MOB-011 update theo BD mới nhất, back về MOB-013)</t>
  </si>
  <si>
    <t>Vùng General Summary</t>
  </si>
  <si>
    <t xml:space="preserve">1.Hiển thị data từ câu SQL sau
SELECT i.id AS last_inspection_id                        
FROM inspection i                        
        INNER JOIN plan p ON i.id = p.inspection_id                
WHERE i.category = &lt;inspection.category&gt; AND id &lt; :current_inspection_id AND plan.state IN (12 - 報告書作成済, 13 - 報告書承認, 20 - 顧客報告)                        
ORDER BY p.work_start DESC LIMIT 1                                                                          
</t>
  </si>
  <si>
    <t xml:space="preserve">1. Chỉ hiển thị thông tin chung của inspection hiện tại
Data được get từ SQL sau đây: 
SELECT p.work_start, 
i.chk_hv_panel_demand_setpoint_num, 
i.chk_hv_panel_power_factor_rate,                                                                      
i.chk_meter_replaced_flag,                                                                        
i.chk_energy_usage1_num,                                                                        
i.chk_active_energy_p1_num,                                                                        
i.chk_reactive_energy_p2_num,                                                                        
i.chk_energy_usage2_num,                                                                        
i.chk_energy_usage3_num,                                                                                                                                                                                                        
i.chk_voltage_rs_num,                                                                        
i.chk_voltage_st_num,                                                                        
i.chk_voltage_tr_num,                                                                        
i.chk_amp_r_num,                                                                        
i.chk_amp_s_num,                                                                        
i.chk_amp_t_num,
pa.eid,
s.id, 
s.name, 
s.recv_capacity,
s.backup_capacity                                                                        
FROM inspection i                
        INNER JOIN plan p ON i.id = p.inspection_id
        INNER JOIN plan_assignment pa ON pa.plan_id = p.id AND pa.role = 1
        INNER JOIN site s ON i.site_id = s.id   
WHERE i.id = :current_inspection_id      
</t>
  </si>
  <si>
    <t>1. HIiển thị thông tin chung của inspection hiện tại và inspection trước đó, data last time hiển thị bên dưới this time
Data được get từ SQL sau đây: 
This time: như trên
last_time:     
WHERE i.category = &lt;inspection.category&gt; AND id &lt; :current_inspection_id AND plan.state IN (12 - 報告書作成済, 13 - 報告書承認, 20 - 顧客報告)                
ORDER BY p.work_start DESC LIMIT 1</t>
  </si>
  <si>
    <r>
      <rPr>
        <sz val="11"/>
        <color rgb="FF000000"/>
        <rFont val="Arial"/>
      </rPr>
      <t xml:space="preserve">1. Hiển thị label name là 事業場ID
2. Hiển thị ID của site thực hiện inspection 
Trường : </t>
    </r>
    <r>
      <rPr>
        <u/>
        <sz val="11"/>
        <color rgb="FF1155CC"/>
        <rFont val="Arial"/>
      </rPr>
      <t>site.id</t>
    </r>
    <r>
      <rPr>
        <sz val="11"/>
        <color rgb="FF000000"/>
        <rFont val="Arial"/>
      </rPr>
      <t xml:space="preserve"> 
</t>
    </r>
  </si>
  <si>
    <t xml:space="preserve">1. Hiển thị label 実施日時
2. Hiển thị plan.work_start
Format: 
・&lt;start_time.date&gt; &lt;start_time&gt;
Date Format: YYYY年MM月DD日 (&lt;day_of_week&gt;) &lt;start_time&gt;
Time format: HH:mm
</t>
  </si>
  <si>
    <r>
      <rPr>
        <sz val="10"/>
        <color rgb="FF000000"/>
        <rFont val="Arial"/>
      </rPr>
      <t xml:space="preserve">DB sẽ chỉ lưu số k lưu đơn vị
</t>
    </r>
    <r>
      <rPr>
        <sz val="10"/>
        <color rgb="FFFF0000"/>
        <rFont val="Arial"/>
      </rPr>
      <t>SiDD: DB đang define varchar</t>
    </r>
  </si>
  <si>
    <r>
      <rPr>
        <sz val="10"/>
        <color rgb="FF000000"/>
        <rFont val="Arial"/>
      </rPr>
      <t xml:space="preserve">DB sẽ chỉ lưu số k lưu đơn vị
</t>
    </r>
    <r>
      <rPr>
        <sz val="10"/>
        <color rgb="FFFF0000"/>
        <rFont val="Arial"/>
      </rPr>
      <t>SiDD: DB đang define varchar</t>
    </r>
  </si>
  <si>
    <r>
      <rPr>
        <sz val="11"/>
        <color rgb="FF000000"/>
        <rFont val="Arial"/>
      </rPr>
      <t xml:space="preserve">1. Hiển thị label 事業場名
2.  Hiển thị </t>
    </r>
    <r>
      <rPr>
        <sz val="11"/>
        <color rgb="FF000000"/>
        <rFont val="Arial"/>
      </rPr>
      <t>site.name</t>
    </r>
    <r>
      <rPr>
        <sz val="11"/>
        <color rgb="FF000000"/>
        <rFont val="Arial"/>
      </rPr>
      <t xml:space="preserve">
3. Hiện thị full nội dung, xuống dòng nếu cần thiết</t>
    </r>
  </si>
  <si>
    <t>Field plan.weather_information: data json như sau: 
{"weather": "曇"}</t>
  </si>
  <si>
    <t>2. Thông tin thời tiết. Hiện thị trạng thái.
Lấy từ plan.weather_information
Hiển thị text「曇」</t>
  </si>
  <si>
    <t>Field plan.weather_information: data json như sau: 
{"weather": "雨"}</t>
  </si>
  <si>
    <t>2. Thông tin thời tiết. Hiện thị trạng thái.
Lấy từ plan.weather_information
Hiển thị text「雨」</t>
  </si>
  <si>
    <t>Field plan.weather_information: data json như sau: 
{"weather": "雪"}</t>
  </si>
  <si>
    <t>2. Thông tin thời tiết. Hiện thị trạng thái.
Lấy từ plan.weather_information
Hiển thị text「雪」</t>
  </si>
  <si>
    <t>Field plan.weather_information: data json như sau: 
{"weather": "雷"}</t>
  </si>
  <si>
    <t>2. Thông tin thời tiết. Hiện thị trạng thái.
Lấy từ plan.weather_information
Hiển thị text「雷」</t>
  </si>
  <si>
    <t>Field plan.weather_information: data json như sau: 
{"weather": "雷雨"}</t>
  </si>
  <si>
    <t xml:space="preserve">2. Thông tin thời tiết. Hiện thị trạng thái.
Lấy từ plan.weather_information
Hiển thị text「雷雨」
</t>
  </si>
  <si>
    <t xml:space="preserve">1. Hiển thị label 作業者
2. Hiển thị tên người thực hiện hành động trường current loggined_user.name
</t>
  </si>
  <si>
    <r>
      <rPr>
        <sz val="11"/>
        <color rgb="FF000000"/>
        <rFont val="Arial"/>
      </rPr>
      <t xml:space="preserve">1.Tham khảo gía trị từ thông tin của site
 // TODO: Đang </t>
    </r>
    <r>
      <rPr>
        <u/>
        <sz val="11"/>
        <color rgb="FF1155CC"/>
        <rFont val="Arial"/>
      </rPr>
      <t>confirm</t>
    </r>
  </si>
  <si>
    <t>TODO: Đang confirm</t>
  </si>
  <si>
    <t>Figma hiển thị xuống dòng chữ 有無
HIện tạihiển thị xuống dòng の有無</t>
  </si>
  <si>
    <t xml:space="preserve">1. Hiển thị label メーター交換の有無
2. Hiển thị dựa vào giá trị inspection.chk_meter_replaced_flag
Hiển thị text なし  
                                                                                                                                                                              </t>
  </si>
  <si>
    <t xml:space="preserve">1. Hiển thị label メーター交換の有無
2. Hiển thị dựa vào giá trị inspection.chk_meter_replaced_flag
Hiển thị text あり
false: なし                                                                                                                                                                               </t>
  </si>
  <si>
    <t>https://rezil-electrical.atlassian.net/browse/REZIL-839</t>
  </si>
  <si>
    <t xml:space="preserve"> không có last inspection</t>
  </si>
  <si>
    <t>1. Ẩn hiện thị</t>
  </si>
  <si>
    <t>1. Hiển thị label 前回
Row Luôn hiển thị dù bật hay tắt mode 2 luôn hiển thị dù tắt hay bật mode 2</t>
  </si>
  <si>
    <t>đang hiển thị 今回</t>
  </si>
  <si>
    <t xml:space="preserve">1. Hiển thị label 使用電力量1 </t>
  </si>
  <si>
    <t>1.Hiển thị inspection.chk_energy_usage1_num
1.1. Vẫn hiển thị dòng 前回, data hiển thị trống</t>
  </si>
  <si>
    <r>
      <rPr>
        <sz val="10"/>
        <color rgb="FF000000"/>
        <rFont val="Arial"/>
      </rPr>
      <t xml:space="preserve">đang hiển thị cả dòng 前回
</t>
    </r>
    <r>
      <rPr>
        <sz val="10"/>
        <color rgb="FFFF0000"/>
        <rFont val="Arial"/>
      </rPr>
      <t>SiDD: đang chờ confirm BrSE, tạm thời giữ nguyên</t>
    </r>
  </si>
  <si>
    <t>1.Hiển thị inspection.chk_energy_usage1_num
1.1. Hiển  thị thêm giá trị last time: last inspection.chk_energy_usage1_num trên dòng last_time (前回)
1.2. Khi có sự sai khác với this time, hiện background vàng nhạt</t>
  </si>
  <si>
    <t>1.Hiển thị inspection.chk_energy_usage1_num
1.1. Hiển  thị thêm giá trị last time: last inspection.chk_energy_usage1_num trên dòng last_time (前回). 
1.2. Background không thay đổi</t>
  </si>
  <si>
    <t>1. Kiểm tra hiển thị khi không có data  last time inspection.chk_energy_usage1_num</t>
  </si>
  <si>
    <t>1. Hiển thị trống tại dòng last_time (前回）</t>
  </si>
  <si>
    <t>1. Hiển thị label 有効電力量P1</t>
  </si>
  <si>
    <t>1. Hiển thị giá trị trường inspection.chk_active_energy_p1_num 
1.1. Vẫn hiển thị dòng 前回, data hiển thị trống</t>
  </si>
  <si>
    <r>
      <rPr>
        <sz val="10"/>
        <color rgb="FF000000"/>
        <rFont val="Arial"/>
      </rPr>
      <t xml:space="preserve">đang hiển thị cả dòng 前回
</t>
    </r>
    <r>
      <rPr>
        <sz val="10"/>
        <color rgb="FFFF0000"/>
        <rFont val="Arial"/>
      </rPr>
      <t>SiDD: đang chờ confirm BrSE, tạm thời giữ nguyên</t>
    </r>
  </si>
  <si>
    <t>1. Hiển thị giá trị trường inspection.chk_active_energy_p1_num
1.1. Hiển thị thêm giá trị last time: last inspection.chk_active_energy_p1_num   trên dòng last_time (前回)
1.2. Khi có sự sai khác với this time, hiện background vàng nhạt</t>
  </si>
  <si>
    <t>1. Hiển thị giá trị trường inspection.chk_active_energy_p1_num
1. Hiển thị thêm giá trị last time:  last inspection.chk_active_energy_p1_num  trên dòng last_time (前回). 
1.1. Background không thay đổi</t>
  </si>
  <si>
    <t xml:space="preserve">1. Kiểm tra hiển thị khi không có data last time inspection.chk_active_energy_p1_num </t>
  </si>
  <si>
    <t>cchk_reactive_energy_p2_num/無効電力量P2</t>
  </si>
  <si>
    <t>1. Hiển thị label 無効電力量P2</t>
  </si>
  <si>
    <t>1. Hiển thị giá trị trường inspection.chk_reactive_energy_p2_num
1.1. Vẫn hiển thị dòng 前回, data hiển thị trống</t>
  </si>
  <si>
    <r>
      <rPr>
        <sz val="10"/>
        <color rgb="FF000000"/>
        <rFont val="Arial"/>
      </rPr>
      <t xml:space="preserve">đang hiển thị cả dòng 前回
</t>
    </r>
    <r>
      <rPr>
        <sz val="10"/>
        <color rgb="FFFF0000"/>
        <rFont val="Arial"/>
      </rPr>
      <t>SiDD: đang chờ confirm BrSE, tạm thời giữ nguyên</t>
    </r>
  </si>
  <si>
    <t>1. Hiển thị giá trị trường inspection.chk_reactive_energy_p2_num
1.1. Hiển thị thêm giá trị last time: last inspection.chk_reactive_energy_p2_num  trên dòng last_time (前回)
1.2. Khi có sự sai khác với this time, hiện background vàng nhạt</t>
  </si>
  <si>
    <t>1. Hiển thị giá trị trường inspection.chk_reactive_energy_p2_num
1. Hiển thị thêm giá trị last time:  last inspection.chk_reactive_energy_p2_num trên dòng last_time (前回). 
1.1. Background không thay đổi</t>
  </si>
  <si>
    <t>1. Kiểm tra hiển thị khi không có data last time inspection.chk_reactive_energy_p2_num</t>
  </si>
  <si>
    <t xml:space="preserve">1. Hiển thị label 使用電力量２ </t>
  </si>
  <si>
    <t>1. Hiển thị giá trị trường inspection.chk_energy_usage2_num
1.1. Vẫn hiển thị dòng 前回, data hiển thị trống</t>
  </si>
  <si>
    <r>
      <rPr>
        <sz val="10"/>
        <color rgb="FF000000"/>
        <rFont val="Arial"/>
      </rPr>
      <t xml:space="preserve">đang hiển thị cả dòng 前回
</t>
    </r>
    <r>
      <rPr>
        <sz val="10"/>
        <color rgb="FFFF0000"/>
        <rFont val="Arial"/>
      </rPr>
      <t>SiDD: đang chờ confirm BrSE, tạm thời giữ nguyên</t>
    </r>
  </si>
  <si>
    <t>1. Hiển thị giá trị trường inspection.chk_energy_usage2_num
1.1. Hiển thị thêm giá trị last time: last inspection.chk_energy_usage2_num  trên dòng last_time (前回)
1.2. Khi có sự sai khác với this time, hiện background vàng nhạt</t>
  </si>
  <si>
    <t>1. Hiển thị giá trị trường inspection.chk_energy_usage2_num
1. Hiển thị thêm giá trị last time:   last inspection.chk_energy_usage2_num trên dòng last_time (前回). 
1.1. Background không thay đổi</t>
  </si>
  <si>
    <t>1. Kiểm tra hiển thị khi không có data  last inspection.chk_energy_usage2_num</t>
  </si>
  <si>
    <t xml:space="preserve">1. Hiển thị label 使用電力量３ </t>
  </si>
  <si>
    <t>1. Hiển thị giá trị trường inspection.chk_energy_usage3_num
1.1. Vẫn hiển thị dòng 前回, data hiển thị trống</t>
  </si>
  <si>
    <r>
      <rPr>
        <sz val="10"/>
        <color rgb="FF000000"/>
        <rFont val="Arial"/>
      </rPr>
      <t xml:space="preserve">đang hiển thị cả dòng 前回
</t>
    </r>
    <r>
      <rPr>
        <sz val="10"/>
        <color rgb="FFFF0000"/>
        <rFont val="Arial"/>
      </rPr>
      <t>SiDD: đang chờ confirm BrSE, tạm thời giữ nguyên</t>
    </r>
  </si>
  <si>
    <t>1. Hiển thị giá trị trường inspection.chk_energy_usage3_num
1.1. Hiển thị thêm giá trị last time: last inspection.chk_energy_usage3_num  trên dòng last_time (前回)
1.2. Khi có sự sai khác với this time, hiện background vàng nhạt</t>
  </si>
  <si>
    <t>1. Hiển thị giá trị trường inspection.chk_energy_usage3_num
1. Hiển thị thêm giá trị last time:  last inspection.chk_energy_usage3_num trên dòng last_time (前回). 
1.1. Background không thay đổi</t>
  </si>
  <si>
    <t>1. Kiểm tra hiển thị khi không có data  last inspection.chk_energy_usage3_num</t>
  </si>
  <si>
    <t>1. Hiển thị label 総使用量</t>
  </si>
  <si>
    <t>1. Hiển thị giá trị trường inspection.chk_energy_usage1_num
1.1. Vẫn hiển thị dòng 前回, data hiển thị trống</t>
  </si>
  <si>
    <r>
      <rPr>
        <sz val="10"/>
        <color rgb="FF000000"/>
        <rFont val="Arial"/>
      </rPr>
      <t xml:space="preserve">đang hiển thị cả dòng 前回
</t>
    </r>
    <r>
      <rPr>
        <sz val="10"/>
        <color rgb="FFFF0000"/>
        <rFont val="Arial"/>
      </rPr>
      <t>SiDD: đang chờ confirm BrSE, tạm thời giữ nguyên</t>
    </r>
  </si>
  <si>
    <t>1. Hiển thị giá trị trường inspection.chk_energy_usage1_num
1.1. Hiển thị thêm giá trị last time: last inspection.chk_energy_usage1_num  trên dòng last_time (前回)
1.2. Background không thay đổi</t>
  </si>
  <si>
    <t>1. Hiển thị giá trị trường inspection.chk_energy_usage1_num
1. Hiển thị thêm giá trị last time:  last inspection.chk_energy_usage1_num trên dòng last_time (前回). 
1.1. Background không thay đổi</t>
  </si>
  <si>
    <t>1. Kiểm tra hiển thị khi không có data  last inspection.chk_energy_usage1_num</t>
  </si>
  <si>
    <t>1. Hiển thị label デマンド指示値</t>
  </si>
  <si>
    <t>Figma ko hiển thị xuống dòng, hiện tại đang bị xuống dòng chữ 値</t>
  </si>
  <si>
    <t>1. Kiểm tra value hiển thị
2. Check khi data có số thập phân</t>
  </si>
  <si>
    <t>1. Hiển thị giá trị trường inspection.chk_hv_panel_demand_setpoint_num 
2. Làm tròn đến hàng đơn vị với format
&lt;inspection.chk_hv_panel_demand_setpoint_num&gt; kW</t>
  </si>
  <si>
    <r>
      <rPr>
        <sz val="10"/>
        <color rgb="FF000000"/>
        <rFont val="Arial"/>
      </rPr>
      <t xml:space="preserve">K có data đang hiển thị -
</t>
    </r>
    <r>
      <rPr>
        <sz val="10"/>
        <color rgb="FFFF0000"/>
        <rFont val="Arial"/>
      </rPr>
      <t>SiDD: fixed</t>
    </r>
  </si>
  <si>
    <t>1. Hiển thị giá trị trường inspection.chk_hv_panel_demand_setpoint_num 
1.1. Hiển thị thêm giá trị last time: last inspection.chk_hv_panel_demand_setpoint_num (font nhỏ, chữ nhạt)
1.2. Khi có sự sai khác với this time, hiện background vàng nhạt</t>
  </si>
  <si>
    <t>1. Hiển thị giá trị trường inspection.chk_hv_panel_demand_setpoint_num 
1. Hiển thị thêm giá trị last time:  last inspection.chk_hv_panel_demand_setpoint_num (font nhỏ, chữ nhạt)
1.1. Background không thay đổi</t>
  </si>
  <si>
    <t>1. Kiểm tra hiển thị khi không có data  last inspection.chk_hv_panel_demand_setpoint_num</t>
  </si>
  <si>
    <r>
      <rPr>
        <sz val="10"/>
        <color rgb="FF000000"/>
        <rFont val="Arial"/>
      </rPr>
      <t xml:space="preserve">K có data đang hiển thị -
</t>
    </r>
    <r>
      <rPr>
        <sz val="10"/>
        <color rgb="FFFF0000"/>
        <rFont val="Arial"/>
      </rPr>
      <t>SiDD: fixed</t>
    </r>
  </si>
  <si>
    <t>1. Hiển thị label 力率</t>
  </si>
  <si>
    <t>1.Tự động tính dựa trên công thức = P1 / Căn bậc 2 (P1^2 + P2^2)
trong đó P1 = inspection.chk_active_energy_p1_num
P2 = inspection.chk_reactive_energy_p2_num
2. Khi hiển thị làm tròn đến hàng đơn vị (không có thập phân)</t>
  </si>
  <si>
    <r>
      <rPr>
        <sz val="10"/>
        <color rgb="FF000000"/>
        <rFont val="Arial"/>
      </rPr>
      <t xml:space="preserve">tính sai
</t>
    </r>
    <r>
      <rPr>
        <sz val="10"/>
        <color rgb="FFFF0000"/>
        <rFont val="Arial"/>
      </rPr>
      <t>SiDD: Fixed</t>
    </r>
  </si>
  <si>
    <t>1. Hiển thị giá trị trường inspection.chk_hv_panel_demand_setpoint_num 
1.1. Hiển  thị thêm last time: last inspection.chk_hv_panel_power_factor_rate (font nhỏ, chữ nhạt)
1.2. Khi có sự sai khác với this time, hiện background vàng nhạt</t>
  </si>
  <si>
    <t>1. Hiển thị giá trị trường inspection.chk_hv_panel_demand_setpoint_num 
1. Hiển thị thêm last time: last inspection.chk_hv_panel_power_factor_rate (font nhỏ, chữ nhạt)
1.1. Background không thay đổi</t>
  </si>
  <si>
    <t>1. Kiểm tra hiển thị khi không có data : last inspection.chk_hv_panel_power_factor_rate</t>
  </si>
  <si>
    <r>
      <rPr>
        <sz val="10"/>
        <color rgb="FF000000"/>
        <rFont val="Arial"/>
      </rPr>
      <t xml:space="preserve">K có data đang hiển thị -
</t>
    </r>
    <r>
      <rPr>
        <sz val="10"/>
        <color rgb="FFFF0000"/>
        <rFont val="Arial"/>
      </rPr>
      <t>SiDD: fixed</t>
    </r>
  </si>
  <si>
    <t>1. Hiển thị label 電圧 R-S</t>
  </si>
  <si>
    <t xml:space="preserve">1. Hiển thị data trường inspection.chk_voltage_rs_num </t>
  </si>
  <si>
    <r>
      <rPr>
        <sz val="10"/>
        <color rgb="FF000000"/>
        <rFont val="Arial"/>
      </rPr>
      <t xml:space="preserve">K có data đang hiển thị -
</t>
    </r>
    <r>
      <rPr>
        <sz val="10"/>
        <color rgb="FFFF0000"/>
        <rFont val="Arial"/>
      </rPr>
      <t>SiDD: fixed</t>
    </r>
  </si>
  <si>
    <t>1. Hiển thị giá trị trường inspection.chk_voltage_rs_num 
1.1. Hiển  thị thêm last time:  last inspection.chk_voltage_rs_num (font nhỏ, chữ nhạt)
1.2. Khi có sự sai khác với this time, hiện background vàng nhạt</t>
  </si>
  <si>
    <t>1. Hiển thị giá trị trường inspection.chk_voltage_rs_num 
1. Hiển thị thêm last time: last inspection.chk_voltage_rs_num (font nhỏ, chữ nhạt)
1.1. Background không thay đổi</t>
  </si>
  <si>
    <t>1. Kiểm tra hiển thị khi không có data  last inspection.chk_voltage_rs_num</t>
  </si>
  <si>
    <r>
      <rPr>
        <sz val="10"/>
        <color rgb="FF000000"/>
        <rFont val="Arial"/>
      </rPr>
      <t xml:space="preserve">K có data đang hiển thị -
</t>
    </r>
    <r>
      <rPr>
        <sz val="10"/>
        <color rgb="FFFF0000"/>
        <rFont val="Arial"/>
      </rPr>
      <t>SiDD: fixed</t>
    </r>
  </si>
  <si>
    <t>1. Hiển thị label 電圧 S-T</t>
  </si>
  <si>
    <t xml:space="preserve">1. Hiển thị data trường inspection.chk_voltage_st_num </t>
  </si>
  <si>
    <r>
      <rPr>
        <sz val="10"/>
        <color rgb="FF000000"/>
        <rFont val="Arial"/>
      </rPr>
      <t xml:space="preserve">K có data đang hiển thị -
</t>
    </r>
    <r>
      <rPr>
        <sz val="10"/>
        <color rgb="FFFF0000"/>
        <rFont val="Arial"/>
      </rPr>
      <t>SiDD: fixed</t>
    </r>
  </si>
  <si>
    <t>1. Hiển thị giá trị trường inspection.chk_voltage_rs_num 
1.1. Hiển  thị thêm last time: last inspection.chk_voltage_st_num (font nhỏ, chữ nhạt)
1.2. Khi có sự sai khác với this time, hiện background vàng nhạt</t>
  </si>
  <si>
    <t>1. Hiển thị giá trị trường inspection.chk_voltage_rs_num 
1. Hiển thị thêm last time: last inspection.chk_voltage_st_num (font nhỏ, chữ nhạt)
1.1. Background không thay đổi</t>
  </si>
  <si>
    <t>1. Kiểm tra hiển thị khi không có data last inspection.chk_voltage_st_num</t>
  </si>
  <si>
    <r>
      <rPr>
        <sz val="10"/>
        <color rgb="FF000000"/>
        <rFont val="Arial"/>
      </rPr>
      <t xml:space="preserve">K có data đang hiển thị -
</t>
    </r>
    <r>
      <rPr>
        <sz val="10"/>
        <color rgb="FFFF0000"/>
        <rFont val="Arial"/>
      </rPr>
      <t>SiDD: fixed</t>
    </r>
  </si>
  <si>
    <t>1. Hiển thị label 電圧 T-R</t>
  </si>
  <si>
    <t xml:space="preserve">1. Hiển thị data trường inspection.chk_voltage_tr_num </t>
  </si>
  <si>
    <r>
      <rPr>
        <sz val="10"/>
        <color rgb="FF000000"/>
        <rFont val="Arial"/>
      </rPr>
      <t xml:space="preserve">K có data đang hiển thị -
</t>
    </r>
    <r>
      <rPr>
        <sz val="10"/>
        <color rgb="FFFF0000"/>
        <rFont val="Arial"/>
      </rPr>
      <t>SiDD: fixed</t>
    </r>
  </si>
  <si>
    <t>1. Hiển thị giá trị trường  inspection.chk_voltage_tr_num 
1.1. Hiển  thị thêm last time: last inspection.chk_voltage_tr_num  (font nhỏ, chữ nhạt)
1.2. Khi có sự sai khác với this time, hiện background vàng nhạt</t>
  </si>
  <si>
    <t>1. Hiển thị giá trị trường  inspection.chk_voltage_tr_num 
1. Hiển thị thêm last time: last inspection.chk_voltage_tr_num  (font nhỏ, chữ nhạt)
1.1. Background không thay đổi</t>
  </si>
  <si>
    <t xml:space="preserve">1. Kiểm tra hiển thị khi không có data  last inspection.chk_voltage_tr_num </t>
  </si>
  <si>
    <r>
      <rPr>
        <sz val="10"/>
        <color rgb="FF000000"/>
        <rFont val="Arial"/>
      </rPr>
      <t xml:space="preserve">K có data đang hiển thị -
</t>
    </r>
    <r>
      <rPr>
        <sz val="10"/>
        <color rgb="FFFF0000"/>
        <rFont val="Arial"/>
      </rPr>
      <t>SiDD: fixed</t>
    </r>
  </si>
  <si>
    <t>1. Hiển thị label 電流R</t>
  </si>
  <si>
    <t xml:space="preserve">1. Hiển thị data trường inspection.chk_amp_r_num </t>
  </si>
  <si>
    <t xml:space="preserve">1.Kiểm tra hiển thị khi không có data </t>
  </si>
  <si>
    <r>
      <rPr>
        <sz val="10"/>
        <color rgb="FF000000"/>
        <rFont val="Arial"/>
      </rPr>
      <t xml:space="preserve">K có data đang hiển thị -
</t>
    </r>
    <r>
      <rPr>
        <sz val="10"/>
        <color rgb="FFFF0000"/>
        <rFont val="Arial"/>
      </rPr>
      <t>SiDD: fixed</t>
    </r>
  </si>
  <si>
    <t>1. Hiển thị giá trị trường inspection.chk_amp_r_num  
1.1. Hiển  thị thêm last time:  last inspection.chk_amp_r_num (font nhỏ, chữ nhạt)
1.2. Khi có sự sai khác với this time, hiện background vàng nhạt</t>
  </si>
  <si>
    <t>1. Hiển thị giá trị trường inspection.chk_amp_r_num 
1. Hiển thị thêm last time: last inspection.chk_amp_r_num  (font nhỏ, chữ nhạt)
1.1. Background không thay đổi</t>
  </si>
  <si>
    <t>1. Kiểm tra hiển thị khi không có data last inspection.chk_amp_r_num</t>
  </si>
  <si>
    <r>
      <rPr>
        <sz val="10"/>
        <color rgb="FF000000"/>
        <rFont val="Arial"/>
      </rPr>
      <t xml:space="preserve">K có data đang hiển thị -
</t>
    </r>
    <r>
      <rPr>
        <sz val="10"/>
        <color rgb="FFFF0000"/>
        <rFont val="Arial"/>
      </rPr>
      <t>SiDD: fixed</t>
    </r>
  </si>
  <si>
    <t>1. Hiển thị label 電流S</t>
  </si>
  <si>
    <t xml:space="preserve">1. Hiển thị data trường inspection.chk_amp_s_num </t>
  </si>
  <si>
    <r>
      <rPr>
        <sz val="10"/>
        <color rgb="FF000000"/>
        <rFont val="Arial"/>
      </rPr>
      <t xml:space="preserve">K có data đang hiển thị -
</t>
    </r>
    <r>
      <rPr>
        <sz val="10"/>
        <color rgb="FFFF0000"/>
        <rFont val="Arial"/>
      </rPr>
      <t>SiDD: fixed</t>
    </r>
  </si>
  <si>
    <t>1. Hiển thị giá trị trườnginspection.chk_amp_s_num 
1.1. Hiển  thị thêm last time: last inspection.chk_amp_s_num  (font nhỏ, chữ nhạt)
1.2. Khi có sự sai khác với this time, hiện background vàng nhạt</t>
  </si>
  <si>
    <t>1. Hiển thị giá trị trường inspection.chk_amp_s_num 
1. Hiển thị thêm last time: last inspection.chk_amp_s_num   (font nhỏ, chữ nhạt)
1.1. Background không thay đổi</t>
  </si>
  <si>
    <t xml:space="preserve">1. Kiểm tra hiển thị khi không có data  last inspection.chk_amp_s_num </t>
  </si>
  <si>
    <r>
      <rPr>
        <sz val="10"/>
        <color rgb="FF000000"/>
        <rFont val="Arial"/>
      </rPr>
      <t xml:space="preserve">K có data đang hiển thị -
</t>
    </r>
    <r>
      <rPr>
        <sz val="10"/>
        <color rgb="FFFF0000"/>
        <rFont val="Arial"/>
      </rPr>
      <t>SiDD: fixed</t>
    </r>
  </si>
  <si>
    <t>1. Hiển thị label 電流T</t>
  </si>
  <si>
    <t xml:space="preserve">1. Hiển thị data trường inspection.chk_amp_t_num </t>
  </si>
  <si>
    <r>
      <rPr>
        <sz val="10"/>
        <color rgb="FF000000"/>
        <rFont val="Arial"/>
      </rPr>
      <t xml:space="preserve">K có data đang hiển thị -
</t>
    </r>
    <r>
      <rPr>
        <sz val="10"/>
        <color rgb="FFFF0000"/>
        <rFont val="Arial"/>
      </rPr>
      <t>SiDD: fixed</t>
    </r>
  </si>
  <si>
    <t>1. Hiển thị giá trị trường inspection.chk_amp_t_num 
1.1. Hiển  thị thêm last time:last inspection.chk_amp_t_num  (font nhỏ, chữ nhạt)
1.2. Khi có sự sai khác với this time, hiện background vàng nhạt</t>
  </si>
  <si>
    <t>1. Hiển thị giá trị trường inspection.chk_amp_t_num 
1. Hiển thị thêm last time: last inspection.chk_amp_t_num (font nhỏ, chữ nhạt)
1.1. Background không thay đổi</t>
  </si>
  <si>
    <t>1. Kiểm tra hiển thị khi không có data last inspection.chk_amp_t_num</t>
  </si>
  <si>
    <r>
      <rPr>
        <sz val="10"/>
        <color rgb="FF000000"/>
        <rFont val="Arial"/>
      </rPr>
      <t xml:space="preserve">K có data đang hiển thị -
</t>
    </r>
    <r>
      <rPr>
        <sz val="10"/>
        <color rgb="FFFF0000"/>
        <rFont val="Arial"/>
      </rPr>
      <t>SiDD: fixed</t>
    </r>
  </si>
  <si>
    <r>
      <rPr>
        <sz val="11"/>
        <color rgb="FF000000"/>
        <rFont val="Arial"/>
      </rPr>
      <t xml:space="preserve">1. Hiển thị thông tin ở vùng ◆変圧器負荷状況, chỉ hiển thị thông tin this time
Mỗi dòng tương ứng với 1 record trong bảng inspection_equipment_receiving, có design css background so le cho từng dòng (background trắng, background xám nhạt)
Data được get từ SQL sau:
SELECT e.usage_purpose,
e.id,
sl.id,
sl.name,
ier.chk_voltage_rs_num,                                                                        
ier.chk_voltage_st_num,                                                                
ier.chk_voltage_tr_num,                                                                        
ier.chk_amp_r_num,                                                                        
ier.chk_amp_s_num,                                                                        
ier.chk_amp_t_num,                                                                        
ier.chk_temperature_num,                                                                        
ier.chk_load_factor_rate,                                                                        
ier.chk_leakage_current_num                                                                                                                                                                                                            
FROM inspection_equipment_receiving ier                                                     
        INNER JOIN site_location sl ON ier.site_location_id = sl.id                                                
        INNER JOIN equipment e ON ier.equipment_id = e.id
        INNER JOIN equipment_master em ON e.equipment_master_id = em.id
        INNER JOIN safety_equipment se ON em.safety_equipment_id = </t>
    </r>
    <r>
      <rPr>
        <u/>
        <sz val="11"/>
        <color rgb="FF1155CC"/>
        <rFont val="Arial"/>
      </rPr>
      <t>es.id</t>
    </r>
    <r>
      <rPr>
        <sz val="11"/>
        <color rgb="FF000000"/>
        <rFont val="Arial"/>
      </rPr>
      <t xml:space="preserve">
WHERE 
         ier.inspection_id = :current_inspection.id
         AND se.related_inspection_result_id IN (9) --   変圧器 
         ORDER BY ier.site_location_id ASC, ier.id ASC; 
</t>
    </r>
  </si>
  <si>
    <t>1. Hiển thị thông tin ở vùng ◆変圧器負荷状況, chỉ hiển thị cả thông tin this time và last time
Mỗi dòng tương ứng với 1 record trong bảng inspection_equipment_receiving, có design css background so le cho từng dòng (background trắng, background xám nhạt)
Data được get từ SQL sau:
this_time:
Như trên
last_time: (cho từng record)
WHERE 
         ier.inspection_id = :last_inspection.id
         AND ier.site_location_id = &lt;this_time sl.id&gt;
         AND ier.equipment_id = &lt;this_time e.id&gt;
         AND se.related_inspection_result_id IN (9) --   変圧器
         ORDER BY ier.id DESC LIMIT 1;   
Trường hợp không có data, vẫn hiện thị title và table bình thường và có 1 dòng. Tại item đầu tiên hiển thị "該当なし", các tem còn lại để trống.
Khi đó dù có bật mode 2 hay không thì cũng k thay đổi.</t>
  </si>
  <si>
    <t xml:space="preserve">1. Hiển thị label name là 内量(kVA)
2. Hiển thị data trường eav.value 
SQL:
SELECT eav.value 
FROM equipment e 
LEFT JOIN equipment_attribute_value eav ON e.id = eav.equipment_id 
WHERE e.id = &lt;equipment_id&gt; AND eav.type_attribute_id = 8;
</t>
  </si>
  <si>
    <t>1. Hiển thị label R-S</t>
  </si>
  <si>
    <t xml:space="preserve">1. Hiển thị data trường inspection_equipment_receiving.chk_voltage_rs_num </t>
  </si>
  <si>
    <r>
      <rPr>
        <sz val="10"/>
        <color rgb="FF000000"/>
        <rFont val="Arial"/>
      </rPr>
      <t xml:space="preserve">K có data đang hiển thị -
</t>
    </r>
    <r>
      <rPr>
        <sz val="10"/>
        <color rgb="FFFF0000"/>
        <rFont val="Arial"/>
      </rPr>
      <t>SiDD: fixed</t>
    </r>
  </si>
  <si>
    <t>1. Hiển thị giá trị trường inspection_equipment_receiving.chk_voltage_rs_num 
1.1. Hiển  thị thêm  last time: last inspection_equipment_receiving.chk_voltage_rs_num (font nhỏ, chữ nhạt)
1.2. Khi có sự sai khác với this time, hiện background vàng nhạt</t>
  </si>
  <si>
    <t>1. Hiển thị giá trị trường  inspection_equipment_receiving.chk_voltage_rs_num 
1. Hiển thị thêm  last time: last inspection_equipment_receiving.chk_voltage_rs_num (font nhỏ, chữ nhạt)
1.1. Background không thay đổi</t>
  </si>
  <si>
    <t>1. Kiểm tra hiển thị khi không có data  last inspection_equipment_receiving.chk_voltage_rs_num</t>
  </si>
  <si>
    <r>
      <rPr>
        <sz val="10"/>
        <color rgb="FF000000"/>
        <rFont val="Arial"/>
      </rPr>
      <t xml:space="preserve">K có data đang hiển thị -
</t>
    </r>
    <r>
      <rPr>
        <sz val="10"/>
        <color rgb="FFFF0000"/>
        <rFont val="Arial"/>
      </rPr>
      <t>SiDD: fixed</t>
    </r>
  </si>
  <si>
    <t>1. Hiển thị label S-T</t>
  </si>
  <si>
    <t xml:space="preserve">1. Hiển thị data trường inspection_equipment_receiving.chk_voltage_st_num </t>
  </si>
  <si>
    <r>
      <rPr>
        <sz val="10"/>
        <color rgb="FF000000"/>
        <rFont val="Arial"/>
      </rPr>
      <t xml:space="preserve">K có data đang hiển thị -
</t>
    </r>
    <r>
      <rPr>
        <sz val="10"/>
        <color rgb="FFFF0000"/>
        <rFont val="Arial"/>
      </rPr>
      <t>SiDD: fixed</t>
    </r>
  </si>
  <si>
    <t>1. Hiển thị giá trị trường inspection_equipment_receiving.chk_voltage_st_num 
1.1. Hiển  thị thêm  last time: last inspection_equipment_receiving.chk_voltage_st_num (font nhỏ, chữ nhạt)
1.2. Khi có sự sai khác với this time, hiện background vàng nhạt</t>
  </si>
  <si>
    <t>1. Hiển thị giá trị trường inspection_equipment_receiving.chk_voltage_st_num 
1. Hiển thị thêm  last time: last inspection_equipment_receiving.chk_voltage_st_num (font nhỏ, chữ nhạt)
1.1. Background không thay đổi</t>
  </si>
  <si>
    <t>1. Kiểm tra hiển thị khi không có data last inspection_equipment_receiving.chk_voltage_st_num</t>
  </si>
  <si>
    <r>
      <rPr>
        <sz val="10"/>
        <color rgb="FF000000"/>
        <rFont val="Arial"/>
      </rPr>
      <t xml:space="preserve">K có data đang hiển thị -
</t>
    </r>
    <r>
      <rPr>
        <sz val="10"/>
        <color rgb="FFFF0000"/>
        <rFont val="Arial"/>
      </rPr>
      <t>SiDD: fixed</t>
    </r>
  </si>
  <si>
    <t>1. Hiển thị label T-R</t>
  </si>
  <si>
    <t xml:space="preserve">1. Hiển thị data trường inspection_equipment_receiving.chk_voltage_tr_num </t>
  </si>
  <si>
    <r>
      <rPr>
        <sz val="10"/>
        <color rgb="FF000000"/>
        <rFont val="Arial"/>
      </rPr>
      <t xml:space="preserve">K có data đang hiển thị -
</t>
    </r>
    <r>
      <rPr>
        <sz val="10"/>
        <color rgb="FFFF0000"/>
        <rFont val="Arial"/>
      </rPr>
      <t>SiDD: fixed</t>
    </r>
  </si>
  <si>
    <t>1. Hiển thị giá trị trường inspection_equipment_receiving.chk_voltage_tr_num 
1.1. Hiển  thị thêm  last time: last inspection_equipment_receiving.chk_voltage_tr_num (font nhỏ, chữ nhạt)
1.2. Khi có sự sai khác với this time, hiện background vàng nhạt</t>
  </si>
  <si>
    <t>1. Hiển thị giá trị trường inspection_equipment_receiving.chk_voltage_tr_num  
1. Hiển thị thêm  last time: last inspection_equipment_receiving.chk_voltage_tr_num (font nhỏ, chữ nhạt)
1.1. Background không thay đổi</t>
  </si>
  <si>
    <t>1. Kiểm tra hiển thị khi không có data  last inspection_equipment_receiving.chk_voltage_tr_num</t>
  </si>
  <si>
    <r>
      <rPr>
        <sz val="10"/>
        <color rgb="FF000000"/>
        <rFont val="Arial"/>
      </rPr>
      <t xml:space="preserve">K có data đang hiển thị -
</t>
    </r>
    <r>
      <rPr>
        <sz val="10"/>
        <color rgb="FFFF0000"/>
        <rFont val="Arial"/>
      </rPr>
      <t>SiDD: fixed</t>
    </r>
  </si>
  <si>
    <r>
      <rPr>
        <sz val="10"/>
        <color rgb="FF000000"/>
        <rFont val="Arial"/>
      </rPr>
      <t xml:space="preserve">K có data đang hiển thị -
</t>
    </r>
    <r>
      <rPr>
        <sz val="10"/>
        <color rgb="FFFF0000"/>
        <rFont val="Arial"/>
      </rPr>
      <t>SiDD: fixed</t>
    </r>
  </si>
  <si>
    <r>
      <rPr>
        <sz val="10"/>
        <color rgb="FF000000"/>
        <rFont val="Arial"/>
      </rPr>
      <t xml:space="preserve">K có data đang hiển thị -
</t>
    </r>
    <r>
      <rPr>
        <sz val="10"/>
        <color rgb="FFFF0000"/>
        <rFont val="Arial"/>
      </rPr>
      <t>SiDD: fixed</t>
    </r>
  </si>
  <si>
    <t>1. Hiển thị label R</t>
  </si>
  <si>
    <t xml:space="preserve">1. Hiển thị data trường inspection_equipment_receiving.chk_amp_r_num </t>
  </si>
  <si>
    <r>
      <rPr>
        <sz val="10"/>
        <color rgb="FF000000"/>
        <rFont val="Arial"/>
      </rPr>
      <t xml:space="preserve">K có data đang hiển thị -
</t>
    </r>
    <r>
      <rPr>
        <sz val="10"/>
        <color rgb="FFFF0000"/>
        <rFont val="Arial"/>
      </rPr>
      <t>SiDD: fixed</t>
    </r>
  </si>
  <si>
    <t>1. Hiển thị giá trị trường inspection_equipment_receiving.chk_amp_r_num 
1.1. Hiển  thị thêm  last time: last inspection_equipment_receiving.chk_amp_r_num (font nhỏ, chữ nhạt)
1.2. Khi có sự sai khác với this time, hiện background vàng nhạt</t>
  </si>
  <si>
    <t>1. Hiển thị giá trị trường inspection_equipment_receiving.chk_amp_r_num 
1. Hiển thị thêm  last time: last inspection_equipment_receiving.chk_amp_r_num (font nhỏ, chữ nhạt)
1.1. Background không thay đổi</t>
  </si>
  <si>
    <t>1. Kiểm tra hiển thị khi không có data last inspection_equipment_receiving.chk_amp_r_num</t>
  </si>
  <si>
    <r>
      <rPr>
        <sz val="10"/>
        <color rgb="FF000000"/>
        <rFont val="Arial"/>
      </rPr>
      <t xml:space="preserve">K có data đang hiển thị -
</t>
    </r>
    <r>
      <rPr>
        <sz val="10"/>
        <color rgb="FFFF0000"/>
        <rFont val="Arial"/>
      </rPr>
      <t>SiDD: fixed</t>
    </r>
  </si>
  <si>
    <t>1. Hiển thị label S(N)</t>
  </si>
  <si>
    <t xml:space="preserve">1. Hiển thị data trường inspection_equipment_receiving.chk_amp_s_num </t>
  </si>
  <si>
    <r>
      <rPr>
        <sz val="10"/>
        <color rgb="FF000000"/>
        <rFont val="Arial"/>
      </rPr>
      <t xml:space="preserve">K có data đang hiển thị -
</t>
    </r>
    <r>
      <rPr>
        <sz val="10"/>
        <color rgb="FFFF0000"/>
        <rFont val="Arial"/>
      </rPr>
      <t>SiDD: fixed</t>
    </r>
  </si>
  <si>
    <t>1. Hiển thị giá trị trường inspection_equipment_receiving.chk_amp_s_num 
1.1. Hiển  thị thêm  last time: last inspection_equipment_receiving.chk_amp_s_num (font nhỏ, chữ nhạt)
1.2. Khi có sự sai khác với this time, hiện background vàng nhạt</t>
  </si>
  <si>
    <t>1. Hiển thị giá trị trường inspection_equipment_receiving.chk_amp_s_num 
1. Hiển thị thêm  last time: last inspection_equipment_receiving.chk_amp_s_num (font nhỏ, chữ nhạt)
1.1. Background không thay đổi</t>
  </si>
  <si>
    <t>1. Kiểm tra hiển thị khi không có data  last inspection_equipment_receiving.chk_amp_s_num</t>
  </si>
  <si>
    <r>
      <rPr>
        <sz val="10"/>
        <color rgb="FF000000"/>
        <rFont val="Arial"/>
      </rPr>
      <t xml:space="preserve">K có data đang hiển thị -
</t>
    </r>
    <r>
      <rPr>
        <sz val="10"/>
        <color rgb="FFFF0000"/>
        <rFont val="Arial"/>
      </rPr>
      <t>SiDD: fixed</t>
    </r>
  </si>
  <si>
    <t>1. Hiển thị label T</t>
  </si>
  <si>
    <t xml:space="preserve">1. Hiển thị data trường inspection_equipment_receiving.chk_amp_t_num </t>
  </si>
  <si>
    <r>
      <rPr>
        <sz val="10"/>
        <color rgb="FF000000"/>
        <rFont val="Arial"/>
      </rPr>
      <t xml:space="preserve">K có data đang hiển thị -
</t>
    </r>
    <r>
      <rPr>
        <sz val="10"/>
        <color rgb="FFFF0000"/>
        <rFont val="Arial"/>
      </rPr>
      <t>SiDD: fixed</t>
    </r>
  </si>
  <si>
    <t>1. Hiển thị giá trị trường inspection_equipment_receiving.chk_amp_t_num 
1.1. Hiển  thị thêm  last time: last inspection_equipment_receiving.chk_amp_t_num (font nhỏ, chữ nhạt)
1.2. Khi có sự sai khác với this time, hiện background vàng nhạt</t>
  </si>
  <si>
    <t>1. Hiển thị giá trị trường inspection_equipment_receiving.chk_amp_t_num 
1. Hiển thị thêm  last time: last inspection_equipment_receiving.chk_amp_t_num (font nhỏ, chữ nhạt)
1.1. Background không thay đổi</t>
  </si>
  <si>
    <t>1. Kiểm tra hiển thị khi không có data  last inspection_equipment_receiving.chk_amp_t_num</t>
  </si>
  <si>
    <r>
      <rPr>
        <sz val="10"/>
        <color rgb="FF000000"/>
        <rFont val="Arial"/>
      </rPr>
      <t xml:space="preserve">K có data đang hiển thị -
</t>
    </r>
    <r>
      <rPr>
        <sz val="10"/>
        <color rgb="FFFF0000"/>
        <rFont val="Arial"/>
      </rPr>
      <t>SiDD: fixed</t>
    </r>
  </si>
  <si>
    <t>1. Hiển thị label 温度</t>
  </si>
  <si>
    <t xml:space="preserve">1. Hiển thị data trường inspection_equipment_receiving.chk_temperature_num 
</t>
  </si>
  <si>
    <r>
      <rPr>
        <sz val="10"/>
        <color rgb="FF000000"/>
        <rFont val="Arial"/>
      </rPr>
      <t xml:space="preserve">K có data đang hiển thị -
</t>
    </r>
    <r>
      <rPr>
        <sz val="10"/>
        <color rgb="FFFF0000"/>
        <rFont val="Arial"/>
      </rPr>
      <t>SiDD: fixed</t>
    </r>
  </si>
  <si>
    <t>1. Hiển thị giá trị trường inspection_equipment_receiving.chk_temperature_num 
1.1. Hiển thị thêm  last time:last inspection_equipment_receiving.chk_temperature_num (font nhỏ, chữ nhạt)
1.2. Khi có sự sai khác với this time, hiện background vàng nhạt</t>
  </si>
  <si>
    <t>1. Hiển thị giá trị trường inspection_equipment_receiving.chk_temperature_num 
1. Hiển thị thêm  last time:last inspection_equipment_receiving.chk_temperature_num (font nhỏ, chữ nhạt)
1.1. Background không thay đổi</t>
  </si>
  <si>
    <r>
      <rPr>
        <sz val="10"/>
        <color rgb="FF000000"/>
        <rFont val="Arial"/>
      </rPr>
      <t xml:space="preserve">K có data đang hiển thị -
</t>
    </r>
    <r>
      <rPr>
        <sz val="10"/>
        <color rgb="FFFF0000"/>
        <rFont val="Arial"/>
      </rPr>
      <t>SiDD: fixed</t>
    </r>
  </si>
  <si>
    <t>1. Hiển thị label 負荷率</t>
  </si>
  <si>
    <t>Figma đang k bị xuống dofngc hữ nào, hiện tại đang bị xuống dòng chữ 率</t>
  </si>
  <si>
    <t xml:space="preserve">1. Hiển thị data trường inspection_equipment_receiving.chk_load_factor_rate </t>
  </si>
  <si>
    <r>
      <rPr>
        <sz val="10"/>
        <color rgb="FF000000"/>
        <rFont val="Arial"/>
      </rPr>
      <t xml:space="preserve">K có data đang hiển thị -
</t>
    </r>
    <r>
      <rPr>
        <sz val="10"/>
        <color rgb="FFFF0000"/>
        <rFont val="Arial"/>
      </rPr>
      <t>SiDD: fixed</t>
    </r>
  </si>
  <si>
    <t>1. Hiển thị giá trị trường inspection_equipment_receiving.chk_load_factor_rate 
1.1. Hiển thị thêm  last time: last inspection_equipment_receiving.chk_load_factor_rate (font nhỏ, chữ nhạt)
1.2. Khi có sự sai khác với this time, hiện background vàng nhạt</t>
  </si>
  <si>
    <t>1. Hiển thị giá trị trường inspection_equipment_receiving.chk_load_factor_rate 
1. Hiển thị thêm  last time: last inspection_equipment_receiving.chk_load_factor_rate (font nhỏ, chữ nhạt)
1.1. Background không thay đổi</t>
  </si>
  <si>
    <t>1. Kiểm tra hiển thị khi không có data  last inspection_equipment_receiving.chk_load_factor_rate</t>
  </si>
  <si>
    <r>
      <rPr>
        <sz val="10"/>
        <color rgb="FF000000"/>
        <rFont val="Arial"/>
      </rPr>
      <t xml:space="preserve">K có data đang hiển thị -
</t>
    </r>
    <r>
      <rPr>
        <sz val="10"/>
        <color rgb="FFFF0000"/>
        <rFont val="Arial"/>
      </rPr>
      <t>SiDD: fixed</t>
    </r>
  </si>
  <si>
    <t>1. Hiển thị label 漏れ電流</t>
  </si>
  <si>
    <t>Figma chỉ xuống dòng chữ流, hiện tại đang xuống dòng chữ電流</t>
  </si>
  <si>
    <t xml:space="preserve">1. Hiển thị data trường inspection_equipment_receiving.chk_leakage_current_num </t>
  </si>
  <si>
    <r>
      <rPr>
        <sz val="10"/>
        <color rgb="FF000000"/>
        <rFont val="Arial"/>
      </rPr>
      <t xml:space="preserve">K có data đang hiển thị -
</t>
    </r>
    <r>
      <rPr>
        <sz val="10"/>
        <color rgb="FFFF0000"/>
        <rFont val="Arial"/>
      </rPr>
      <t>SiDD: fixed</t>
    </r>
  </si>
  <si>
    <t>1. Hiển thị giá trị trường inspection_equipment_receiving.chk_leakage_current_num 
1.1. Hiển thị thêm  last time: last inspection_equipment_receiving.chk_leakage_current_num (font nhỏ, chữ nhạt)
1.2. Khi có sự sai khác với this time, hiện background vàng nhạt</t>
  </si>
  <si>
    <t>1. Hiển thị giá trị trường inspection_equipment_receiving.chk_leakage_current_num 
1. Hiển thị thêm  last time:  last inspection_equipment_receiving.chk_leakage_current_num (font nhỏ, chữ nhạt)
1.1. Background không thay đổi</t>
  </si>
  <si>
    <t>1. Kiểm tra hiển thị khi không có data  last inspection_equipment_receiving.chk_leakage_current_num</t>
  </si>
  <si>
    <r>
      <rPr>
        <sz val="10"/>
        <color rgb="FF000000"/>
        <rFont val="Arial"/>
      </rPr>
      <t xml:space="preserve">K có data đang hiển thị -
</t>
    </r>
    <r>
      <rPr>
        <sz val="10"/>
        <color rgb="FFFF0000"/>
        <rFont val="Arial"/>
      </rPr>
      <t>SiDD: fixed</t>
    </r>
  </si>
  <si>
    <r>
      <rPr>
        <sz val="11"/>
        <color rgb="FF000000"/>
        <rFont val="Arial"/>
      </rPr>
      <t xml:space="preserve">1. Hiển thị thông tin ở vùng ◆その他高圧機器, chỉ hiển thị  thông tin this time
Mỗi dòng tương ứng với 1 record trong bảng inspection_equipment_receiving, có design css background so le cho từng dòng (background trắng, background xám nhạt)
Data được get từ SQL sau:
SELECT e.usage_purpose,
e.id,
sl.id,
ier.chk_voltage_rs_num,                                                                        
ier.chk_voltage_st_num,                                                                
ier.chk_voltage_tr_num,                                                                        
ier.chk_amp_r_num,                                                                        
ier.chk_amp_s_num,                                                                        
ier.chk_amp_t_num,                                                                        
ier.chk_temperature_num,                                                                        
ier.chk_load_factor_rate,                                                                        
ier.chk_leakage_current_num                                                                                                                                                                                                            
FROM inspection_equipment_receiving ier                        
        INNER JOIN site_location sl ON ier.site_location_id = sl.id                                                                                                                                     
        INNER JOIN equipment e ON ier.equipment_id = e.id
        INNER JOIN equipment_master em ON e.equipment_master_id = em.id
        INNER JOIN safety_equipment se ON em.safety_equipment_id = </t>
    </r>
    <r>
      <rPr>
        <u/>
        <sz val="11"/>
        <color rgb="FF1155CC"/>
        <rFont val="Arial"/>
      </rPr>
      <t>es.id</t>
    </r>
    <r>
      <rPr>
        <sz val="11"/>
        <color rgb="FF000000"/>
        <rFont val="Arial"/>
      </rPr>
      <t xml:space="preserve">
WHERE 
         ier.inspection_id = :current_inspection.id
         AND se.related_inspection_result_id IN (10); --  コンデンサ・リアクトル
</t>
    </r>
  </si>
  <si>
    <r>
      <rPr>
        <sz val="11"/>
        <color rgb="FF000000"/>
        <rFont val="Arial"/>
      </rPr>
      <t xml:space="preserve">1. Hiển thị thông tin ở vùng ◆その他高圧機器, hiển thị cả thông tin this time và last time, last time hiển thị bên dưới this time
Mỗi dòng tương ứng với 1 record trong bảng inspection_equipment_receiving, có design css background so le cho từng dòng (background trắng, background xám nhạt)
Data được get từ SQL sau:
this_time:
như trên
last_time: (cho từng record)
WHERE 
         ier.inspection_id = :last_inspection.id
        </t>
    </r>
    <r>
      <rPr>
        <sz val="11"/>
        <color rgb="FFFF0000"/>
        <rFont val="Arial"/>
      </rPr>
      <t>AND ier.site_location_id = &lt;this_time sl.id&gt;</t>
    </r>
    <r>
      <rPr>
        <sz val="11"/>
        <color rgb="FF000000"/>
        <rFont val="Arial"/>
      </rPr>
      <t xml:space="preserve">
         AND ier.equipment_id = &lt;this_time e.id&gt;
        AND se.related_inspection_result_id IN (10) --  コンデンサ・リアクトル
        ORDER BY ier.id DESC LIMIT 1;
Trường hợp không có data, vẫn hiện thị title và table bình thường và có 1 dòng. Tại item đầu tiên hiển thị "該当なし", các tem còn lại để trống.
Khi đó dù có bật mode 2 hay không thì cũng k thay đổi.</t>
    </r>
  </si>
  <si>
    <r>
      <rPr>
        <sz val="10"/>
        <color rgb="FF000000"/>
        <rFont val="Arial"/>
      </rPr>
      <t xml:space="preserve">sai data
</t>
    </r>
    <r>
      <rPr>
        <sz val="10"/>
        <color rgb="FFFF0000"/>
        <rFont val="Arial"/>
      </rPr>
      <t>SiDD 01/16: fixed</t>
    </r>
  </si>
  <si>
    <r>
      <rPr>
        <sz val="10"/>
        <color rgb="FF000000"/>
        <rFont val="Arial"/>
      </rPr>
      <t xml:space="preserve">sai data
</t>
    </r>
    <r>
      <rPr>
        <sz val="10"/>
        <color rgb="FFFF0000"/>
        <rFont val="Arial"/>
      </rPr>
      <t>SiDD 01/16: fixed</t>
    </r>
  </si>
  <si>
    <r>
      <rPr>
        <sz val="10"/>
        <color rgb="FF000000"/>
        <rFont val="Arial"/>
      </rPr>
      <t xml:space="preserve">sai data
</t>
    </r>
    <r>
      <rPr>
        <sz val="10"/>
        <color rgb="FFFF0000"/>
        <rFont val="Arial"/>
      </rPr>
      <t>SiDD 01/16: fixed</t>
    </r>
  </si>
  <si>
    <r>
      <rPr>
        <sz val="10"/>
        <color rgb="FF000000"/>
        <rFont val="Arial"/>
      </rPr>
      <t xml:space="preserve">K có data đang hiển thị -
</t>
    </r>
    <r>
      <rPr>
        <sz val="10"/>
        <color rgb="FFFF0000"/>
        <rFont val="Arial"/>
      </rPr>
      <t>SiDD: fixed</t>
    </r>
  </si>
  <si>
    <r>
      <rPr>
        <sz val="10"/>
        <color rgb="FF000000"/>
        <rFont val="Arial"/>
      </rPr>
      <t xml:space="preserve">sai data
</t>
    </r>
    <r>
      <rPr>
        <sz val="10"/>
        <color rgb="FFFF0000"/>
        <rFont val="Arial"/>
      </rPr>
      <t>SiDD 01/16: fixed</t>
    </r>
  </si>
  <si>
    <r>
      <rPr>
        <sz val="10"/>
        <color rgb="FF000000"/>
        <rFont val="Arial"/>
      </rPr>
      <t xml:space="preserve">K có data đang hiển thị -
</t>
    </r>
    <r>
      <rPr>
        <sz val="10"/>
        <color rgb="FFFF0000"/>
        <rFont val="Arial"/>
      </rPr>
      <t>SiDD: fixed</t>
    </r>
  </si>
  <si>
    <t xml:space="preserve">1. Hiển thị label 蓄電設備の点検    </t>
  </si>
  <si>
    <r>
      <rPr>
        <sz val="11"/>
        <color rgb="FF000000"/>
        <rFont val="Arial"/>
      </rPr>
      <t xml:space="preserve">1. Hiển thị thông tin ở vùng ◆蓄電設備の点検, chỉ hiển thị thông tin this time 
Mỗi dòng tương ứng với 1 record trong bảng inspection_equipment_storage, có design css background so le cho từng dòng (background trắng, background xám nhạt).
Data được get từ SQL sau:
SELECT e.usage_purpose,
e.id,
ies.chk_float_voltage_num, 
ies.chk_voltage_num,
ies.chk_electrolyte_level,
sl.id,                                                                                                    
sl.name                                                                                                                                                                                                            
FROM inspection_equipment_storage ies                                                                                                                                         
        INNER JOIN equipment e ON ier.equipment_id = e.id
        INNER JOIN site_location sl ON ies.site_location_id = </t>
    </r>
    <r>
      <rPr>
        <u/>
        <sz val="11"/>
        <color rgb="FF1155CC"/>
        <rFont val="Arial"/>
      </rPr>
      <t>sl.id</t>
    </r>
    <r>
      <rPr>
        <sz val="11"/>
        <color rgb="FF000000"/>
        <rFont val="Arial"/>
      </rPr>
      <t xml:space="preserve">
WHERE 
         ies.inspection_id = :current_inspection.id
ORDER BY ies.site_location_id ASC;
</t>
    </r>
  </si>
  <si>
    <t>1.Hiển thị thông tin ở vùng ◆蓄電設備の点検, hiển thị cả thông tin this time và last time, last time hiển thị bên dưới this time
Mỗi dòng tương ứng với 1 record trong bảng inspection_equipment_storage, có design css background so le cho từng dòng (background trắng, background xám nhạt).
Data được get từ SQL sau:
this_time:
như trên
last_time: (cho từng record của this_time)
WHERE 
         ies.inspection_id = :last_inspection.id
         AND ies.equipment_id = &lt;this_time e.id&gt;
         AND ies.site_location_id = &lt;this_time sl.id&gt;
         ORDER BY ies.id DESC LIMIT 1;
Trường hợp không có data, vẫn hiện thị title và table bình thường và có 1 dòng. Tại item đầu tiên hiển thị "該当なし", các tem còn lại để trống.
Khi đó dù có bật mode 2 hay không thì cũng k thay đổi.</t>
  </si>
  <si>
    <t>1. Hiển thị : 該当なし</t>
  </si>
  <si>
    <t>1. Hiển thị label 浮動　(V)</t>
  </si>
  <si>
    <t>1. Hiển thị data trường inspection_equipment_storage.chk_float_voltage_num</t>
  </si>
  <si>
    <r>
      <rPr>
        <sz val="10"/>
        <color rgb="FF000000"/>
        <rFont val="Arial"/>
      </rPr>
      <t xml:space="preserve">K có data đang hiển thị -
</t>
    </r>
    <r>
      <rPr>
        <sz val="10"/>
        <color rgb="FFFF0000"/>
        <rFont val="Arial"/>
      </rPr>
      <t>SiDD: fixed</t>
    </r>
  </si>
  <si>
    <t>1. Hiển thị giá trị trường inspection_equipment_storage.chk_float_voltage_num
1.1. Hiển thị thêm last inspection_equipment_storage.chk_float_voltage_num (font nhỏ, chữ nhạt)
1.2. Khi có sự sai khác với this time, hiện background vàng nhạt</t>
  </si>
  <si>
    <t>1. Hiển thị giá trị trường inspection_equipment_storage.chk_float_voltage_num
1. Hiển thị thêm  last time: last inspection_equipment_storage.chk_float_voltage_num (font nhỏ, chữ nhạt)
1.1. Background không thay đổi</t>
  </si>
  <si>
    <t>1. Kiểm tra hiển thị khi không có data last inspection_equipment_storage.chk_float_voltage_num</t>
  </si>
  <si>
    <r>
      <rPr>
        <sz val="10"/>
        <color rgb="FF000000"/>
        <rFont val="Arial"/>
      </rPr>
      <t xml:space="preserve">K có data đang hiển thị -
</t>
    </r>
    <r>
      <rPr>
        <sz val="10"/>
        <color rgb="FFFF0000"/>
        <rFont val="Arial"/>
      </rPr>
      <t>SiDD: fixed</t>
    </r>
  </si>
  <si>
    <t>1. Hiển thị label 蓄電池　(V)</t>
  </si>
  <si>
    <t>1. Hiển thị data trường inspection_equipment_storage.chk_voltage_num</t>
  </si>
  <si>
    <r>
      <rPr>
        <sz val="10"/>
        <color rgb="FF000000"/>
        <rFont val="Arial"/>
      </rPr>
      <t xml:space="preserve">K có data đang hiển thị -
</t>
    </r>
    <r>
      <rPr>
        <sz val="10"/>
        <color rgb="FFFF0000"/>
        <rFont val="Arial"/>
      </rPr>
      <t>SiDD: fixed</t>
    </r>
  </si>
  <si>
    <t>1. Hiển thị giá trị trường inspection_equipment_storage.chk_voltage_num
1.1. Hiển thị thêm last last inspection_equipment_storage.chk_voltage_num (font nhỏ, chữ nhạt)
1.2. Khi có sự sai khác với this time, hiện background vàng nhạt</t>
  </si>
  <si>
    <t>1. Hiển thị giá trị trường inspection_equipment_storage.chk_voltage_num
1. Hiển thị thêm  last time: last inspection_equipment_storage.chk_voltage_num (font nhỏ, chữ nhạt)
1.1. Background không thay đổi</t>
  </si>
  <si>
    <t>1. Kiểm tra hiển thị khi không có data last inspection_equipment_storage.chk_voltage_num</t>
  </si>
  <si>
    <r>
      <rPr>
        <sz val="10"/>
        <color rgb="FF000000"/>
        <rFont val="Arial"/>
      </rPr>
      <t xml:space="preserve">K có data đang hiển thị -
</t>
    </r>
    <r>
      <rPr>
        <sz val="10"/>
        <color rgb="FFFF0000"/>
        <rFont val="Arial"/>
      </rPr>
      <t>SiDD: fixed</t>
    </r>
  </si>
  <si>
    <t>1. Hiển thị label 液面状態</t>
  </si>
  <si>
    <t>1. Chỉ hiển thị value this time
Data get từ field  inspection_equipment_storage.chk_electrolyte_level</t>
  </si>
  <si>
    <t>this time inspection_equipment_storage.chk_electrolyte_level=null</t>
  </si>
  <si>
    <r>
      <rPr>
        <sz val="10"/>
        <color rgb="FF000000"/>
        <rFont val="Arial"/>
      </rPr>
      <t xml:space="preserve">đang hiển thị số
</t>
    </r>
    <r>
      <rPr>
        <sz val="10"/>
        <color rgb="FFFF0000"/>
        <rFont val="Arial"/>
      </rPr>
      <t>SiDD: DB đang thiết kế Decimal, Đạt sẽ tạo RoC (Nghĩa bảo thế)</t>
    </r>
  </si>
  <si>
    <t>this time inspection_equipment_storage.chk_electrolyte_level=-1</t>
  </si>
  <si>
    <t xml:space="preserve">1. Hiển thị "✕" </t>
  </si>
  <si>
    <r>
      <rPr>
        <sz val="10"/>
        <color rgb="FF000000"/>
        <rFont val="Arial"/>
      </rPr>
      <t xml:space="preserve">đang hiển thị số
</t>
    </r>
    <r>
      <rPr>
        <sz val="10"/>
        <color rgb="FFFF0000"/>
        <rFont val="Arial"/>
      </rPr>
      <t>SiDD: DB đang thiết kế Decimal, Đạt sẽ tạo RoC (Nghĩa bảo thế)</t>
    </r>
  </si>
  <si>
    <t>this time inspection_equipment_storage.chk_electrolyte_level=0</t>
  </si>
  <si>
    <t>1. Hiển thị   "ー"</t>
  </si>
  <si>
    <r>
      <rPr>
        <sz val="10"/>
        <color rgb="FF000000"/>
        <rFont val="Arial"/>
      </rPr>
      <t xml:space="preserve">đang hiển thị số
</t>
    </r>
    <r>
      <rPr>
        <sz val="10"/>
        <color rgb="FFFF0000"/>
        <rFont val="Arial"/>
      </rPr>
      <t>SiDD: DB đang thiết kế Decimal, Đạt sẽ tạo RoC (Nghĩa bảo thế)</t>
    </r>
  </si>
  <si>
    <t>this time inspection_equipment_storage.chk_electrolyte_level=1</t>
  </si>
  <si>
    <t>1. Hiển thị  "△"</t>
  </si>
  <si>
    <r>
      <rPr>
        <sz val="10"/>
        <color rgb="FF000000"/>
        <rFont val="Arial"/>
      </rPr>
      <t xml:space="preserve">đang hiển thị số
</t>
    </r>
    <r>
      <rPr>
        <sz val="10"/>
        <color rgb="FFFF0000"/>
        <rFont val="Arial"/>
      </rPr>
      <t>SiDD: DB đang thiết kế Decimal, Đạt sẽ tạo RoC (Nghĩa bảo thế)</t>
    </r>
  </si>
  <si>
    <t>this time inspection_equipment_storage.chk_electrolyte_level=2</t>
  </si>
  <si>
    <t>1. Hiển thị "◯"</t>
  </si>
  <si>
    <r>
      <rPr>
        <sz val="10"/>
        <color rgb="FF000000"/>
        <rFont val="Arial"/>
      </rPr>
      <t xml:space="preserve">đang hiển thị số
</t>
    </r>
    <r>
      <rPr>
        <sz val="10"/>
        <color rgb="FFFF0000"/>
        <rFont val="Arial"/>
      </rPr>
      <t>SiDD: DB đang thiết kế Decimal, Đạt sẽ tạo RoC (Nghĩa bảo thế)</t>
    </r>
  </si>
  <si>
    <t>1.1. Hiển thị thêm  last time: last inspection_equipment_storage.chk_electrolyte_level  (font nhỏ, chữ nhạt)
1.2. Khi có sự sai khác với this time, hiện background vàng nhạt</t>
  </si>
  <si>
    <r>
      <rPr>
        <sz val="10"/>
        <color rgb="FF000000"/>
        <rFont val="Arial"/>
      </rPr>
      <t xml:space="preserve">đang hiển thị số
</t>
    </r>
    <r>
      <rPr>
        <sz val="10"/>
        <color rgb="FFFF0000"/>
        <rFont val="Arial"/>
      </rPr>
      <t>SiDD: DB đang thiết kế Decimal, Đạt sẽ tạo RoC (Nghĩa bảo thế)</t>
    </r>
  </si>
  <si>
    <t>1.1. Hiển thị thêm  last time: last inspection_equipment_storage.chk_electrolyte_level (font nhỏ, chữ nhạt)
1.2. Background không thay đổi</t>
  </si>
  <si>
    <r>
      <rPr>
        <sz val="10"/>
        <color rgb="FF000000"/>
        <rFont val="Arial"/>
      </rPr>
      <t xml:space="preserve">đang hiển thị số
</t>
    </r>
    <r>
      <rPr>
        <sz val="10"/>
        <color rgb="FFFF0000"/>
        <rFont val="Arial"/>
      </rPr>
      <t>SiDD: DB đang thiết kế Decimal, Đạt sẽ tạo RoC (Nghĩa bảo thế)</t>
    </r>
  </si>
  <si>
    <t>last time inspection_equipment_storage.chk_electrolyte_level=null</t>
  </si>
  <si>
    <r>
      <rPr>
        <sz val="10"/>
        <color rgb="FF000000"/>
        <rFont val="Arial"/>
      </rPr>
      <t xml:space="preserve">đang hiển thị số
</t>
    </r>
    <r>
      <rPr>
        <sz val="10"/>
        <color rgb="FFFF0000"/>
        <rFont val="Arial"/>
      </rPr>
      <t>SiDD: DB đang thiết kế Decimal, Đạt sẽ tạo RoC (Nghĩa bảo thế)</t>
    </r>
  </si>
  <si>
    <t>last time inspection_equipment_storage.chk_electrolyte_level=-1</t>
  </si>
  <si>
    <r>
      <rPr>
        <sz val="10"/>
        <color rgb="FF000000"/>
        <rFont val="Arial"/>
      </rPr>
      <t xml:space="preserve">đang hiển thị số
</t>
    </r>
    <r>
      <rPr>
        <sz val="10"/>
        <color rgb="FFFF0000"/>
        <rFont val="Arial"/>
      </rPr>
      <t>SiDD: DB đang thiết kế Decimal, Đạt sẽ tạo RoC (Nghĩa bảo thế)</t>
    </r>
  </si>
  <si>
    <t>last time inspection_equipment_storage.chk_electrolyte_level=0</t>
  </si>
  <si>
    <r>
      <rPr>
        <sz val="10"/>
        <color rgb="FF000000"/>
        <rFont val="Arial"/>
      </rPr>
      <t xml:space="preserve">đang hiển thị số
</t>
    </r>
    <r>
      <rPr>
        <sz val="10"/>
        <color rgb="FFFF0000"/>
        <rFont val="Arial"/>
      </rPr>
      <t>SiDD: DB đang thiết kế Decimal, Đạt sẽ tạo RoC (Nghĩa bảo thế)</t>
    </r>
  </si>
  <si>
    <t>last time inspection_equipment_storage.chk_electrolyte_level=1</t>
  </si>
  <si>
    <r>
      <rPr>
        <sz val="10"/>
        <color rgb="FF000000"/>
        <rFont val="Arial"/>
      </rPr>
      <t xml:space="preserve">đang hiển thị số
</t>
    </r>
    <r>
      <rPr>
        <sz val="10"/>
        <color rgb="FFFF0000"/>
        <rFont val="Arial"/>
      </rPr>
      <t>SiDD: DB đang thiết kế Decimal, Đạt sẽ tạo RoC (Nghĩa bảo thế)</t>
    </r>
  </si>
  <si>
    <t>last time inspection_equipment_storage.chk_electrolyte_level=2</t>
  </si>
  <si>
    <r>
      <rPr>
        <sz val="10"/>
        <color rgb="FF000000"/>
        <rFont val="Arial"/>
      </rPr>
      <t xml:space="preserve">đang hiển thị số
</t>
    </r>
    <r>
      <rPr>
        <sz val="10"/>
        <color rgb="FFFF0000"/>
        <rFont val="Arial"/>
      </rPr>
      <t>SiDD: DB đang thiết kế Decimal, Đạt sẽ tạo RoC (Nghĩa bảo thế)</t>
    </r>
  </si>
  <si>
    <t xml:space="preserve">1. Hiển thị thông tin ở vùng 絶縁監視装置, chỉ hiển thị thông tin this time 
Data được get từ SQL sau:
SELECT
MIN(iei.chk_communication_test), MAX(iei.chk_communication_test)
MIN(iei.chk_alarm_status), MAX(iei.chk_alarm_status)                                                                                                                                                                                                                                                                               
FROM inspection_equipment_insulation iei    
WHERE 
         iei.inspection_id = :current_inspection.id
GROUP BY iei.inspection_id
</t>
  </si>
  <si>
    <t>1. Hiển thị thông tin ở vùng 絶縁監視装置, hiển thị cả thông tin this time và last time, last time hiển thị bên dưới this time
Data được get từ SQL sau:
this_time:
như trên
last_time:
WHERE 
         iei.inspection_id = :last_inspection.id
GROUP BY iei.inspection_id
Trường hợp không có data, vẫn hiện thị title và table bình thường và có 1 dòng. Tại item đầu tiên hiển thị "該当なし", các tem còn lại để trống.
Khi đó dù có bật mode 2 hay không thì cũng k thay đổi.</t>
  </si>
  <si>
    <t>1. Hiển thị label 通信テスト</t>
  </si>
  <si>
    <t>1. Chỉ hiển thị value this time
Data get từ field  inspection_equipment_insulation.chk_communication_test</t>
  </si>
  <si>
    <t>this time 
MIN(inspection_equipment_insulation.chk_communication_test) = MAX(inspection_equipment_insulation.chk_communication_test) = 0</t>
  </si>
  <si>
    <t>1. Hiện thị ー (IS_NOT_APPLICABLE)</t>
  </si>
  <si>
    <t>this time 
MIN(inspection_equipment_insulation.chk_communication_test) = -1</t>
  </si>
  <si>
    <t xml:space="preserve">1. Lấy giá trị nhỏ nhất để hiển thị 
MIN(inspection_equipment_insulation.chk_communication_test)
1.1.  Hiển thị "✕" </t>
  </si>
  <si>
    <t>this time 
MIN(inspection_equipment_insulation.chk_communication_test) = 0
MAX(inspection_equipment_insulation.chk_communication_test) khác 0</t>
  </si>
  <si>
    <t>1. Lấy giá trị nhỏ nhất để hiển thị 
MIN(inspection_equipment_insulation.chk_communication_test)
1.1. Hiển thị   "ー"</t>
  </si>
  <si>
    <t>this time 
MIN(inspection_equipment_insulation.chk_communication_test) = 1</t>
  </si>
  <si>
    <t>1. Lấy giá trị nhỏ nhất để hiển thị 
MIN(inspection_equipment_insulation.chk_communication_test)
1.1. Hiển thị  "△"</t>
  </si>
  <si>
    <t>this time 
MIN(inspection_equipment_insulation.chk_communication_test) = 2</t>
  </si>
  <si>
    <t>1. Lấy giá trị nhỏ nhất để hiển thị 
MIN(inspection_equipment_insulation.chk_communication_test)
1.1. Hiển thị "◯"</t>
  </si>
  <si>
    <t>1.1 Hiển thị thêm  last time (font nhỏ, chữ nhạt)
1.1. Background không thay đổi</t>
  </si>
  <si>
    <t>last time
MIN(inspection_equipment_insulation.chk_communication_test) = MAX(inspection_equipment_insulation.chk_communication_test) = 0</t>
  </si>
  <si>
    <t>last time
MIN(inspection_equipment_insulation.chk_communication_test) = -1</t>
  </si>
  <si>
    <t>last time
MIN(inspection_equipment_insulation.chk_communication_test) = 0
MAX(inspection_equipment_insulation.chk_communication_test) khác 0</t>
  </si>
  <si>
    <t>last time
MIN(inspection_equipment_insulation.chk_communication_test) = 1</t>
  </si>
  <si>
    <t>last time
MIN(inspection_equipment_insulation.chk_communication_test) = 2</t>
  </si>
  <si>
    <t>1. Hiển thị label 警報の状況</t>
  </si>
  <si>
    <t>1. Chỉ hiển thị value this time
Data get từ field   inspection_equipment_insulation.chk_alarm_status</t>
  </si>
  <si>
    <t>this time
MIN( inspection_equipment_insulation.alarm_status) = MAX( inspection_equipment_insulation.alarm_status) = 0</t>
  </si>
  <si>
    <t>this time
MIN( inspection_equipment_insulation.alarm_status) = -1</t>
  </si>
  <si>
    <t>1. Lấy giá trị nhỏ nhất để hiển thị 
MIN(inspection_equipment_insulation.alarm_status)
1.1. Hiển thị "✕"</t>
  </si>
  <si>
    <t>this time
MIN( inspection_equipment_insulation.alarm_status) = 0
MAX( inspection_equipment_insulation.alarm_status) khác 0</t>
  </si>
  <si>
    <t>1. Lấy giá trị nhỏ nhất để hiển thị 
MIN(inspection_equipment_insulation.alarm_status)
1.1. Hiển thị   "ー"</t>
  </si>
  <si>
    <t>this time
MIN( inspection_equipment_insulation.alarm_status) = 1</t>
  </si>
  <si>
    <t>1. Lấy giá trị nhỏ nhất để hiển thị 
MIN(inspection_equipment_insulation.alarm_status)
1.1. Hiển thị  "△"</t>
  </si>
  <si>
    <t>this time
MIN( inspection_equipment_insulation.alarm_status) = 2</t>
  </si>
  <si>
    <t>1. Lấy giá trị nhỏ nhất để hiển thị 
MIN(inspection_equipment_insulation.alarm_status)
1.1. Hiển thị "◯"</t>
  </si>
  <si>
    <t>last time
MIN( inspection_equipment_insulation.alarm_status) = MAX( inspection_equipment_insulation.alarm_status) = 0</t>
  </si>
  <si>
    <t>last time
MIN( inspection_equipment_insulation.alarm_status) = -1</t>
  </si>
  <si>
    <t>last time
MIN( inspection_equipment_insulation.alarm_status) = 0
MAX( inspection_equipment_insulation.alarm_status) khác 0</t>
  </si>
  <si>
    <t>last time
MIN( inspection_equipment_insulation.alarm_status) = 1</t>
  </si>
  <si>
    <t>last time
MIN( inspection_equipment_insulation.alarm_status) = 2</t>
  </si>
  <si>
    <t>Mỗi dòng sẽ chứa tối đa 3 giá trị, nếu vượt thì thêm dòng tương ứng.
Tương ứng với số lượng record
// TODO Đang confirm</t>
  </si>
  <si>
    <r>
      <rPr>
        <sz val="10"/>
        <color rgb="FF000000"/>
        <rFont val="Arial"/>
      </rPr>
      <t xml:space="preserve">Sai text
</t>
    </r>
    <r>
      <rPr>
        <sz val="10"/>
        <color rgb="FFFF0000"/>
        <rFont val="Arial"/>
      </rPr>
      <t>SiDD 01/16: fixed</t>
    </r>
  </si>
  <si>
    <r>
      <rPr>
        <sz val="10"/>
        <color rgb="FF000000"/>
        <rFont val="Arial"/>
      </rPr>
      <t xml:space="preserve">Sai text
</t>
    </r>
    <r>
      <rPr>
        <sz val="10"/>
        <color rgb="FFFF0000"/>
        <rFont val="Arial"/>
      </rPr>
      <t>SiDD 01/16: fixed</t>
    </r>
  </si>
  <si>
    <t xml:space="preserve">1. Hiển thị thông tin ở vùng 設備点検結果, chỉ hiển thị thông thin this time
Data hiển thị được get từ SQL sau:
SELECT
MIN(il.chk_incoming_line), MAX(il.chk_incoming_line),
MIN(il.chk_section_switch_cabinet), MAX(il.chk_section_switch_cabinet),   
MIN(il.chk_high_voltage_cable), MAX(il.chk_high_voltage_cable),
MIN(il.chk_bus_line_support), MAX(il.chk_bus_line_support),   
MIN(il.chk_lightning_arrester), MAX(il.chk_lightning_arrester),
MIN(il.chk_instrument_transformer), MAX(il.chk_instrument_transformer),   
MIN(il.chk_breaker_disconnect_switch), MAX(il.chk_breaker_disconnect_switch),
MIN(il.chk_switch_high_voltage_fuse), MAX(il.chk_switch_high_voltage_fuse),   
MIN(il.chk_transformer), MAX(il.chk_transformer),
MIN(il.chk_condenser_reactor), MAX(il.chk_condenser_reactor),   
MIN(il.chk_protection_relay), MAX(il.chk_protection_relay),
MIN(il.chk_grounding_status), MAX(il.chk_grounding_status),
MIN(il.chk_distribution_panel), MAX(il.chk_distribution_panel),
MIN(il.chk_power_generation_storage), MAX(il.chk_power_generation_storage),
MIN(il.chk_electric_room_cubicle), MAX(il.chk_electric_room_cubicle),
MIN(il.chk_fire_extinguisher), MAX(il.chk_fire_extinguisher),
MIN(il.chk_insulation_monitoring_device), MAX(il.chk_insulation_monitoring_device),
MIN(il.chk_pcb_equipment_status), MAX(il.chk_pcb_equipment_status),
MIN(il.chk_sub_distribution_low_voltage), MAX(il.chk_sub_distribution_low_voltage),
MIN(il.chk_load_equipment), MAX(il.chk_load_equipment),
MIN(il.chk_low_voltage_wiring_devices), MAX(il.chk_low_voltage_wiring_devices),
MIN(il.chk_other), MAX(il.chk_other)                                                                                                                                                                                                                                                                        
FROM inspection_location il    
WHERE 
         il.inspection_id = :current_inspection.id
GROUP BY il.inspection_id
</t>
  </si>
  <si>
    <t xml:space="preserve">1. Hiển thị thông tin ở vùng 設備点検結果, hiển thị cả thông tin this time và last time
this_time:
như trên
last_time:
WHERE 
         il.inspection_id = :last_inspection.id
GROUP BY il.inspection_id
Trường hợp không có data, vẫn hiện thị title và table bình thường, các mục để trống.
Khi đó dù có bật mode 2 hay không thì cũng k thay đổi.
</t>
  </si>
  <si>
    <t>1. Hiển thị label 引込線</t>
  </si>
  <si>
    <t>1. Chỉ hiển thị value this time
Data get từ field inspection_location.chk_incoming_line</t>
  </si>
  <si>
    <t>this time
MIN(inspection_location.chk_incoming_line)=0
MAX(inspection_location.chk_incoming_line)=0</t>
  </si>
  <si>
    <r>
      <rPr>
        <sz val="10"/>
        <color rgb="FF000000"/>
        <rFont val="Arial"/>
      </rPr>
      <t xml:space="preserve">Đang hiển thị - k phải ー 
</t>
    </r>
    <r>
      <rPr>
        <sz val="10"/>
        <color rgb="FFFF0000"/>
        <rFont val="Arial"/>
      </rPr>
      <t>SiDD: BE sửa</t>
    </r>
  </si>
  <si>
    <t>this time
MIN(inspection_location.chk_incoming_line)=-1</t>
  </si>
  <si>
    <t>1. Lấy giá trị nhỏ nhất để hiển thị 
MIN(inspection_location.chk_incoming_line)
1.1. Hiển thị "✕"</t>
  </si>
  <si>
    <t>this time
MIN(inspection_location.chk_incoming_line)=0
MAX(inspection_location.chk_incoming_line) khác 0</t>
  </si>
  <si>
    <t>1. Lấy giá trị nhỏ nhất để hiển thị 
MIN(inspection_location.chk_incoming_line)
1.1. Hiển thị   "ー"</t>
  </si>
  <si>
    <r>
      <rPr>
        <sz val="10"/>
        <color rgb="FF000000"/>
        <rFont val="Arial"/>
      </rPr>
      <t xml:space="preserve">Đang hiển thị - k phải ー 
</t>
    </r>
    <r>
      <rPr>
        <sz val="10"/>
        <color rgb="FFFF0000"/>
        <rFont val="Arial"/>
      </rPr>
      <t>SiDD: BE sửa</t>
    </r>
  </si>
  <si>
    <t>this time
MIN(inspection_location.chk_incoming_line)=1</t>
  </si>
  <si>
    <t>1. Lấy giá trị nhỏ nhất để hiển thị 
MIN(inspection_location.chk_incoming_line)
1.1. Hiển thị  "△"</t>
  </si>
  <si>
    <t>this time
MIN(inspection_location.chk_incoming_line)=2</t>
  </si>
  <si>
    <t>1. Lấy giá trị nhỏ nhất để hiển thị 
MIN(inspection_location.chk_incoming_line)
1.1. Hiển thị "◯"</t>
  </si>
  <si>
    <t>last time
MIN(inspection_location.chk_incoming_line)=0
MAX(inspection_location.chk_incoming_line)=0</t>
  </si>
  <si>
    <r>
      <rPr>
        <sz val="10"/>
        <color rgb="FF000000"/>
        <rFont val="Arial"/>
      </rPr>
      <t xml:space="preserve">Đang hiển thị - k phải ー 
</t>
    </r>
    <r>
      <rPr>
        <sz val="10"/>
        <color rgb="FFFF0000"/>
        <rFont val="Arial"/>
      </rPr>
      <t>SiDD: BE sửa</t>
    </r>
  </si>
  <si>
    <t>last time
MIN(inspection_location.chk_incoming_line)=-1</t>
  </si>
  <si>
    <t>last time
MIN(inspection_location.chk_incoming_line)=0
MAX(inspection_location.chk_incoming_line) khác 0</t>
  </si>
  <si>
    <r>
      <rPr>
        <sz val="10"/>
        <color rgb="FF000000"/>
        <rFont val="Arial"/>
      </rPr>
      <t xml:space="preserve">Đang hiển thị - k phải ー 
</t>
    </r>
    <r>
      <rPr>
        <sz val="10"/>
        <color rgb="FFFF0000"/>
        <rFont val="Arial"/>
      </rPr>
      <t>SiDD: BE sửa</t>
    </r>
  </si>
  <si>
    <t>last time
MIN(inspection_location.chk_incoming_line)=1</t>
  </si>
  <si>
    <t>last time
MIN(inspection_location.chk_incoming_line)=2</t>
  </si>
  <si>
    <t>1. Hiển thị label 区分開閉器・高圧キャビネット</t>
  </si>
  <si>
    <t>1. Chỉ hiển thị value this time
Data get từ field inspection_location.chk_section_switch_cabinet</t>
  </si>
  <si>
    <t xml:space="preserve">this time
MIN(inspection_location.chk_section_switch_cabinet)=0
MAX(inspection_location.chk_section_switch_cabinet)=0
</t>
  </si>
  <si>
    <r>
      <rPr>
        <sz val="10"/>
        <color rgb="FF000000"/>
        <rFont val="Arial"/>
      </rPr>
      <t xml:space="preserve">Đang hiển thị - k phải ー 
</t>
    </r>
    <r>
      <rPr>
        <sz val="10"/>
        <color rgb="FFFF0000"/>
        <rFont val="Arial"/>
      </rPr>
      <t>SiDD: BE sửa</t>
    </r>
  </si>
  <si>
    <t xml:space="preserve">this time
MIN(inspection_location.chk_section_switch_cabinet)=-1
</t>
  </si>
  <si>
    <t>1. Lấy giá trị nhỏ nhất để hiển thị 
MIN(inspection_location.chk_section_switch_cabinet)
1.1. Hiển thị "✕"</t>
  </si>
  <si>
    <t>this time
MIN(inspection_location.chk_section_switch_cabinet)=-0
MAX(inspection_location.chk_section_switch_cabinet) khác 0</t>
  </si>
  <si>
    <t>1. Lấy giá trị nhỏ nhất để hiển thị 
MIN(inspection_location.chk_section_switch_cabinet)
1.1. Hiển thị   "ー"</t>
  </si>
  <si>
    <r>
      <rPr>
        <sz val="10"/>
        <color rgb="FF000000"/>
        <rFont val="Arial"/>
      </rPr>
      <t xml:space="preserve">Đang hiển thị - k phải ー 
</t>
    </r>
    <r>
      <rPr>
        <sz val="10"/>
        <color rgb="FFFF0000"/>
        <rFont val="Arial"/>
      </rPr>
      <t>SiDD: BE sửa</t>
    </r>
  </si>
  <si>
    <t>1. Lấy giá trị nhỏ nhất để hiển thị 
MIN(inspection_location.chk_section_switch_cabinet)
1.1. Hiển thị  "△"</t>
  </si>
  <si>
    <t>1. Lấy giá trị nhỏ nhất để hiển thị 
MIN(inspection_location.chk_section_switch_cabinet)
1.1. Hiển thị "◯"</t>
  </si>
  <si>
    <t xml:space="preserve">last time
MIN(inspection_location.chk_section_switch_cabinet)=0
MAX(inspection_location.chk_section_switch_cabinet)=0
</t>
  </si>
  <si>
    <r>
      <rPr>
        <sz val="10"/>
        <color rgb="FF000000"/>
        <rFont val="Arial"/>
      </rPr>
      <t xml:space="preserve">Đang hiển thị - k phải ー 
</t>
    </r>
    <r>
      <rPr>
        <sz val="10"/>
        <color rgb="FFFF0000"/>
        <rFont val="Arial"/>
      </rPr>
      <t>SiDD: BE sửa</t>
    </r>
  </si>
  <si>
    <t xml:space="preserve">last time
MIN(inspection_location.chk_section_switch_cabinet)=-1
</t>
  </si>
  <si>
    <t>last time
MIN(inspection_location.chk_section_switch_cabinet)=-0
MAX(inspection_location.chk_section_switch_cabinet) khác 0</t>
  </si>
  <si>
    <r>
      <rPr>
        <sz val="10"/>
        <color rgb="FF000000"/>
        <rFont val="Arial"/>
      </rPr>
      <t xml:space="preserve">Đang hiển thị - k phải ー 
</t>
    </r>
    <r>
      <rPr>
        <sz val="10"/>
        <color rgb="FFFF0000"/>
        <rFont val="Arial"/>
      </rPr>
      <t>SiDD: BE sửa</t>
    </r>
  </si>
  <si>
    <t>1. Hiển thị label 高圧ケーブル</t>
  </si>
  <si>
    <t>this time
MIN(inspection_location.chk_high_voltage_cable) = MAX(inspection_location.chk_high_voltage_cable) = 0</t>
  </si>
  <si>
    <r>
      <rPr>
        <sz val="10"/>
        <color rgb="FF000000"/>
        <rFont val="Arial"/>
      </rPr>
      <t xml:space="preserve">Đang hiển thị - k phải ー 
</t>
    </r>
    <r>
      <rPr>
        <sz val="10"/>
        <color rgb="FFFF0000"/>
        <rFont val="Arial"/>
      </rPr>
      <t>SiDD: BE sửa</t>
    </r>
  </si>
  <si>
    <t>this time
MIN(inspection_location.chk_high_voltage_cable) =-1</t>
  </si>
  <si>
    <t>1. Lấy giá trị nhỏ nhất để hiển thị 
MIN(inspection_location.chk_high_voltage_cable)
1.1. Hiển thị "✕"</t>
  </si>
  <si>
    <t>this time
MIN(inspection_location.chk_high_voltage_cable) =0
MIN(inspection_location.chk_high_voltage_cable) khác 0</t>
  </si>
  <si>
    <t>1. Lấy giá trị nhỏ nhất để hiển thị 
MIN(inspection_location.chk_high_voltage_cable)
1.1. Hiển thị   "ー"</t>
  </si>
  <si>
    <r>
      <rPr>
        <sz val="10"/>
        <color rgb="FF000000"/>
        <rFont val="Arial"/>
      </rPr>
      <t xml:space="preserve">Đang hiển thị - k phải ー 
</t>
    </r>
    <r>
      <rPr>
        <sz val="10"/>
        <color rgb="FFFF0000"/>
        <rFont val="Arial"/>
      </rPr>
      <t>SiDD: BE sửa</t>
    </r>
  </si>
  <si>
    <t>this time
MIN(inspection_location.chk_high_voltage_cable) =1
MAX(inspection_location.chk_high_voltage_cable) khác 0</t>
  </si>
  <si>
    <t>1. Lấy giá trị nhỏ nhất để hiển thị 
MIN(inspection_location.chk_high_voltage_cable)
1.1. Hiển thị  "△"</t>
  </si>
  <si>
    <t>this time
MIN(inspection_location.chk_high_voltage_cable) =2</t>
  </si>
  <si>
    <t>1. Lấy giá trị nhỏ nhất để hiển thị 
MIN(inspection_location.chk_high_voltage_cable)
1.1. Hiển thị "◯"</t>
  </si>
  <si>
    <t>last time
MIN(inspection_location.chk_high_voltage_cable) = MAX(inspection_location.chk_high_voltage_cable) = 0</t>
  </si>
  <si>
    <r>
      <rPr>
        <sz val="10"/>
        <color rgb="FF000000"/>
        <rFont val="Arial"/>
      </rPr>
      <t xml:space="preserve">Đang hiển thị - k phải ー 
</t>
    </r>
    <r>
      <rPr>
        <sz val="10"/>
        <color rgb="FFFF0000"/>
        <rFont val="Arial"/>
      </rPr>
      <t>SiDD: BE sửa</t>
    </r>
  </si>
  <si>
    <t>last time
MIN(inspection_location.chk_high_voltage_cable) =-1</t>
  </si>
  <si>
    <t>last time
MIN(inspection_location.chk_high_voltage_cable) =0
MAX(inspection_location.chk_high_voltage_cable) khác 0</t>
  </si>
  <si>
    <r>
      <rPr>
        <sz val="10"/>
        <color rgb="FF000000"/>
        <rFont val="Arial"/>
      </rPr>
      <t xml:space="preserve">Đang hiển thị - k phải ー 
</t>
    </r>
    <r>
      <rPr>
        <sz val="10"/>
        <color rgb="FFFF0000"/>
        <rFont val="Arial"/>
      </rPr>
      <t>SiDD: BE sửa</t>
    </r>
  </si>
  <si>
    <t>last time
MIN(inspection_location.chk_high_voltage_cable) =1
MAX(inspection_location.chk_high_voltage_cable) khác 0</t>
  </si>
  <si>
    <t>last time
MIN(inspection_location.chk_high_voltage_cable) =2</t>
  </si>
  <si>
    <t>1. Hiển thị label 母線・電線 支持物</t>
  </si>
  <si>
    <t>1. Chỉ hiển thị value this time
Data get từ field inspection_location.chk_bus_line_support</t>
  </si>
  <si>
    <t>this time
MIN(inspection_location.chk_bus_line_support) = MAX(inspection_location.chk_bus_line_support) = 0</t>
  </si>
  <si>
    <r>
      <rPr>
        <sz val="10"/>
        <color rgb="FF000000"/>
        <rFont val="Arial"/>
      </rPr>
      <t xml:space="preserve">Đang hiển thị - k phải ー 
</t>
    </r>
    <r>
      <rPr>
        <sz val="10"/>
        <color rgb="FFFF0000"/>
        <rFont val="Arial"/>
      </rPr>
      <t>SiDD: BE sửa</t>
    </r>
  </si>
  <si>
    <t>this time
MIN(inspection_location.chk_bus_line_support) = -1</t>
  </si>
  <si>
    <t>1. Lấy giá trị nhỏ nhất để hiển thị 
MIN(inspection_location.chk_bus_line_support)
1.1. Hiển thị "✕"</t>
  </si>
  <si>
    <t>this time
MIN(inspection_location.chk_bus_line_support) = 0
MAX(inspection_location.chk_bus_line_support) khác 0</t>
  </si>
  <si>
    <t>1. Lấy giá trị nhỏ nhất để hiển thị 
MIN(inspection_location.chk_bus_line_support)
1.1. Hiển thị   "ー"</t>
  </si>
  <si>
    <r>
      <rPr>
        <sz val="10"/>
        <color rgb="FF000000"/>
        <rFont val="Arial"/>
      </rPr>
      <t xml:space="preserve">Đang hiển thị - k phải ー 
</t>
    </r>
    <r>
      <rPr>
        <sz val="10"/>
        <color rgb="FFFF0000"/>
        <rFont val="Arial"/>
      </rPr>
      <t>SiDD: BE sửa</t>
    </r>
  </si>
  <si>
    <t>this time
MIN(inspection_location.chk_bus_line_support) = 1</t>
  </si>
  <si>
    <t>1. Lấy giá trị nhỏ nhất để hiển thị 
MIN(inspection_location.chk_bus_line_support)
1.1. Hiển thị  "△"</t>
  </si>
  <si>
    <t>this time
MIN(inspection_location.chk_bus_line_support) = 2</t>
  </si>
  <si>
    <t>1. Lấy giá trị nhỏ nhất để hiển thị 
MIN(inspection_location.chk_bus_line_support)
1.1. Hiển thị "◯"</t>
  </si>
  <si>
    <t>last time
MIN(inspection_location.chk_bus_line_support) = MAX(inspection_location.chk_bus_line_support) = 0</t>
  </si>
  <si>
    <r>
      <rPr>
        <sz val="10"/>
        <color rgb="FF000000"/>
        <rFont val="Arial"/>
      </rPr>
      <t xml:space="preserve">Đang hiển thị - k phải ー 
</t>
    </r>
    <r>
      <rPr>
        <sz val="10"/>
        <color rgb="FFFF0000"/>
        <rFont val="Arial"/>
      </rPr>
      <t>SiDD: BE sửa</t>
    </r>
  </si>
  <si>
    <t>last time
MIN(inspection_location.chk_bus_line_support) = -1</t>
  </si>
  <si>
    <t>last time
MIN(inspection_location.chk_bus_line_support) = 0
MAX(inspection_location.chk_bus_line_support) khác 0</t>
  </si>
  <si>
    <r>
      <rPr>
        <sz val="10"/>
        <color rgb="FF000000"/>
        <rFont val="Arial"/>
      </rPr>
      <t xml:space="preserve">Đang hiển thị - k phải ー 
</t>
    </r>
    <r>
      <rPr>
        <sz val="10"/>
        <color rgb="FFFF0000"/>
        <rFont val="Arial"/>
      </rPr>
      <t>SiDD: BE sửa</t>
    </r>
  </si>
  <si>
    <t>last time
MIN(inspection_location.chk_bus_line_support) = 1</t>
  </si>
  <si>
    <t>last time
MIN(inspection_location.chk_bus_line_support) = 2</t>
  </si>
  <si>
    <t>1. Hiển thị label 避雷器</t>
  </si>
  <si>
    <t>1. Chỉ hiển thị value this time
Data get từ field inspection_location.chk_lightning_arrester</t>
  </si>
  <si>
    <t>this time
MIN(inspection_location.chk_lightning_arrester) = MAX(inspection_location.chk_lightning_arrester) = 0</t>
  </si>
  <si>
    <r>
      <rPr>
        <sz val="10"/>
        <color rgb="FF000000"/>
        <rFont val="Arial"/>
      </rPr>
      <t xml:space="preserve">Đang hiển thị - k phải ー 
</t>
    </r>
    <r>
      <rPr>
        <sz val="10"/>
        <color rgb="FFFF0000"/>
        <rFont val="Arial"/>
      </rPr>
      <t>SiDD: BE sửa</t>
    </r>
  </si>
  <si>
    <t>this time
MIN(inspection_location.chk_lightning_arrester) = -1</t>
  </si>
  <si>
    <t>1. Lấy giá trị nhỏ nhất để hiển thị 
MIN(inspection_location.chk_lightning_arrester)
1.1. Hiển thị "✕"</t>
  </si>
  <si>
    <t>this time
MIN(inspection_location.chk_lightning_arrester) = 0
MAX(inspection_location.chk_lightning_arrester) khác 0</t>
  </si>
  <si>
    <t>1. Lấy giá trị nhỏ nhất để hiển thị 
MIN(inspection_location.chk_lightning_arrester)
1.1. Hiển thị   "ー"</t>
  </si>
  <si>
    <r>
      <rPr>
        <sz val="10"/>
        <color rgb="FF000000"/>
        <rFont val="Arial"/>
      </rPr>
      <t xml:space="preserve">Đang hiển thị - k phải ー 
</t>
    </r>
    <r>
      <rPr>
        <sz val="10"/>
        <color rgb="FFFF0000"/>
        <rFont val="Arial"/>
      </rPr>
      <t>SiDD: BE sửa</t>
    </r>
  </si>
  <si>
    <t>this time
MIN(inspection_location.chk_lightning_arrester) = 1</t>
  </si>
  <si>
    <t>1. Lấy giá trị nhỏ nhất để hiển thị 
MIN(inspection_location.chk_lightning_arrester)
1.1. Hiển thị  "△"</t>
  </si>
  <si>
    <t>this time
MIN(inspection_location.chk_lightning_arrester) = 2</t>
  </si>
  <si>
    <t>1. Lấy giá trị nhỏ nhất để hiển thị 
MIN(inspection_location.chk_lightning_arrester)
1.1. Hiển thị "◯"</t>
  </si>
  <si>
    <t>last time
MIN(inspection_location.chk_lightning_arrester) = MAX(inspection_location.chk_lightning_arrester) = 0</t>
  </si>
  <si>
    <r>
      <rPr>
        <sz val="10"/>
        <color rgb="FF000000"/>
        <rFont val="Arial"/>
      </rPr>
      <t xml:space="preserve">Đang hiển thị - k phải ー 
</t>
    </r>
    <r>
      <rPr>
        <sz val="10"/>
        <color rgb="FFFF0000"/>
        <rFont val="Arial"/>
      </rPr>
      <t>SiDD: BE sửa</t>
    </r>
  </si>
  <si>
    <t>last time
MIN(inspection_location.chk_lightning_arrester) = -1</t>
  </si>
  <si>
    <t>last time
MIN(inspection_location.chk_lightning_arrester) = 0
MAX(inspection_location.chk_lightning_arrester) khác 0</t>
  </si>
  <si>
    <r>
      <rPr>
        <sz val="10"/>
        <color rgb="FF000000"/>
        <rFont val="Arial"/>
      </rPr>
      <t xml:space="preserve">Đang hiển thị - k phải ー 
</t>
    </r>
    <r>
      <rPr>
        <sz val="10"/>
        <color rgb="FFFF0000"/>
        <rFont val="Arial"/>
      </rPr>
      <t>SiDD: BE sửa</t>
    </r>
  </si>
  <si>
    <t>last time
MIN(inspection_location.chk_lightning_arrester) = 1</t>
  </si>
  <si>
    <t>last time
MIN(inspection_location.chk_lightning_arrester) = 2</t>
  </si>
  <si>
    <t>1. Hiển thị label 計器用変成器</t>
  </si>
  <si>
    <t>1. Chỉ hiển thị value this time
Data get từ field inspection_location.chk_instrument_transformer</t>
  </si>
  <si>
    <t>this time
MIN(inspection_location.chk_instrument_transformer) = MAX(inspection_location.chk_instrument_transformer) = 0</t>
  </si>
  <si>
    <r>
      <rPr>
        <sz val="10"/>
        <color rgb="FF000000"/>
        <rFont val="Arial"/>
      </rPr>
      <t xml:space="preserve">Đang hiển thị - k phải ー 
</t>
    </r>
    <r>
      <rPr>
        <sz val="10"/>
        <color rgb="FFFF0000"/>
        <rFont val="Arial"/>
      </rPr>
      <t>SiDD: BE sửa</t>
    </r>
  </si>
  <si>
    <t>this time
MIN(inspection_location.chk_instrument_transformer) = -1</t>
  </si>
  <si>
    <t>1. Lấy giá trị nhỏ nhất để hiển thị 
MIN(inspection_location.chk_instrument_transformer)
1.1. Hiển thị "✕"</t>
  </si>
  <si>
    <t>this time
MIN(inspection_location.chk_instrument_transformer) =0
MAX(inspection_location.chk_instrument_transformer) khác 0</t>
  </si>
  <si>
    <t>1. Lấy giá trị nhỏ nhất để hiển thị 
MIN(inspection_location.chk_instrument_transformer)
1.1. Hiển thị   "ー"</t>
  </si>
  <si>
    <r>
      <rPr>
        <sz val="10"/>
        <color rgb="FF000000"/>
        <rFont val="Arial"/>
      </rPr>
      <t xml:space="preserve">Đang hiển thị - k phải ー 
</t>
    </r>
    <r>
      <rPr>
        <sz val="10"/>
        <color rgb="FFFF0000"/>
        <rFont val="Arial"/>
      </rPr>
      <t>SiDD: BE sửa</t>
    </r>
  </si>
  <si>
    <t>this time
MIN(inspection_location.chk_instrument_transformer) = 1</t>
  </si>
  <si>
    <t>1. Lấy giá trị nhỏ nhất để hiển thị 
MIN(inspection_location.chk_instrument_transformer)
1.1. Hiển thị  "△"</t>
  </si>
  <si>
    <t>this time
MIN(inspection_location.chk_instrument_transformer) = 2</t>
  </si>
  <si>
    <t>1. Lấy giá trị nhỏ nhất để hiển thị 
MIN(inspection_location.chk_instrument_transformer)
1.1. Hiển thị "◯"</t>
  </si>
  <si>
    <t>last time
MIN(inspection_location.chk_instrument_transformer) = MAX(inspection_location.chk_instrument_transformer) = 0</t>
  </si>
  <si>
    <r>
      <rPr>
        <sz val="10"/>
        <color rgb="FF000000"/>
        <rFont val="Arial"/>
      </rPr>
      <t xml:space="preserve">Đang hiển thị - k phải ー 
</t>
    </r>
    <r>
      <rPr>
        <sz val="10"/>
        <color rgb="FFFF0000"/>
        <rFont val="Arial"/>
      </rPr>
      <t>SiDD: BE sửa</t>
    </r>
  </si>
  <si>
    <t>last time
MIN(inspection_location.chk_instrument_transformer) = -1</t>
  </si>
  <si>
    <t>last time
MIN(inspection_location.chk_instrument_transformer) =0
MAX(inspection_location.chk_instrument_transformer) khác 0</t>
  </si>
  <si>
    <r>
      <rPr>
        <sz val="10"/>
        <color rgb="FF000000"/>
        <rFont val="Arial"/>
      </rPr>
      <t xml:space="preserve">Đang hiển thị - k phải ー 
</t>
    </r>
    <r>
      <rPr>
        <sz val="10"/>
        <color rgb="FFFF0000"/>
        <rFont val="Arial"/>
      </rPr>
      <t>SiDD: BE sửa</t>
    </r>
  </si>
  <si>
    <t>last time
MIN(inspection_location.chk_instrument_transformer) = 1</t>
  </si>
  <si>
    <t>last time
MIN(inspection_location.chk_instrument_transformer) = 2</t>
  </si>
  <si>
    <t>1. Hiển thị label 遮断器・断路器</t>
  </si>
  <si>
    <t>1. Chỉ hiển thị value this time
Data get từ field inspection_location.chk_breaker_disconnect_switch</t>
  </si>
  <si>
    <t>this time
MIN(inspection_location.chk_breaker_disconnect_switch) = MAX(inspection_location.chk_breaker_disconnect_switch) = 0</t>
  </si>
  <si>
    <r>
      <rPr>
        <sz val="10"/>
        <color rgb="FF000000"/>
        <rFont val="Arial"/>
      </rPr>
      <t xml:space="preserve">Đang hiển thị - k phải ー 
</t>
    </r>
    <r>
      <rPr>
        <sz val="10"/>
        <color rgb="FFFF0000"/>
        <rFont val="Arial"/>
      </rPr>
      <t>SiDD: BE sửa</t>
    </r>
  </si>
  <si>
    <t>this time
MIN(inspection_location.chk_breaker_disconnect_switch) = -1</t>
  </si>
  <si>
    <t>1. Lấy giá trị nhỏ nhất để hiển thị 
MIN(inspection_location.chk_breaker_disconnect_switch)
1.1. Hiển thị "✕"</t>
  </si>
  <si>
    <t>this time
MIN(inspection_location.chk_breaker_disconnect_switch) = 0
MAX(inspection_location.chk_breaker_disconnect_switch) khác 0</t>
  </si>
  <si>
    <t>1. Lấy giá trị nhỏ nhất để hiển thị 
MIN(inspection_location.chk_breaker_disconnect_switch)
1.1. Hiển thị   "ー"</t>
  </si>
  <si>
    <r>
      <rPr>
        <sz val="10"/>
        <color rgb="FF000000"/>
        <rFont val="Arial"/>
      </rPr>
      <t xml:space="preserve">Đang hiển thị - k phải ー 
</t>
    </r>
    <r>
      <rPr>
        <sz val="10"/>
        <color rgb="FFFF0000"/>
        <rFont val="Arial"/>
      </rPr>
      <t>SiDD: BE sửa</t>
    </r>
  </si>
  <si>
    <t>this time
MIN(inspection_location.chk_breaker_disconnect_switch) = 1</t>
  </si>
  <si>
    <t>1. Lấy giá trị nhỏ nhất để hiển thị 
MIN(inspection_location.chk_breaker_disconnect_switch)
1.1. Hiển thị  "△"</t>
  </si>
  <si>
    <t>this time
MIN(inspection_location.chk_breaker_disconnect_switch) = 2</t>
  </si>
  <si>
    <t>1. Lấy giá trị nhỏ nhất để hiển thị 
MIN(inspection_location.chk_breaker_disconnect_switch)
1.1. Hiển thị "◯"</t>
  </si>
  <si>
    <t>last time
MIN(inspection_location.chk_breaker_disconnect_switch) = MAX(inspection_location.chk_breaker_disconnect_switch) = 0</t>
  </si>
  <si>
    <r>
      <rPr>
        <sz val="10"/>
        <color rgb="FF000000"/>
        <rFont val="Arial"/>
      </rPr>
      <t xml:space="preserve">Đang hiển thị - k phải ー 
</t>
    </r>
    <r>
      <rPr>
        <sz val="10"/>
        <color rgb="FFFF0000"/>
        <rFont val="Arial"/>
      </rPr>
      <t>SiDD: BE sửa</t>
    </r>
  </si>
  <si>
    <t>last time
MIN(inspection_location.chk_breaker_disconnect_switch) = -1</t>
  </si>
  <si>
    <t>last time
MIN(inspection_location.chk_breaker_disconnect_switch) = 0
MAX(inspection_location.chk_breaker_disconnect_switch) khác 0</t>
  </si>
  <si>
    <r>
      <rPr>
        <sz val="10"/>
        <color rgb="FF000000"/>
        <rFont val="Arial"/>
      </rPr>
      <t xml:space="preserve">Đang hiển thị - k phải ー 
</t>
    </r>
    <r>
      <rPr>
        <sz val="10"/>
        <color rgb="FFFF0000"/>
        <rFont val="Arial"/>
      </rPr>
      <t>SiDD: BE sửa</t>
    </r>
  </si>
  <si>
    <t>last time
MIN(inspection_location.chk_breaker_disconnect_switch) = 1</t>
  </si>
  <si>
    <t>last time
MIN(inspection_location.chk_breaker_disconnect_switch) = 2</t>
  </si>
  <si>
    <t>1. Hiển thị label 開閉器・高圧ヒューズ</t>
  </si>
  <si>
    <t>1. Chỉ hiển thị value this time
Data get từ field inspection_location.chk_switch_high_voltage_fuse</t>
  </si>
  <si>
    <t>this time
MIN(inspection_location.chk_switch_high_voltage_fuse) = MAX(inspection_location.chk_switch_high_voltage_fuse) = 0</t>
  </si>
  <si>
    <r>
      <rPr>
        <sz val="10"/>
        <color rgb="FF000000"/>
        <rFont val="Arial"/>
      </rPr>
      <t xml:space="preserve">Đang hiển thị - k phải ー 
</t>
    </r>
    <r>
      <rPr>
        <sz val="10"/>
        <color rgb="FFFF0000"/>
        <rFont val="Arial"/>
      </rPr>
      <t>SiDD: BE sửa</t>
    </r>
  </si>
  <si>
    <t>this time
MIN(inspection_location.chk_switch_high_voltage_fuse) = -1</t>
  </si>
  <si>
    <t>1. Lấy giá trị nhỏ nhất để hiển thị 
MIN(inspection_location.chk_switch_high_voltage_fuse)
1.1. Hiển thị "✕"</t>
  </si>
  <si>
    <t>this time
MIN(inspection_location.chk_switch_high_voltage_fuse) =0
MAX(inspection_location.chk_switch_high_voltage_fuse) khác 0</t>
  </si>
  <si>
    <t>1. Lấy giá trị nhỏ nhất để hiển thị 
MIN(inspection_location.chk_switch_high_voltage_fuse)
1.1. Hiển thị   "ー"</t>
  </si>
  <si>
    <r>
      <rPr>
        <sz val="10"/>
        <color rgb="FF000000"/>
        <rFont val="Arial"/>
      </rPr>
      <t xml:space="preserve">Đang hiển thị - k phải ー 
</t>
    </r>
    <r>
      <rPr>
        <sz val="10"/>
        <color rgb="FFFF0000"/>
        <rFont val="Arial"/>
      </rPr>
      <t>SiDD: BE sửa</t>
    </r>
  </si>
  <si>
    <t>this time
MIN(inspection_location.chk_switch_high_voltage_fuse) = 1</t>
  </si>
  <si>
    <t>1. Lấy giá trị nhỏ nhất để hiển thị 
MIN(inspection_location.chk_switch_high_voltage_fuse)
1.1. Hiển thị  "△"</t>
  </si>
  <si>
    <t>this time
MIN(inspection_location.chk_switch_high_voltage_fuse) = 2</t>
  </si>
  <si>
    <t>1. Lấy giá trị nhỏ nhất để hiển thị 
MIN(inspection_location.chk_switch_high_voltage_fuse)
1.1. Hiển thị "◯"</t>
  </si>
  <si>
    <t>last time
MIN(inspection_location.chk_switch_high_voltage_fuse) = MAX(inspection_location.chk_switch_high_voltage_fuse) = 0</t>
  </si>
  <si>
    <r>
      <rPr>
        <sz val="10"/>
        <color rgb="FF000000"/>
        <rFont val="Arial"/>
      </rPr>
      <t xml:space="preserve">Đang hiển thị - k phải ー 
</t>
    </r>
    <r>
      <rPr>
        <sz val="10"/>
        <color rgb="FFFF0000"/>
        <rFont val="Arial"/>
      </rPr>
      <t>SiDD: BE sửa</t>
    </r>
  </si>
  <si>
    <t>last time
MIN(inspection_location.chk_switch_high_voltage_fuse) = -1</t>
  </si>
  <si>
    <t>last time
MIN(inspection_location.chk_switch_high_voltage_fuse) =0
MAX(inspection_location.chk_switch_high_voltage_fuse) khác 0</t>
  </si>
  <si>
    <r>
      <rPr>
        <sz val="10"/>
        <color rgb="FF000000"/>
        <rFont val="Arial"/>
      </rPr>
      <t xml:space="preserve">Đang hiển thị - k phải ー 
</t>
    </r>
    <r>
      <rPr>
        <sz val="10"/>
        <color rgb="FFFF0000"/>
        <rFont val="Arial"/>
      </rPr>
      <t>SiDD: BE sửa</t>
    </r>
  </si>
  <si>
    <t>last time
MIN(inspection_location.chk_switch_high_voltage_fuse) = 1</t>
  </si>
  <si>
    <t>last time
MIN(inspection_location.chk_switch_high_voltage_fuse) = 2</t>
  </si>
  <si>
    <t>1. Hiển thị label 変圧器</t>
  </si>
  <si>
    <t>1. Chỉ hiển thị value this time
Data get từ field inspection_location.chk_transformer</t>
  </si>
  <si>
    <t>this time
MIN(inspection_location.chk_transformer) = MAX(inspection_location.chk_transformer) = 0</t>
  </si>
  <si>
    <r>
      <rPr>
        <sz val="10"/>
        <color rgb="FF000000"/>
        <rFont val="Arial"/>
      </rPr>
      <t xml:space="preserve">Đang hiển thị - k phải ー 
</t>
    </r>
    <r>
      <rPr>
        <sz val="10"/>
        <color rgb="FFFF0000"/>
        <rFont val="Arial"/>
      </rPr>
      <t>SiDD: BE sửa</t>
    </r>
  </si>
  <si>
    <t>this time
MIN(inspection_location.chk_transformer) = -1</t>
  </si>
  <si>
    <t>1. Lấy giá trị nhỏ nhất để hiển thị 
MIN(inspection_location.chk_transformer)
1.1. Hiển thị "✕"</t>
  </si>
  <si>
    <t>this time
MIN(inspection_location.chk_transformer) = 0
MAX(inspection_location.chk_transformer) khác 0</t>
  </si>
  <si>
    <t>1. Lấy giá trị nhỏ nhất để hiển thị 
MIN(inspection_location.chk_transformer)
1.1. Hiển thị   "ー"</t>
  </si>
  <si>
    <r>
      <rPr>
        <sz val="10"/>
        <color rgb="FF000000"/>
        <rFont val="Arial"/>
      </rPr>
      <t xml:space="preserve">Đang hiển thị - k phải ー 
</t>
    </r>
    <r>
      <rPr>
        <sz val="10"/>
        <color rgb="FFFF0000"/>
        <rFont val="Arial"/>
      </rPr>
      <t>SiDD: BE sửa</t>
    </r>
  </si>
  <si>
    <t>this time
MIN(inspection_location.chk_transformer) = 1</t>
  </si>
  <si>
    <t>1. Lấy giá trị nhỏ nhất để hiển thị 
MIN(inspection_location.chk_transformer)
1.1. Hiển thị  "△"</t>
  </si>
  <si>
    <t>this time
MIN(inspection_location.chk_transformer) =2</t>
  </si>
  <si>
    <t>1. Lấy giá trị nhỏ nhất để hiển thị 
MIN(inspection_location.chk_transformer)
1.1. Hiển thị "◯"</t>
  </si>
  <si>
    <t>last time
MIN(inspection_location.chk_transformer) = MAX(inspection_location.chk_transformer) = 0</t>
  </si>
  <si>
    <r>
      <rPr>
        <sz val="10"/>
        <color rgb="FF000000"/>
        <rFont val="Arial"/>
      </rPr>
      <t xml:space="preserve">Đang hiển thị - k phải ー 
</t>
    </r>
    <r>
      <rPr>
        <sz val="10"/>
        <color rgb="FFFF0000"/>
        <rFont val="Arial"/>
      </rPr>
      <t>SiDD: BE sửa</t>
    </r>
  </si>
  <si>
    <t>last time
MIN(inspection_location.chk_transformer) = -1</t>
  </si>
  <si>
    <t>last time
MIN(inspection_location.chk_transformer) = 0
MAX(inspection_location.chk_transformer) khác 0</t>
  </si>
  <si>
    <r>
      <rPr>
        <sz val="10"/>
        <color rgb="FF000000"/>
        <rFont val="Arial"/>
      </rPr>
      <t xml:space="preserve">Đang hiển thị - k phải ー 
</t>
    </r>
    <r>
      <rPr>
        <sz val="10"/>
        <color rgb="FFFF0000"/>
        <rFont val="Arial"/>
      </rPr>
      <t>SiDD: BE sửa</t>
    </r>
  </si>
  <si>
    <t>last time
MIN(inspection_location.chk_transformer) = 1</t>
  </si>
  <si>
    <t>last time
MIN(inspection_location.chk_transformer) =2</t>
  </si>
  <si>
    <t>1. Hiển thị label コンデンサ・リアクトル</t>
  </si>
  <si>
    <t>1. Chỉ hiển thị value this time
Data get từ field inspection_location.chk_condenser_reactor</t>
  </si>
  <si>
    <t>this time 
MIN(inspection_location.chk_condenser_reactor) = MAX(inspection_location.chk_condenser_reactor) = 0</t>
  </si>
  <si>
    <r>
      <rPr>
        <sz val="10"/>
        <color rgb="FF000000"/>
        <rFont val="Arial"/>
      </rPr>
      <t xml:space="preserve">Đang hiển thị - k phải ー 
</t>
    </r>
    <r>
      <rPr>
        <sz val="10"/>
        <color rgb="FFFF0000"/>
        <rFont val="Arial"/>
      </rPr>
      <t>SiDD: BE sửa</t>
    </r>
  </si>
  <si>
    <t>this time 
MIN(inspection_location.chk_condenser_reactor) = -1</t>
  </si>
  <si>
    <t>1. Lấy giá trị nhỏ nhất để hiển thị 
MIN(inspection_location.chk_condenser_reactor)
1.1. Hiển thị "✕"</t>
  </si>
  <si>
    <t>this time 
MIN(inspection_location.chk_condenser_reactor) =0
MAX(inspection_location.chk_condenser_reactor) khác 0</t>
  </si>
  <si>
    <t>1. Lấy giá trị nhỏ nhất để hiển thị 
MIN(inspection_location.chk_condenser_reactor)
1.1. Hiển thị   "ー"</t>
  </si>
  <si>
    <r>
      <rPr>
        <sz val="10"/>
        <color rgb="FF000000"/>
        <rFont val="Arial"/>
      </rPr>
      <t xml:space="preserve">Đang hiển thị - k phải ー 
</t>
    </r>
    <r>
      <rPr>
        <sz val="10"/>
        <color rgb="FFFF0000"/>
        <rFont val="Arial"/>
      </rPr>
      <t>SiDD: BE sửa</t>
    </r>
  </si>
  <si>
    <t>this time 
MIN(inspection_location.chk_condenser_reactor) = 1</t>
  </si>
  <si>
    <t>1. Lấy giá trị nhỏ nhất để hiển thị 
MIN(inspection_location.chk_condenser_reactor)
1.1. Hiển thị  "△"</t>
  </si>
  <si>
    <t>this time 
MIN(inspection_location.chk_condenser_reactor) =2</t>
  </si>
  <si>
    <t>1. Lấy giá trị nhỏ nhất để hiển thị 
MIN(inspection_location.chk_condenser_reactor)
1.1. Hiển thị "◯"</t>
  </si>
  <si>
    <t>last time
MIN(inspection_location.chk_condenser_reactor) = MAX(inspection_location.chk_condenser_reactor) = 0</t>
  </si>
  <si>
    <r>
      <rPr>
        <sz val="10"/>
        <color rgb="FF000000"/>
        <rFont val="Arial"/>
      </rPr>
      <t xml:space="preserve">Đang hiển thị - k phải ー 
</t>
    </r>
    <r>
      <rPr>
        <sz val="10"/>
        <color rgb="FFFF0000"/>
        <rFont val="Arial"/>
      </rPr>
      <t>SiDD: BE sửa</t>
    </r>
  </si>
  <si>
    <t>last time
MIN(inspection_location.chk_condenser_reactor) = -1</t>
  </si>
  <si>
    <t>last time
MIN(inspection_location.chk_condenser_reactor) =0
MAX(inspection_location.chk_condenser_reactor) khác 0</t>
  </si>
  <si>
    <r>
      <rPr>
        <sz val="10"/>
        <color rgb="FF000000"/>
        <rFont val="Arial"/>
      </rPr>
      <t xml:space="preserve">Đang hiển thị - k phải ー 
</t>
    </r>
    <r>
      <rPr>
        <sz val="10"/>
        <color rgb="FFFF0000"/>
        <rFont val="Arial"/>
      </rPr>
      <t>SiDD: BE sửa</t>
    </r>
  </si>
  <si>
    <t>last time
MIN(inspection_location.chk_condenser_reactor) = 1</t>
  </si>
  <si>
    <t>last time
MIN(inspection_location.chk_condenser_reactor) =2</t>
  </si>
  <si>
    <t>1. Hiển thị label 保護継電器類</t>
  </si>
  <si>
    <t>1. Chỉ hiển thị value this time
Data get từ field inspection_location.chk_protection_relay</t>
  </si>
  <si>
    <t>this time
MIN(inspection_location.chk_protection_relay) = MAX(inspection_location.chk_protection_relay) = 0</t>
  </si>
  <si>
    <r>
      <rPr>
        <sz val="10"/>
        <color rgb="FF000000"/>
        <rFont val="Arial"/>
      </rPr>
      <t xml:space="preserve">Đang hiển thị - k phải ー 
</t>
    </r>
    <r>
      <rPr>
        <sz val="10"/>
        <color rgb="FFFF0000"/>
        <rFont val="Arial"/>
      </rPr>
      <t>SiDD: BE sửa</t>
    </r>
  </si>
  <si>
    <t>this time
MIN(inspection_location.chk_protection_relay) = -1</t>
  </si>
  <si>
    <t>1. Lấy giá trị nhỏ nhất để hiển thị 
MIN(inspection_location.chk_protection_relay)
1.1. Hiển thị "✕"</t>
  </si>
  <si>
    <t>this time
MIN(inspection_location.chk_protection_relay) =0
MAX(inspection_location.chk_protection_relay) khác 0</t>
  </si>
  <si>
    <t>1. Lấy giá trị nhỏ nhất để hiển thị 
MIN(inspection_location.chk_protection_relay)
1.1. Hiển thị   "ー"</t>
  </si>
  <si>
    <r>
      <rPr>
        <sz val="10"/>
        <color rgb="FF000000"/>
        <rFont val="Arial"/>
      </rPr>
      <t xml:space="preserve">Đang hiển thị - k phải ー 
</t>
    </r>
    <r>
      <rPr>
        <sz val="10"/>
        <color rgb="FFFF0000"/>
        <rFont val="Arial"/>
      </rPr>
      <t>SiDD: BE sửa</t>
    </r>
  </si>
  <si>
    <t>this time
MIN(inspection_location.chk_protection_relay) = 1</t>
  </si>
  <si>
    <t>1. Lấy giá trị nhỏ nhất để hiển thị 
MIN(inspection_location.chk_protection_relay)
1.1. Hiển thị  "△"</t>
  </si>
  <si>
    <t>this time
MIN(inspection_location.chk_protection_relay) = 2</t>
  </si>
  <si>
    <t>1. Lấy giá trị nhỏ nhất để hiển thị 
MIN(inspection_location.chk_protection_relay)
1.1. Hiển thị "◯"</t>
  </si>
  <si>
    <t>last time
MIN(inspection_location.chk_protection_relay) = MAX(inspection_location.chk_protection_relay) = 0</t>
  </si>
  <si>
    <r>
      <rPr>
        <sz val="10"/>
        <color rgb="FF000000"/>
        <rFont val="Arial"/>
      </rPr>
      <t xml:space="preserve">Đang hiển thị - k phải ー 
</t>
    </r>
    <r>
      <rPr>
        <sz val="10"/>
        <color rgb="FFFF0000"/>
        <rFont val="Arial"/>
      </rPr>
      <t>SiDD: BE sửa</t>
    </r>
  </si>
  <si>
    <t>last time
MIN(inspection_location.chk_protection_relay) = -1</t>
  </si>
  <si>
    <t>last time
MIN(inspection_location.chk_protection_relay) =0
MAX(inspection_location.chk_protection_relay) khác 0</t>
  </si>
  <si>
    <r>
      <rPr>
        <sz val="10"/>
        <color rgb="FF000000"/>
        <rFont val="Arial"/>
      </rPr>
      <t xml:space="preserve">Đang hiển thị - k phải ー 
</t>
    </r>
    <r>
      <rPr>
        <sz val="10"/>
        <color rgb="FFFF0000"/>
        <rFont val="Arial"/>
      </rPr>
      <t>SiDD: BE sửa</t>
    </r>
  </si>
  <si>
    <t>last time
MIN(inspection_location.chk_protection_relay) = 1</t>
  </si>
  <si>
    <t>last time
MIN(inspection_location.chk_protection_relay) = 2</t>
  </si>
  <si>
    <t>1. Hiển thị label 接地状況</t>
  </si>
  <si>
    <t>1. Chỉ hiển thị value this time
Data get từ field inspection_location.chk_grounding_status</t>
  </si>
  <si>
    <t>this time
MIN(inspection_location.chk_grounding_status) = MAX(inspection_location.chk_grounding_status) = 0</t>
  </si>
  <si>
    <r>
      <rPr>
        <sz val="10"/>
        <color rgb="FF000000"/>
        <rFont val="Arial"/>
      </rPr>
      <t xml:space="preserve">Đang hiển thị - k phải ー 
</t>
    </r>
    <r>
      <rPr>
        <sz val="10"/>
        <color rgb="FFFF0000"/>
        <rFont val="Arial"/>
      </rPr>
      <t>SiDD: BE sửa</t>
    </r>
  </si>
  <si>
    <t>this time
MIN(inspection_location.chk_grounding_status) =-1</t>
  </si>
  <si>
    <t>1. Lấy giá trị nhỏ nhất để hiển thị 
MIN(inspection_location.chk_grounding_status)
1.1. Hiển thị "✕"</t>
  </si>
  <si>
    <t>this time
MIN(inspection_location.chk_grounding_status) =0 MAX(inspection_location.chk_grounding_status) khác 0</t>
  </si>
  <si>
    <t>1. Lấy giá trị nhỏ nhất để hiển thị 
MIN(inspection_location.chk_grounding_status)
1.1. Hiển thị   "ー"</t>
  </si>
  <si>
    <r>
      <rPr>
        <sz val="10"/>
        <color rgb="FF000000"/>
        <rFont val="Arial"/>
      </rPr>
      <t xml:space="preserve">Đang hiển thị - k phải ー 
</t>
    </r>
    <r>
      <rPr>
        <sz val="10"/>
        <color rgb="FFFF0000"/>
        <rFont val="Arial"/>
      </rPr>
      <t>SiDD: BE sửa</t>
    </r>
  </si>
  <si>
    <t>this time
MIN(inspection_location.chk_grounding_status) = 1</t>
  </si>
  <si>
    <t>1. Lấy giá trị nhỏ nhất để hiển thị 
MIN(inspection_location.chk_grounding_status)
1.1. Hiển thị  "△"</t>
  </si>
  <si>
    <t>this time
MIN(inspection_location.chk_grounding_status) =2</t>
  </si>
  <si>
    <t>1. Lấy giá trị nhỏ nhất để hiển thị 
MIN(inspection_location.chk_grounding_status)
1.1. Hiển thị "◯"</t>
  </si>
  <si>
    <t>last time
MIN(inspection_location.chk_grounding_status) = MAX(inspection_location.chk_grounding_status) = 0</t>
  </si>
  <si>
    <r>
      <rPr>
        <sz val="10"/>
        <color rgb="FF000000"/>
        <rFont val="Arial"/>
      </rPr>
      <t xml:space="preserve">Đang hiển thị - k phải ー 
</t>
    </r>
    <r>
      <rPr>
        <sz val="10"/>
        <color rgb="FFFF0000"/>
        <rFont val="Arial"/>
      </rPr>
      <t>SiDD: BE sửa</t>
    </r>
  </si>
  <si>
    <t>last time
MIN(inspection_location.chk_grounding_status) =-1</t>
  </si>
  <si>
    <t>last time
MIN(inspection_location.chk_grounding_status) =0 MAX(inspection_location.chk_grounding_status) khác 0</t>
  </si>
  <si>
    <r>
      <rPr>
        <sz val="10"/>
        <color rgb="FF000000"/>
        <rFont val="Arial"/>
      </rPr>
      <t xml:space="preserve">Đang hiển thị - k phải ー 
</t>
    </r>
    <r>
      <rPr>
        <sz val="10"/>
        <color rgb="FFFF0000"/>
        <rFont val="Arial"/>
      </rPr>
      <t>SiDD: BE sửa</t>
    </r>
  </si>
  <si>
    <t>last time
MIN(inspection_location.chk_grounding_status) = 1</t>
  </si>
  <si>
    <t>last time
MIN(inspection_location.chk_grounding_status) =2</t>
  </si>
  <si>
    <t>1. Hiển thị label 配電盤</t>
  </si>
  <si>
    <t>1. Chỉ hiển thị value this time
Data get từ field inspection_location.chk_distribution_panel</t>
  </si>
  <si>
    <t>this time 
MIN(inspection_location.chk_distribution_panel) = MAX(inspection_location.chk_distribution_panel) = 0</t>
  </si>
  <si>
    <r>
      <rPr>
        <sz val="10"/>
        <color rgb="FF000000"/>
        <rFont val="Arial"/>
      </rPr>
      <t xml:space="preserve">Đang hiển thị - k phải ー 
</t>
    </r>
    <r>
      <rPr>
        <sz val="10"/>
        <color rgb="FFFF0000"/>
        <rFont val="Arial"/>
      </rPr>
      <t>SiDD: BE sửa</t>
    </r>
  </si>
  <si>
    <t>this time 
MIN(inspection_location.chk_distribution_panel) = -1</t>
  </si>
  <si>
    <t>1. Lấy giá trị nhỏ nhất để hiển thị 
MIN(inspection_location.chk_distribution_panel)
1.1. Hiển thị "✕"</t>
  </si>
  <si>
    <t>this time 
MIN(inspection_location.chk_distribution_panel) = 0
MAX(inspection_location.chk_distribution_panel) khác 0</t>
  </si>
  <si>
    <t>1. Lấy giá trị nhỏ nhất để hiển thị 
MIN(inspection_location.chk_distribution_panel)
1.1. Hiển thị   "ー"</t>
  </si>
  <si>
    <r>
      <rPr>
        <sz val="10"/>
        <color rgb="FF000000"/>
        <rFont val="Arial"/>
      </rPr>
      <t xml:space="preserve">Đang hiển thị - k phải ー 
</t>
    </r>
    <r>
      <rPr>
        <sz val="10"/>
        <color rgb="FFFF0000"/>
        <rFont val="Arial"/>
      </rPr>
      <t>SiDD: BE sửa</t>
    </r>
  </si>
  <si>
    <t>this time 
MIN(inspection_location.chk_distribution_panel) = 1</t>
  </si>
  <si>
    <t>1. Lấy giá trị nhỏ nhất để hiển thị 
MIN(inspection_location.chk_distribution_panel)
1.1. Hiển thị  "△"</t>
  </si>
  <si>
    <t>this time 
MIN(inspection_location.chk_distribution_panel) = 2</t>
  </si>
  <si>
    <t>1. Lấy giá trị nhỏ nhất để hiển thị 
MIN(inspection_location.chk_distribution_panel)
1.1. Hiển thị "◯"</t>
  </si>
  <si>
    <t>last time 
MIN(inspection_location.chk_distribution_panel) = MAX(inspection_location.chk_distribution_panel) = 0</t>
  </si>
  <si>
    <r>
      <rPr>
        <sz val="10"/>
        <color rgb="FF000000"/>
        <rFont val="Arial"/>
      </rPr>
      <t xml:space="preserve">Đang hiển thị - k phải ー 
</t>
    </r>
    <r>
      <rPr>
        <sz val="10"/>
        <color rgb="FFFF0000"/>
        <rFont val="Arial"/>
      </rPr>
      <t>SiDD: BE sửa</t>
    </r>
  </si>
  <si>
    <t>last time MIN(inspection_location.chk_distribution_panel) = -1</t>
  </si>
  <si>
    <t>last time 
MIN(inspection_location.chk_distribution_panel) = 0
MAX(inspection_location.chk_distribution_panel) khác 0</t>
  </si>
  <si>
    <r>
      <rPr>
        <sz val="10"/>
        <color rgb="FF000000"/>
        <rFont val="Arial"/>
      </rPr>
      <t xml:space="preserve">Đang hiển thị - k phải ー 
</t>
    </r>
    <r>
      <rPr>
        <sz val="10"/>
        <color rgb="FFFF0000"/>
        <rFont val="Arial"/>
      </rPr>
      <t>SiDD: BE sửa</t>
    </r>
  </si>
  <si>
    <t>last time 
MIN(inspection_location.chk_distribution_panel) = 1</t>
  </si>
  <si>
    <t>last time 
MIN(inspection_location.chk_distribution_panel) = 2</t>
  </si>
  <si>
    <t>1. Hiển thị label 発電設備・蓄電設備</t>
  </si>
  <si>
    <t>1. Chỉ hiển thị value this time
Data get từ field inspection_location.chk_power_generation_storage</t>
  </si>
  <si>
    <t>this time
MIN(inspection_location.chk_power_generation_storage) = MAX(inspection_location.chk_power_generation_storage) = 0</t>
  </si>
  <si>
    <r>
      <rPr>
        <sz val="10"/>
        <color rgb="FF000000"/>
        <rFont val="Arial"/>
      </rPr>
      <t xml:space="preserve">Đang hiển thị - k phải ー 
</t>
    </r>
    <r>
      <rPr>
        <sz val="10"/>
        <color rgb="FFFF0000"/>
        <rFont val="Arial"/>
      </rPr>
      <t>SiDD: BE sửa</t>
    </r>
  </si>
  <si>
    <t>this time
MIN(inspection_location.chk_power_generation_storage) = -1</t>
  </si>
  <si>
    <t>1. Lấy giá trị nhỏ nhất để hiển thị 
MIN(inspection_location.chk_power_generation_storage)
1.1. Hiển thị "✕"</t>
  </si>
  <si>
    <t>this time
MIN(inspection_location.chk_power_generation_storage) = 0
MAX(inspection_location.chk_power_generation_storage) khác 0</t>
  </si>
  <si>
    <t>1. Lấy giá trị nhỏ nhất để hiển thị 
MIN(inspection_location.chk_power_generation_storage)
1.1. Hiển thị   "ー"</t>
  </si>
  <si>
    <r>
      <rPr>
        <sz val="10"/>
        <color rgb="FF000000"/>
        <rFont val="Arial"/>
      </rPr>
      <t xml:space="preserve">Đang hiển thị - k phải ー 
</t>
    </r>
    <r>
      <rPr>
        <sz val="10"/>
        <color rgb="FFFF0000"/>
        <rFont val="Arial"/>
      </rPr>
      <t>SiDD: BE sửa</t>
    </r>
  </si>
  <si>
    <t>this time
MIN(inspection_location.chk_power_generation_storage) = 1</t>
  </si>
  <si>
    <t>1. Lấy giá trị nhỏ nhất để hiển thị 
MIN(inspection_location.chk_power_generation_storage)
1.1. Hiển thị  "△"</t>
  </si>
  <si>
    <t>this time
MIN(inspection_location.chk_power_generation_storage) = 2</t>
  </si>
  <si>
    <t>1. Lấy giá trị nhỏ nhất để hiển thị 
MIN(inspection_location.chk_power_generation_storage)
1.1. Hiển thị "◯"</t>
  </si>
  <si>
    <t>last time
MIN(inspection_location.chk_power_generation_storage) = MAX(inspection_location.chk_power_generation_storage) = 0</t>
  </si>
  <si>
    <r>
      <rPr>
        <sz val="10"/>
        <color rgb="FF000000"/>
        <rFont val="Arial"/>
      </rPr>
      <t xml:space="preserve">Đang hiển thị - k phải ー 
</t>
    </r>
    <r>
      <rPr>
        <sz val="10"/>
        <color rgb="FFFF0000"/>
        <rFont val="Arial"/>
      </rPr>
      <t>SiDD: BE sửa</t>
    </r>
  </si>
  <si>
    <t>last time
MIN(inspection_location.chk_power_generation_storage) = -1</t>
  </si>
  <si>
    <t>last time
MIN(inspection_location.chk_power_generation_storage) = 0
MAX(inspection_location.chk_power_generation_storage) khác 0</t>
  </si>
  <si>
    <r>
      <rPr>
        <sz val="10"/>
        <color rgb="FF000000"/>
        <rFont val="Arial"/>
      </rPr>
      <t xml:space="preserve">Đang hiển thị - k phải ー 
</t>
    </r>
    <r>
      <rPr>
        <sz val="10"/>
        <color rgb="FFFF0000"/>
        <rFont val="Arial"/>
      </rPr>
      <t>SiDD: BE sửa</t>
    </r>
  </si>
  <si>
    <t>last time
MIN(inspection_location.chk_power_generation_storage) = 1</t>
  </si>
  <si>
    <t>last time
MIN(inspection_location.chk_power_generation_storage) = 2</t>
  </si>
  <si>
    <t>1. Hiển thị label 電気室・キュービクル</t>
  </si>
  <si>
    <t>1. Chỉ hiển thị value this time
Data get từ field inspection_location.chk_electric_room_cubicle</t>
  </si>
  <si>
    <t>this time
MIN(inspection_location.chk_electric_room_cubicle) = MAX(inspection_location.chk_electric_room_cubicle) = 0</t>
  </si>
  <si>
    <r>
      <rPr>
        <sz val="10"/>
        <color rgb="FF000000"/>
        <rFont val="Arial"/>
      </rPr>
      <t xml:space="preserve">Đang hiển thị - k phải ー 
</t>
    </r>
    <r>
      <rPr>
        <sz val="10"/>
        <color rgb="FFFF0000"/>
        <rFont val="Arial"/>
      </rPr>
      <t>SiDD: BE sửa</t>
    </r>
  </si>
  <si>
    <t>this time
MIN(inspection_location.chk_electric_room_cubicle) = -1</t>
  </si>
  <si>
    <t>1. Lấy giá trị nhỏ nhất để hiển thị 
MIN(inspection_location.chk_electric_room_cubicle)
1.1. Hiển thị "✕"</t>
  </si>
  <si>
    <t>this time
MIN(inspection_location.chk_electric_room_cubicle) = 0
MAX(inspection_location.chk_electric_room_cubicle) khác 0</t>
  </si>
  <si>
    <t>1. Lấy giá trị nhỏ nhất để hiển thị 
MIN(inspection_location.chk_electric_room_cubicle)
1.1. Hiển thị   "ー"</t>
  </si>
  <si>
    <r>
      <rPr>
        <sz val="10"/>
        <color rgb="FF000000"/>
        <rFont val="Arial"/>
      </rPr>
      <t xml:space="preserve">Đang hiển thị - k phải ー 
</t>
    </r>
    <r>
      <rPr>
        <sz val="10"/>
        <color rgb="FFFF0000"/>
        <rFont val="Arial"/>
      </rPr>
      <t>SiDD: BE sửa</t>
    </r>
  </si>
  <si>
    <t>this time
MIN(inspection_location.chk_electric_room_cubicle) = 1</t>
  </si>
  <si>
    <t>1. Lấy giá trị nhỏ nhất để hiển thị 
MIN(inspection_location.chk_electric_room_cubicle)
1.1. Hiển thị  "△"</t>
  </si>
  <si>
    <t>this time
MIN(inspection_location.chk_electric_room_cubicle) =2</t>
  </si>
  <si>
    <t>1. Lấy giá trị nhỏ nhất để hiển thị 
MIN(inspection_location.chk_electric_room_cubicle)
1.1. Hiển thị "◯"</t>
  </si>
  <si>
    <t>last time
MIN(inspection_location.chk_electric_room_cubicle) = MAX(inspection_location.chk_electric_room_cubicle) = 0</t>
  </si>
  <si>
    <r>
      <rPr>
        <sz val="10"/>
        <color rgb="FF000000"/>
        <rFont val="Arial"/>
      </rPr>
      <t xml:space="preserve">Đang hiển thị - k phải ー 
</t>
    </r>
    <r>
      <rPr>
        <sz val="10"/>
        <color rgb="FFFF0000"/>
        <rFont val="Arial"/>
      </rPr>
      <t>SiDD: BE sửa</t>
    </r>
  </si>
  <si>
    <t>last time
MIN(inspection_location.chk_electric_room_cubicle) = -1</t>
  </si>
  <si>
    <t>last time
MIN(inspection_location.chk_electric_room_cubicle) = 0
MAX(inspection_location.chk_electric_room_cubicle) khác 0</t>
  </si>
  <si>
    <r>
      <rPr>
        <sz val="10"/>
        <color rgb="FF000000"/>
        <rFont val="Arial"/>
      </rPr>
      <t xml:space="preserve">Đang hiển thị - k phải ー 
</t>
    </r>
    <r>
      <rPr>
        <sz val="10"/>
        <color rgb="FFFF0000"/>
        <rFont val="Arial"/>
      </rPr>
      <t>SiDD: BE sửa</t>
    </r>
  </si>
  <si>
    <t>last time
MIN(inspection_location.chk_electric_room_cubicle) = 1</t>
  </si>
  <si>
    <t>last time
MIN(inspection_location.chk_electric_room_cubicle) =2</t>
  </si>
  <si>
    <t>1. Hiển thị label 消火器</t>
  </si>
  <si>
    <t>1. Chỉ hiển thị value this time
Data get từ field inspection_location.chk_fire_extinguisher</t>
  </si>
  <si>
    <t>this time
MIN(inspection_location.chk_fire_extinguisher) = MAX(inspection_location.chk_fire_extinguisher) = 0</t>
  </si>
  <si>
    <r>
      <rPr>
        <sz val="10"/>
        <color rgb="FF000000"/>
        <rFont val="Arial"/>
      </rPr>
      <t xml:space="preserve">Đang hiển thị - k phải ー 
</t>
    </r>
    <r>
      <rPr>
        <sz val="10"/>
        <color rgb="FFFF0000"/>
        <rFont val="Arial"/>
      </rPr>
      <t>SiDD: BE sửa</t>
    </r>
  </si>
  <si>
    <t>this time
MIN(inspection_location.chk_fire_extinguisher) = -1</t>
  </si>
  <si>
    <t>1. Lấy giá trị nhỏ nhất để hiển thị 
MIN(inspection_location.chk_fire_extinguisher)
1.1. Hiển thị "✕"</t>
  </si>
  <si>
    <t>this time
MIN(inspection_location.chk_fire_extinguisher) =0
MAX(inspection_location.chk_fire_extinguisher) khác 0</t>
  </si>
  <si>
    <t>1. Lấy giá trị nhỏ nhất để hiển thị 
MIN(inspection_location.chk_fire_extinguisher)
1.1. Hiển thị   "ー"</t>
  </si>
  <si>
    <r>
      <rPr>
        <sz val="10"/>
        <color rgb="FF000000"/>
        <rFont val="Arial"/>
      </rPr>
      <t xml:space="preserve">Đang hiển thị - k phải ー 
</t>
    </r>
    <r>
      <rPr>
        <sz val="10"/>
        <color rgb="FFFF0000"/>
        <rFont val="Arial"/>
      </rPr>
      <t>SiDD: BE sửa</t>
    </r>
  </si>
  <si>
    <t>this time
MIN(inspection_location.chk_fire_extinguisher) =1</t>
  </si>
  <si>
    <t>1. Lấy giá trị nhỏ nhất để hiển thị 
MIN(inspection_location.chk_fire_extinguisher)
1.1. Hiển thị  "△"</t>
  </si>
  <si>
    <t>this time
MIN(inspection_location.chk_fire_extinguisher) = 2</t>
  </si>
  <si>
    <t>1. Lấy giá trị nhỏ nhất để hiển thị 
MIN(inspection_location.chk_fire_extinguisher)
1.1. Hiển thị "◯"</t>
  </si>
  <si>
    <t>last time
MIN(inspection_location.chk_fire_extinguisher) = MAX(inspection_location.chk_fire_extinguisher) = 0</t>
  </si>
  <si>
    <r>
      <rPr>
        <sz val="10"/>
        <color rgb="FF000000"/>
        <rFont val="Arial"/>
      </rPr>
      <t xml:space="preserve">Đang hiển thị - k phải ー 
</t>
    </r>
    <r>
      <rPr>
        <sz val="10"/>
        <color rgb="FFFF0000"/>
        <rFont val="Arial"/>
      </rPr>
      <t>SiDD: BE sửa</t>
    </r>
  </si>
  <si>
    <t>last time
MIN(inspection_location.chk_fire_extinguisher) = -1</t>
  </si>
  <si>
    <t>last time
MIN(inspection_location.chk_fire_extinguisher) =0
MAX(inspection_location.chk_fire_extinguisher) khác 0</t>
  </si>
  <si>
    <r>
      <rPr>
        <sz val="10"/>
        <color rgb="FF000000"/>
        <rFont val="Arial"/>
      </rPr>
      <t xml:space="preserve">Đang hiển thị - k phải ー 
</t>
    </r>
    <r>
      <rPr>
        <sz val="10"/>
        <color rgb="FFFF0000"/>
        <rFont val="Arial"/>
      </rPr>
      <t>SiDD: BE sửa</t>
    </r>
  </si>
  <si>
    <t>last time
MIN(inspection_location.chk_fire_extinguisher) =1</t>
  </si>
  <si>
    <t>last time
MIN(inspection_location.chk_fire_extinguisher) = 2</t>
  </si>
  <si>
    <t>1. Chỉ hiển thị value this time
Data get từ field inspection_location.chk_insulation_monitoring_device</t>
  </si>
  <si>
    <t>this time
MIN(inspection_location.chk_insulation_monitoring_device) = MAX(inspection_location.chk_insulation_monitoring_device) = 0</t>
  </si>
  <si>
    <r>
      <rPr>
        <sz val="10"/>
        <color rgb="FF000000"/>
        <rFont val="Arial"/>
      </rPr>
      <t xml:space="preserve">Đang hiển thị - k phải ー 
</t>
    </r>
    <r>
      <rPr>
        <sz val="10"/>
        <color rgb="FFFF0000"/>
        <rFont val="Arial"/>
      </rPr>
      <t>SiDD: BE sửa</t>
    </r>
  </si>
  <si>
    <t>this time
MIN(inspection_location.chk_insulation_monitoring_device) =-1</t>
  </si>
  <si>
    <t>1. Lấy giá trị nhỏ nhất để hiển thị 
MIN(inspection_location.chk_insulation_monitoring_device)
1.1. Hiển thị "✕"</t>
  </si>
  <si>
    <t>this time
MIN(inspection_location.chk_insulation_monitoring_device) = 0
MAX(inspection_location.chk_insulation_monitoring_device) khác 0</t>
  </si>
  <si>
    <t>1. Lấy giá trị nhỏ nhất để hiển thị 
MIN(inspection_location.chk_insulation_monitoring_device)
1.1. Hiển thị   "ー"</t>
  </si>
  <si>
    <r>
      <rPr>
        <sz val="10"/>
        <color rgb="FF000000"/>
        <rFont val="Arial"/>
      </rPr>
      <t xml:space="preserve">Đang hiển thị - k phải ー 
</t>
    </r>
    <r>
      <rPr>
        <sz val="10"/>
        <color rgb="FFFF0000"/>
        <rFont val="Arial"/>
      </rPr>
      <t>SiDD: BE sửa</t>
    </r>
  </si>
  <si>
    <t>this time
MIN(inspection_location.chk_insulation_monitoring_device) = 1</t>
  </si>
  <si>
    <t>1. Lấy giá trị nhỏ nhất để hiển thị 
MIN(inspection_location.chk_insulation_monitoring_device)
1.1. Hiển thị  "△"</t>
  </si>
  <si>
    <t>this time
MIN(inspection_location.chk_insulation_monitoring_device) = 2</t>
  </si>
  <si>
    <t>1. Lấy giá trị nhỏ nhất để hiển thị 
MIN(inspection_location.chk_insulation_monitoring_device)
1.1. Hiển thị "◯"</t>
  </si>
  <si>
    <t>last time
MIN(inspection_location.chk_insulation_monitoring_device) = MAX(inspection_location.chk_insulation_monitoring_device) = 0</t>
  </si>
  <si>
    <r>
      <rPr>
        <sz val="10"/>
        <color rgb="FF000000"/>
        <rFont val="Arial"/>
      </rPr>
      <t xml:space="preserve">Đang hiển thị - k phải ー 
</t>
    </r>
    <r>
      <rPr>
        <sz val="10"/>
        <color rgb="FFFF0000"/>
        <rFont val="Arial"/>
      </rPr>
      <t>SiDD: BE sửa</t>
    </r>
  </si>
  <si>
    <t>last time
MIN(inspection_location.chk_insulation_monitoring_device) =-1</t>
  </si>
  <si>
    <t>last time
MIN(inspection_location.chk_insulation_monitoring_device) = 0
MAX(inspection_location.chk_insulation_monitoring_device) khác 0</t>
  </si>
  <si>
    <r>
      <rPr>
        <sz val="10"/>
        <color rgb="FF000000"/>
        <rFont val="Arial"/>
      </rPr>
      <t xml:space="preserve">Đang hiển thị - k phải ー 
</t>
    </r>
    <r>
      <rPr>
        <sz val="10"/>
        <color rgb="FFFF0000"/>
        <rFont val="Arial"/>
      </rPr>
      <t>SiDD: BE sửa</t>
    </r>
  </si>
  <si>
    <t>last time
MIN(inspection_location.chk_insulation_monitoring_device) = 1</t>
  </si>
  <si>
    <t>last time
MIN(inspection_location.chk_insulation_monitoring_device) = 2</t>
  </si>
  <si>
    <t>1. Hiển thị label PCB機器 使用状況</t>
  </si>
  <si>
    <t>1. Chỉ hiển thị value this time
Data get từ field inspection_location.chk_pcb_equipment_status</t>
  </si>
  <si>
    <t>this time
MIN(inspection_location.chk_pcb_equipment_status) = MAX(inspection_location.chk_pcb_equipment_status) = 0</t>
  </si>
  <si>
    <r>
      <rPr>
        <sz val="10"/>
        <color rgb="FF000000"/>
        <rFont val="Arial"/>
      </rPr>
      <t xml:space="preserve">Đang hiển thị - k phải ー 
</t>
    </r>
    <r>
      <rPr>
        <sz val="10"/>
        <color rgb="FFFF0000"/>
        <rFont val="Arial"/>
      </rPr>
      <t>SiDD: BE sửa</t>
    </r>
  </si>
  <si>
    <t>this time
MIN(inspection_location.chk_pcb_equipment_status) = -1</t>
  </si>
  <si>
    <t>1. Lấy giá trị nhỏ nhất để hiển thị 
MIN(inspection_location.chk_pcb_equipment_status)
1.1. Hiển thị "✕"</t>
  </si>
  <si>
    <t>this time
MIN(inspection_location.chk_pcb_equipment_status) = 0
MAX(inspection_location.chk_pcb_equipment_status) khác 0</t>
  </si>
  <si>
    <t>1. Lấy giá trị nhỏ nhất để hiển thị 
MIN(inspection_location.chk_pcb_equipment_status)
1.1. Hiển thị   "ー"</t>
  </si>
  <si>
    <r>
      <rPr>
        <sz val="10"/>
        <color rgb="FF000000"/>
        <rFont val="Arial"/>
      </rPr>
      <t xml:space="preserve">Đang hiển thị - k phải ー 
</t>
    </r>
    <r>
      <rPr>
        <sz val="10"/>
        <color rgb="FFFF0000"/>
        <rFont val="Arial"/>
      </rPr>
      <t>SiDD: BE sửa</t>
    </r>
  </si>
  <si>
    <t>this time
MIN(inspection_location.chk_pcb_equipment_status) =1</t>
  </si>
  <si>
    <t>1. Lấy giá trị nhỏ nhất để hiển thị 
MIN(inspection_location.chk_pcb_equipment_status)
1.1. Hiển thị  "△"</t>
  </si>
  <si>
    <t>this time
MIN(inspection_location.chk_pcb_equipment_status) = 2</t>
  </si>
  <si>
    <t>1. Lấy giá trị nhỏ nhất để hiển thị 
MIN(inspection_location.chk_pcb_equipment_status)
1.1. Hiển thị "◯"</t>
  </si>
  <si>
    <t>last time
MIN(inspection_location.chk_pcb_equipment_status) = MAX(inspection_location.chk_pcb_equipment_status) = 0</t>
  </si>
  <si>
    <r>
      <rPr>
        <sz val="10"/>
        <color rgb="FF000000"/>
        <rFont val="Arial"/>
      </rPr>
      <t xml:space="preserve">Đang hiển thị - k phải ー 
</t>
    </r>
    <r>
      <rPr>
        <sz val="10"/>
        <color rgb="FFFF0000"/>
        <rFont val="Arial"/>
      </rPr>
      <t>SiDD: BE sửa</t>
    </r>
  </si>
  <si>
    <t>last time
MIN(inspection_location.chk_pcb_equipment_status) = -1</t>
  </si>
  <si>
    <t>last time
MIN(inspection_location.chk_pcb_equipment_status) = 0
MAX(inspection_location.chk_pcb_equipment_status) khác 0</t>
  </si>
  <si>
    <r>
      <rPr>
        <sz val="10"/>
        <color rgb="FF000000"/>
        <rFont val="Arial"/>
      </rPr>
      <t xml:space="preserve">Đang hiển thị - k phải ー 
</t>
    </r>
    <r>
      <rPr>
        <sz val="10"/>
        <color rgb="FFFF0000"/>
        <rFont val="Arial"/>
      </rPr>
      <t>SiDD: BE sửa</t>
    </r>
  </si>
  <si>
    <t>last time
MIN(inspection_location.chk_pcb_equipment_status) =1</t>
  </si>
  <si>
    <t>last time
MIN(inspection_location.chk_pcb_equipment_status) = 2</t>
  </si>
  <si>
    <t>1. Hiển thị label 分電盤・低圧開閉器・遮断器等</t>
  </si>
  <si>
    <t>1. Chỉ hiển thị value this time
Data get từ field inspection_location.chk_sub_distribution_low_voltage</t>
  </si>
  <si>
    <t>this time
MIN(inspection_location.chk_sub_distribution_low_voltage) = MAX(inspection_location.chk_sub_distribution_low_voltage) = 0</t>
  </si>
  <si>
    <r>
      <rPr>
        <sz val="10"/>
        <color rgb="FF000000"/>
        <rFont val="Arial"/>
      </rPr>
      <t xml:space="preserve">Đang hiển thị - k phải ー 
</t>
    </r>
    <r>
      <rPr>
        <sz val="10"/>
        <color rgb="FFFF0000"/>
        <rFont val="Arial"/>
      </rPr>
      <t>SiDD: BE sửa</t>
    </r>
  </si>
  <si>
    <t>this time
MIN(inspection_location.chk_sub_distribution_low_voltage) = -1</t>
  </si>
  <si>
    <t>1. Lấy giá trị nhỏ nhất để hiển thị 
MIN(inspection_location.chk_sub_distribution_low_voltage)
1.1. Hiển thị "✕"</t>
  </si>
  <si>
    <t>this time
MIN(inspection_location.chk_sub_distribution_low_voltage) = 0
MAX(inspection_location.chk_sub_distribution_low_voltage) khác 0</t>
  </si>
  <si>
    <t>1. Lấy giá trị nhỏ nhất để hiển thị 
MIN(inspection_location.chk_sub_distribution_low_voltage)
1.1. Hiển thị   "ー"</t>
  </si>
  <si>
    <r>
      <rPr>
        <sz val="10"/>
        <color rgb="FF000000"/>
        <rFont val="Arial"/>
      </rPr>
      <t xml:space="preserve">Đang hiển thị - k phải ー 
</t>
    </r>
    <r>
      <rPr>
        <sz val="10"/>
        <color rgb="FFFF0000"/>
        <rFont val="Arial"/>
      </rPr>
      <t>SiDD: BE sửa</t>
    </r>
  </si>
  <si>
    <t>this time
MIN(inspection_location.chk_sub_distribution_low_voltage) = 1</t>
  </si>
  <si>
    <t>1. Lấy giá trị nhỏ nhất để hiển thị 
MIN(inspection_location.chk_sub_distribution_low_voltage)
1.1. Hiển thị  "△"</t>
  </si>
  <si>
    <t>this time
MIN(inspection_location.chk_sub_distribution_low_voltage) = 2</t>
  </si>
  <si>
    <t>1. Lấy giá trị nhỏ nhất để hiển thị 
MIN(inspection_location.chk_sub_distribution_low_voltage)
1.1. Hiển thị "◯"</t>
  </si>
  <si>
    <t>last time
MIN(inspection_location.chk_sub_distribution_low_voltage) = MAX(inspection_location.chk_sub_distribution_low_voltage) = 0</t>
  </si>
  <si>
    <r>
      <rPr>
        <sz val="10"/>
        <color rgb="FF000000"/>
        <rFont val="Arial"/>
      </rPr>
      <t xml:space="preserve">Đang hiển thị - k phải ー 
</t>
    </r>
    <r>
      <rPr>
        <sz val="10"/>
        <color rgb="FFFF0000"/>
        <rFont val="Arial"/>
      </rPr>
      <t>SiDD: BE sửa</t>
    </r>
  </si>
  <si>
    <t>last time
MIN(inspection_location.chk_sub_distribution_low_voltage) = -1</t>
  </si>
  <si>
    <t>last time
MIN(inspection_location.chk_sub_distribution_low_voltage) = 0
MAX(inspection_location.chk_sub_distribution_low_voltage) khác 0</t>
  </si>
  <si>
    <r>
      <rPr>
        <sz val="10"/>
        <color rgb="FF000000"/>
        <rFont val="Arial"/>
      </rPr>
      <t xml:space="preserve">Đang hiển thị - k phải ー 
</t>
    </r>
    <r>
      <rPr>
        <sz val="10"/>
        <color rgb="FFFF0000"/>
        <rFont val="Arial"/>
      </rPr>
      <t>SiDD: BE sửa</t>
    </r>
  </si>
  <si>
    <t>last time
MIN(inspection_location.chk_sub_distribution_low_voltage) = 1</t>
  </si>
  <si>
    <t>last time
MIN(inspection_location.chk_sub_distribution_low_voltage) = 2</t>
  </si>
  <si>
    <t>1. Hiển thị label 負荷設備</t>
  </si>
  <si>
    <t>1. Chỉ hiển thị value this time
Data get từ field inspection_location.chk_load_equipment</t>
  </si>
  <si>
    <t>this time
MIN(inspection_location.chk_load_equipment) = MAX(inspection_location.chk_load_equipment) = 0</t>
  </si>
  <si>
    <r>
      <rPr>
        <sz val="10"/>
        <color rgb="FF000000"/>
        <rFont val="Arial"/>
      </rPr>
      <t xml:space="preserve">Đang hiển thị - k phải ー 
</t>
    </r>
    <r>
      <rPr>
        <sz val="10"/>
        <color rgb="FFFF0000"/>
        <rFont val="Arial"/>
      </rPr>
      <t>SiDD: BE sửa</t>
    </r>
  </si>
  <si>
    <t>this time
MIN(inspection_location.chk_load_equipment) = -1</t>
  </si>
  <si>
    <t>1. Lấy giá trị nhỏ nhất để hiển thị 
MIN(inspection_location.chk_load_equipment)
1.1. Hiển thị "✕"</t>
  </si>
  <si>
    <t>this time
MIN(inspection_location.chk_load_equipment) = 0
MAX(inspection_location.chk_load_equipment) khác 0</t>
  </si>
  <si>
    <t>1. Lấy giá trị nhỏ nhất để hiển thị 
MIN(inspection_location.chk_load_equipment)
1.1. Hiển thị   "ー"</t>
  </si>
  <si>
    <r>
      <rPr>
        <sz val="10"/>
        <color rgb="FF000000"/>
        <rFont val="Arial"/>
      </rPr>
      <t xml:space="preserve">Đang hiển thị - k phải ー 
</t>
    </r>
    <r>
      <rPr>
        <sz val="10"/>
        <color rgb="FFFF0000"/>
        <rFont val="Arial"/>
      </rPr>
      <t>SiDD: BE sửa</t>
    </r>
  </si>
  <si>
    <t>this time
MIN(inspection_location.chk_load_equipment) =1</t>
  </si>
  <si>
    <t>1. Lấy giá trị nhỏ nhất để hiển thị 
MIN(inspection_location.chk_load_equipment)
1.1. Hiển thị  "△"</t>
  </si>
  <si>
    <t>this time
MIN(inspection_location.chk_load_equipment) =2</t>
  </si>
  <si>
    <t>1. Lấy giá trị nhỏ nhất để hiển thị 
MIN(inspection_location.chk_load_equipment)
1.1. Hiển thị "◯"</t>
  </si>
  <si>
    <t>last time
MIN(inspection_location.chk_load_equipment) = MAX(inspection_location.chk_load_equipment) = 0</t>
  </si>
  <si>
    <r>
      <rPr>
        <sz val="10"/>
        <color rgb="FF000000"/>
        <rFont val="Arial"/>
      </rPr>
      <t xml:space="preserve">Đang hiển thị - k phải ー 
</t>
    </r>
    <r>
      <rPr>
        <sz val="10"/>
        <color rgb="FFFF0000"/>
        <rFont val="Arial"/>
      </rPr>
      <t>SiDD: BE sửa</t>
    </r>
  </si>
  <si>
    <t>last time
MIN(inspection_location.chk_load_equipment) = -1</t>
  </si>
  <si>
    <t>last time
MIN(inspection_location.chk_load_equipment) = 0
MAX(inspection_location.chk_load_equipment) khác 0</t>
  </si>
  <si>
    <r>
      <rPr>
        <sz val="10"/>
        <color rgb="FF000000"/>
        <rFont val="Arial"/>
      </rPr>
      <t xml:space="preserve">Đang hiển thị - k phải ー 
</t>
    </r>
    <r>
      <rPr>
        <sz val="10"/>
        <color rgb="FFFF0000"/>
        <rFont val="Arial"/>
      </rPr>
      <t>SiDD: BE sửa</t>
    </r>
  </si>
  <si>
    <t>last time
MIN(inspection_location.chk_load_equipment) =1</t>
  </si>
  <si>
    <t>last time
MIN(inspection_location.chk_load_equipment) =2</t>
  </si>
  <si>
    <t>1. Hiển thị label 低圧配線・配線器具</t>
  </si>
  <si>
    <t>1. Chỉ hiển thị value this time
Data get từ field inspection_location.chk_low_voltage_wiring_devices</t>
  </si>
  <si>
    <t>this time
MIN(inspection_location.chk_low_voltage_wiring_devices) = MAX(inspection_location.chk_low_voltage_wiring_devices) = 0</t>
  </si>
  <si>
    <r>
      <rPr>
        <sz val="10"/>
        <color rgb="FF000000"/>
        <rFont val="Arial"/>
      </rPr>
      <t xml:space="preserve">Đang hiển thị - k phải ー 
</t>
    </r>
    <r>
      <rPr>
        <sz val="10"/>
        <color rgb="FFFF0000"/>
        <rFont val="Arial"/>
      </rPr>
      <t>SiDD: BE sửa</t>
    </r>
  </si>
  <si>
    <t>this time
MIN(inspection_location.chk_low_voltage_wiring_devices) = -1</t>
  </si>
  <si>
    <t>1. Lấy giá trị nhỏ nhất để hiển thị 
MIN(inspection_location.chk_low_voltage_wiring_devices)
1.1. Hiển thị "✕"</t>
  </si>
  <si>
    <t>this time
MIN(inspection_location.chk_low_voltage_wiring_devices) = 0
MAX(inspection_location.chk_low_voltage_wiring_devices) khác 0</t>
  </si>
  <si>
    <t>1. Lấy giá trị nhỏ nhất để hiển thị 
MIN(inspection_location.chk_low_voltage_wiring_devices)
1.1. Hiển thị   "ー"</t>
  </si>
  <si>
    <r>
      <rPr>
        <sz val="10"/>
        <color rgb="FF000000"/>
        <rFont val="Arial"/>
      </rPr>
      <t xml:space="preserve">Đang hiển thị - k phải ー 
</t>
    </r>
    <r>
      <rPr>
        <sz val="10"/>
        <color rgb="FFFF0000"/>
        <rFont val="Arial"/>
      </rPr>
      <t>SiDD: BE sửa</t>
    </r>
  </si>
  <si>
    <t>this time
MIN(inspection_location.chk_low_voltage_wiring_devices) = 1</t>
  </si>
  <si>
    <t>1. Lấy giá trị nhỏ nhất để hiển thị 
MIN(inspection_location.chk_low_voltage_wiring_devices)
1.1. Hiển thị  "△"</t>
  </si>
  <si>
    <t>this time
MIN(inspection_location.chk_low_voltage_wiring_devices) = 2</t>
  </si>
  <si>
    <t>1. Lấy giá trị nhỏ nhất để hiển thị 
MIN(inspection_location.chk_low_voltage_wiring_devices)
1.1. Hiển thị "◯"</t>
  </si>
  <si>
    <t>last time
MIN(inspection_location.chk_low_voltage_wiring_devices) = MAX(inspection_location.chk_low_voltage_wiring_devices) = 0</t>
  </si>
  <si>
    <r>
      <rPr>
        <sz val="10"/>
        <color rgb="FF000000"/>
        <rFont val="Arial"/>
      </rPr>
      <t xml:space="preserve">Đang hiển thị - k phải ー 
</t>
    </r>
    <r>
      <rPr>
        <sz val="10"/>
        <color rgb="FFFF0000"/>
        <rFont val="Arial"/>
      </rPr>
      <t>SiDD: BE sửa</t>
    </r>
  </si>
  <si>
    <t>last time
MIN(inspection_location.chk_low_voltage_wiring_devices) = -1</t>
  </si>
  <si>
    <t>last time
MIN(inspection_location.chk_low_voltage_wiring_devices) = 0
MAX(inspection_location.chk_low_voltage_wiring_devices) khác 0</t>
  </si>
  <si>
    <r>
      <rPr>
        <sz val="10"/>
        <color rgb="FF000000"/>
        <rFont val="Arial"/>
      </rPr>
      <t xml:space="preserve">Đang hiển thị - k phải ー 
</t>
    </r>
    <r>
      <rPr>
        <sz val="10"/>
        <color rgb="FFFF0000"/>
        <rFont val="Arial"/>
      </rPr>
      <t>SiDD: BE sửa</t>
    </r>
  </si>
  <si>
    <t>last time
MIN(inspection_location.chk_low_voltage_wiring_devices) = 1</t>
  </si>
  <si>
    <t>last time
MIN(inspection_location.chk_low_voltage_wiring_devices) = 2</t>
  </si>
  <si>
    <t>1. Hiển thị label その他</t>
  </si>
  <si>
    <t>1. Chỉ hiển thị value this time
Data get từ field inspection_location.chk_other</t>
  </si>
  <si>
    <t>this time
MIN(inspection_location.chk_other) = MAX(inspection_location.chk_other) = 0</t>
  </si>
  <si>
    <r>
      <rPr>
        <sz val="10"/>
        <color rgb="FF000000"/>
        <rFont val="Arial"/>
      </rPr>
      <t xml:space="preserve">Đang hiển thị - k phải ー 
</t>
    </r>
    <r>
      <rPr>
        <sz val="10"/>
        <color rgb="FFFF0000"/>
        <rFont val="Arial"/>
      </rPr>
      <t>SiDD: BE sửa</t>
    </r>
  </si>
  <si>
    <t>this time
MIN(inspection_location.chk_other) = -1</t>
  </si>
  <si>
    <t>1. Lấy giá trị nhỏ nhất để hiển thị 
MIN(inspection_location.chk_other)
1.1. Hiển thị "✕"</t>
  </si>
  <si>
    <t>this time
MIN(inspection_location.chk_other) = 0
MAX(inspection_location.chk_other) khác 0</t>
  </si>
  <si>
    <t>1. Lấy giá trị nhỏ nhất để hiển thị 
MIN(inspection_location.chk_other)
1.1. Hiển thị   "ー"</t>
  </si>
  <si>
    <r>
      <rPr>
        <sz val="10"/>
        <color rgb="FF000000"/>
        <rFont val="Arial"/>
      </rPr>
      <t xml:space="preserve">Đang hiển thị - k phải ー 
</t>
    </r>
    <r>
      <rPr>
        <sz val="10"/>
        <color rgb="FFFF0000"/>
        <rFont val="Arial"/>
      </rPr>
      <t>SiDD: BE sửa</t>
    </r>
  </si>
  <si>
    <t>this time
MIN(inspection_location.chk_other) = 1</t>
  </si>
  <si>
    <t>1. Lấy giá trị nhỏ nhất để hiển thị 
MIN(inspection_location.chk_other)
1.1. Hiển thị  "△"</t>
  </si>
  <si>
    <t>this time
MIN(inspection_location.chk_other) = 2</t>
  </si>
  <si>
    <t>1. Lấy giá trị nhỏ nhất để hiển thị 
MIN(inspection_location.chk_other)
1.1. Hiển thị "◯"</t>
  </si>
  <si>
    <t>last time
MIN(inspection_location.chk_other) = MAX(inspection_location.chk_other) = 0</t>
  </si>
  <si>
    <r>
      <rPr>
        <sz val="10"/>
        <color rgb="FF000000"/>
        <rFont val="Arial"/>
      </rPr>
      <t xml:space="preserve">Đang hiển thị - k phải ー 
</t>
    </r>
    <r>
      <rPr>
        <sz val="10"/>
        <color rgb="FFFF0000"/>
        <rFont val="Arial"/>
      </rPr>
      <t>SiDD: BE sửa</t>
    </r>
  </si>
  <si>
    <t>last time
MIN(inspection_location.chk_other) = -1</t>
  </si>
  <si>
    <t>last time
MIN(inspection_location.chk_other) = 0
MAX(inspection_location.chk_other) khác 0</t>
  </si>
  <si>
    <r>
      <rPr>
        <sz val="10"/>
        <color rgb="FF000000"/>
        <rFont val="Arial"/>
      </rPr>
      <t xml:space="preserve">Đang hiển thị - k phải ー 
</t>
    </r>
    <r>
      <rPr>
        <sz val="10"/>
        <color rgb="FFFF0000"/>
        <rFont val="Arial"/>
      </rPr>
      <t>SiDD: BE sửa</t>
    </r>
  </si>
  <si>
    <t>last time
MIN(inspection_location.chk_other) = 1</t>
  </si>
  <si>
    <t>last time
MIN(inspection_location.chk_other) = 2</t>
  </si>
  <si>
    <t>S04_Data_từ các nguồn: table Database, file config</t>
  </si>
  <si>
    <t>1. Hiện thị : 本日の点検の結果、以前からの「指摘事項」を除き、特に異常はありませんでした。</t>
  </si>
  <si>
    <t xml:space="preserve">1. Hiện thị : 本日の点検の結果、電気設備に異常がありました。詳細は別紙の「指摘事項」に記載しております。
</t>
  </si>
  <si>
    <t>S04_Type_image/pic/logo</t>
  </si>
  <si>
    <t xml:space="preserve">1. Check hiển thị label button </t>
  </si>
  <si>
    <t>1. Hiển thị label 点検項目を修正</t>
  </si>
  <si>
    <t>1. Quay lại màn hình MOB-010</t>
  </si>
  <si>
    <t>1. Quay lại màn MOB-012, reload lại page</t>
  </si>
  <si>
    <r>
      <rPr>
        <sz val="10"/>
        <color rgb="FF000000"/>
        <rFont val="Arial"/>
      </rPr>
      <t xml:space="preserve"> Đang vẫn hiển thị bảng
</t>
    </r>
    <r>
      <rPr>
        <sz val="10"/>
        <color rgb="FFFF0000"/>
        <rFont val="Arial"/>
      </rPr>
      <t>SiDD 01/16: fixed</t>
    </r>
  </si>
  <si>
    <t xml:space="preserve">1. Thực hiện load data remark của inspection hiện tại                                                                                                                                                                                                        
 SELECT
    ir.*,
    sl.name,
    e.usage_purpose,
    se.name,
    COALESCE(
        NULLIF(
            JSON_ARRAYAGG(
                CASE
                    WHEN ira.id IS NULL THEN NULL
                    ELSE JSON_OBJECT(
                        'id', ira.id,
                        'file_id', ira.file_id,
                        'uploader_id', ira.uploader_id,
                        'updated_at', ira.updated_at,
                        'created_at', ira.created_at,
                        'file', JSON_OBJECT(
                            'id', f.id,
                            's3_key', f.s3_key,
                            's3_bucket', f.s3_bucket,
                            'created_at', f.created_at
                        )
                    )
                END
            ),
            JSON_ARRAY(NULL)
        ),
        JSON_ARRAY()
    ) AS attachments
FROM rezil_esms_inspection.inspection_remark ir
INNER JOIN rezil_esms.site_location sl
    ON ir.site_location_id = sl.id
LEFT JOIN rezil_esms.equipment e
    ON ir.equipment_id = e.id
LEFT JOIN rezil_esms.safety_equipment se
    ON ir.safety_equipment_id = se.id
-- field mới thêm
LEFT JOIN rezil_esms_inspection.inspection_remark_attachment ira
    ON ira.remark_id = ir.id
LEFT JOIN rezil_esms.file f
    ON f.id = ira.file_id
WHERE ir.inspection_id = &lt;currrent inspection.id&gt;
GROUP BY ir.id
ORDER BY ir.updated_at DESC;
</t>
  </si>
  <si>
    <t>inspection_remark.category= 1</t>
  </si>
  <si>
    <t>1. Hiển thị : 問診</t>
  </si>
  <si>
    <t>inspection_remark.category =2</t>
  </si>
  <si>
    <t>1. Hiển thị : 連絡事項</t>
  </si>
  <si>
    <t>inspection_remark.category =3</t>
  </si>
  <si>
    <t>1. Hiển thị : 重点項目</t>
  </si>
  <si>
    <t>inspection_remark.category =4</t>
  </si>
  <si>
    <t>1. Hiển thị : 保安教育</t>
  </si>
  <si>
    <t>inspection_remark.category =5</t>
  </si>
  <si>
    <t>1. Hiển thị : 点検結果</t>
  </si>
  <si>
    <t>inspection_remark.category =9</t>
  </si>
  <si>
    <t>1. Hiển thị : その他</t>
  </si>
  <si>
    <t xml:space="preserve">1. Hiển thị label 特記事項
Data hiển thị get từ field iinspection_remark.content </t>
  </si>
  <si>
    <t xml:space="preserve">Data dài </t>
  </si>
  <si>
    <t xml:space="preserve">1. Hiển thị toàn bộ nội dung </t>
  </si>
  <si>
    <t xml:space="preserve">Data có xuống dòng </t>
  </si>
  <si>
    <t>1. Hiển thị toàn bộ nội dung có xuống dòng</t>
  </si>
  <si>
    <r>
      <rPr>
        <sz val="10"/>
        <color rgb="FF000000"/>
        <rFont val="Arial"/>
      </rPr>
      <t xml:space="preserve">chưa hiển thị được xuống dòng
</t>
    </r>
    <r>
      <rPr>
        <sz val="10"/>
        <color rgb="FFFF0000"/>
        <rFont val="Arial"/>
      </rPr>
      <t>SiDD 01/16: fixed</t>
    </r>
  </si>
  <si>
    <t>Data chứa nhiều ký tự (chữ , số , full, halfsize, ký tự đặc biệt , html ...</t>
  </si>
  <si>
    <t xml:space="preserve">1. Hiển thị trống </t>
  </si>
  <si>
    <t xml:space="preserve">1. Thực hiện load data issue của inspection hiện tại                                                                                                                                                                                                                                                                       SELECT													
	i.*,												
	ir.*,												
	sl.name,												
	e.usage_purpose,												
	se.name,												
	COALESCE(												
		NULLIF(											
			JSON_ARRAYAGG(										
				CASE									
					WHEN ia.id IS NULL THEN NULL								
					ELSE JSON_OBJECT(								
						id', ia.id,							
						file_id', ia.file_id,							
						uploader_id', ia.uploader_id,							
						updated_at', ia.updated_at,							
						created_at', ia.created_at,							
						file', JSON_OBJECT(							
							id', f.id,						
							s3_key', f.s3_key,						
							s3_bucket', f.s3_bucket,						
							created_at', f.created_at						
						)							
					)								
				END									
			),										
				JSON_ARRAY(NULL)									
			),										
			JSON_ARRAY()										
	) AS attachments												
FROM rezil_esms_inspection.issue i													
INNER JOIN rezil_esms_inspection.issue_revision ir ON ir.id = (													
	SELECT ir2.id												
	FROM rezil_esms_inspection.issue_revision ir2												
	WHERE ir2.issue_id = i.id												
	ORDER BY ir2.created_at DESC												
	LIMIT 1												
)													
INNER JOIN rezil_esms.site_location sl ON ir.site_location_id = sl.id													
LEFT JOIN rezil_esms.equipment e ON ir.equipment_id = e.id													
LEFT JOIN rezil_esms.safety_equipment se ON ir.safety_equipment_id = se.id -- field mới thêm													
LEFT JOIN rezil_esms_inspection.issue_attachment ia ON ia.id IN ir.attachment_ids													
LEFT JOIN rezil_esms.file f ON f.id = ia.file_id													
WHERE													
i.site_id = &lt;current inspection.site_id&gt;													
AND i.state NOT IN (4 - IS_COMPLETION_CONFIRMED, 99-IS_INVALID)													
GROUP BY i.id, ir.id													
ORDER BY i.updated_at DESC;													
                                                                                                                                                                                                                                               </t>
  </si>
  <si>
    <r>
      <rPr>
        <sz val="10"/>
        <color rgb="FF000000"/>
        <rFont val="Arial"/>
      </rPr>
      <t xml:space="preserve">Đang sai data
</t>
    </r>
    <r>
      <rPr>
        <sz val="10"/>
        <color rgb="FFFF0000"/>
        <rFont val="Arial"/>
      </rPr>
      <t>SiDD 01/16: BE check</t>
    </r>
  </si>
  <si>
    <t>1. Hiển thị label 指摘項目</t>
  </si>
  <si>
    <t xml:space="preserve">1. Lấy giá trị lastest_issue_revision.safety_type để hiển thị </t>
  </si>
  <si>
    <r>
      <rPr>
        <sz val="10"/>
        <color rgb="FF000000"/>
        <rFont val="Arial"/>
      </rPr>
      <t xml:space="preserve">Sai data
</t>
    </r>
    <r>
      <rPr>
        <sz val="10"/>
        <color rgb="FFFF0000"/>
        <rFont val="Arial"/>
      </rPr>
      <t>SiDD 01/16: BE sửa</t>
    </r>
  </si>
  <si>
    <t>lastest_issue_revision.safety_type = 1</t>
  </si>
  <si>
    <t>1. Hiển thị : 改修要請</t>
  </si>
  <si>
    <r>
      <rPr>
        <sz val="10"/>
        <color rgb="FF000000"/>
        <rFont val="Arial"/>
      </rPr>
      <t xml:space="preserve">Sai data
</t>
    </r>
    <r>
      <rPr>
        <sz val="10"/>
        <color rgb="FFFF0000"/>
        <rFont val="Arial"/>
      </rPr>
      <t>SiDD 01/16: BE sửa</t>
    </r>
  </si>
  <si>
    <t>lastest_issue_revision.safety_type = 2</t>
  </si>
  <si>
    <t>1. Hiển thị : 推奨事項</t>
  </si>
  <si>
    <r>
      <rPr>
        <sz val="10"/>
        <color rgb="FF000000"/>
        <rFont val="Arial"/>
      </rPr>
      <t xml:space="preserve">Sai data
</t>
    </r>
    <r>
      <rPr>
        <sz val="10"/>
        <color rgb="FFFF0000"/>
        <rFont val="Arial"/>
      </rPr>
      <t>SiDD 01/16: BE sửa</t>
    </r>
  </si>
  <si>
    <t>1. Hiển thị label 使用場所</t>
  </si>
  <si>
    <r>
      <rPr>
        <sz val="11"/>
        <color rgb="FF000000"/>
        <rFont val="Arial"/>
      </rPr>
      <t xml:space="preserve">1. Lấy giá trị  </t>
    </r>
    <r>
      <rPr>
        <sz val="11"/>
        <color rgb="FF000000"/>
        <rFont val="Arial"/>
      </rPr>
      <t>site_location.name</t>
    </r>
    <r>
      <rPr>
        <sz val="11"/>
        <color rgb="FF000000"/>
        <rFont val="Arial"/>
      </rPr>
      <t xml:space="preserve"> để hiển thị </t>
    </r>
  </si>
  <si>
    <r>
      <rPr>
        <sz val="10"/>
        <color rgb="FF000000"/>
        <rFont val="Arial"/>
      </rPr>
      <t xml:space="preserve">Sai data
</t>
    </r>
    <r>
      <rPr>
        <sz val="10"/>
        <color rgb="FFFF0000"/>
        <rFont val="Arial"/>
      </rPr>
      <t>SiDD 01/16: BE sửa</t>
    </r>
  </si>
  <si>
    <r>
      <rPr>
        <sz val="10"/>
        <color rgb="FF000000"/>
        <rFont val="Arial"/>
      </rPr>
      <t xml:space="preserve">Sai data
</t>
    </r>
    <r>
      <rPr>
        <sz val="10"/>
        <color rgb="FFFF0000"/>
        <rFont val="Arial"/>
      </rPr>
      <t>SiDD 01/16: BE sửa</t>
    </r>
  </si>
  <si>
    <t>1. Hiển thị label 指摘内容</t>
  </si>
  <si>
    <t xml:space="preserve">1. Lấy giá trị lastest_issue_revision.content để hiển thị </t>
  </si>
  <si>
    <r>
      <rPr>
        <sz val="10"/>
        <color rgb="FF000000"/>
        <rFont val="Arial"/>
      </rPr>
      <t xml:space="preserve">Sai data
</t>
    </r>
    <r>
      <rPr>
        <sz val="10"/>
        <color rgb="FFFF0000"/>
        <rFont val="Arial"/>
      </rPr>
      <t>SiDD 01/16: BE sửa</t>
    </r>
  </si>
  <si>
    <r>
      <rPr>
        <sz val="10"/>
        <color rgb="FF000000"/>
        <rFont val="Arial"/>
      </rPr>
      <t xml:space="preserve">Đang chưa xuống dòng
</t>
    </r>
    <r>
      <rPr>
        <sz val="10"/>
        <color rgb="FFFF0000"/>
        <rFont val="Arial"/>
      </rPr>
      <t>SiDD 01/16: fixed</t>
    </r>
  </si>
  <si>
    <t>Data chứa nhiều ký tự (chữ , số , full, half, ký tự đặc biệt , html ...</t>
  </si>
  <si>
    <t>1. Hiển thị : 指摘内容</t>
  </si>
  <si>
    <t>1. Hiển thị label 改修区分</t>
  </si>
  <si>
    <t xml:space="preserve">1. Lấy giá trị lastest_issue_revision.repair_priority để hiển thị </t>
  </si>
  <si>
    <r>
      <rPr>
        <sz val="10"/>
        <color rgb="FF000000"/>
        <rFont val="Arial"/>
      </rPr>
      <t xml:space="preserve">Sai data
</t>
    </r>
    <r>
      <rPr>
        <sz val="10"/>
        <color rgb="FFFF0000"/>
        <rFont val="Arial"/>
      </rPr>
      <t>SiDD 01/16: BE sửa</t>
    </r>
  </si>
  <si>
    <t>lastest_issue_revision.repair_priority=1</t>
  </si>
  <si>
    <t>1. Hiển thị : 至急</t>
  </si>
  <si>
    <t>lastest_issue_revision.repair_priority=2</t>
  </si>
  <si>
    <t>1. Hiển thị : 急</t>
  </si>
  <si>
    <t>lastest_issue_revision.repair_priority=3</t>
  </si>
  <si>
    <t>1. Hiển thị : 適時</t>
  </si>
  <si>
    <t>lastest_issue_revision.repair_priority=4</t>
  </si>
  <si>
    <t>1. Hiển thị : 経過観察</t>
  </si>
  <si>
    <t>1. Hiển thị label 初回指摘日</t>
  </si>
  <si>
    <t>1. Lấy giá trị sau để hiển thị :
-lastest_issue_revision.date_detected
-inspection.category
Format YYYY/MM/DD &lt;newline&gt; (&lt;inspection.category&gt;)</t>
  </si>
  <si>
    <r>
      <rPr>
        <sz val="10"/>
        <color rgb="FF000000"/>
        <rFont val="Arial"/>
      </rPr>
      <t xml:space="preserve">Sai data
</t>
    </r>
    <r>
      <rPr>
        <sz val="10"/>
        <color rgb="FFFF0000"/>
        <rFont val="Arial"/>
      </rPr>
      <t>SiDD 01/16: BE sửa</t>
    </r>
  </si>
  <si>
    <t>lnspection.category=1</t>
  </si>
  <si>
    <t xml:space="preserve">1. Kiểm tra category hiển thị 
</t>
  </si>
  <si>
    <t>1. Hiển thị text là 月次点検</t>
  </si>
  <si>
    <t>lnspection.category=2</t>
  </si>
  <si>
    <t>1. Hiển thị text là 年次点検(無停電)</t>
  </si>
  <si>
    <t>lnspection.category=3</t>
  </si>
  <si>
    <t>1. Hiển thị text là 年次点検(停電)</t>
  </si>
  <si>
    <t>lnspection.category=10</t>
  </si>
  <si>
    <t>1. Hiển thị text là 緊急対応</t>
  </si>
  <si>
    <t>lnspection.category=11</t>
  </si>
  <si>
    <t>1. Hiển thị text là 臨時点検</t>
  </si>
  <si>
    <t>lnspection.category=20</t>
  </si>
  <si>
    <t>1. Hiển thị text là 住戸点検</t>
  </si>
  <si>
    <t>lnspection.category=21</t>
  </si>
  <si>
    <t>1. Hiển thị text là 改修後検査</t>
  </si>
  <si>
    <t>lnspection.category=22</t>
  </si>
  <si>
    <t>1. Hiển thị text là 停復電操作</t>
  </si>
  <si>
    <t>lnspection.category=23</t>
  </si>
  <si>
    <t>1. Hiển thị text là 竣工検査</t>
  </si>
  <si>
    <t>lnspection.category=24</t>
  </si>
  <si>
    <t>1. Hiển thị text là 受電・作業立会い</t>
  </si>
  <si>
    <t>lnspection.category=25</t>
  </si>
  <si>
    <t>1. Hiển thị text là 監視装置設置・取り外し</t>
  </si>
  <si>
    <t>lnspection.category=99</t>
  </si>
  <si>
    <t>1. Hiển thị text là その他</t>
  </si>
  <si>
    <t>1. Hiển thị label 改修確認日</t>
  </si>
  <si>
    <t xml:space="preserve">1. Lấy giá trị sau để hiển thị :
lastest_issue_revision.date_repair_confirmed
Format YYYY/MM/DD </t>
  </si>
  <si>
    <r>
      <rPr>
        <sz val="10"/>
        <color rgb="FF000000"/>
        <rFont val="Arial"/>
      </rPr>
      <t xml:space="preserve">Sai data
</t>
    </r>
    <r>
      <rPr>
        <sz val="10"/>
        <color rgb="FFFF0000"/>
        <rFont val="Arial"/>
      </rPr>
      <t>SiDD 01/16: BE check</t>
    </r>
  </si>
  <si>
    <t>https://rezil-electrical.atlassian.net/browse/REZIL-940</t>
  </si>
  <si>
    <t xml:space="preserve">1. Thông tin sẽ bao gồm đánh giá tổng thể chung của toàn bộ record tương ứng trong bảng inspection_equipment_insulation
Data được get từ SQL sau:
SELECT e.usage_purpose,
iei.chk_communication_test, 
iei.chk_alarm_status,                                                                       
sl.name                                                                                                                                                                                                            
FROM inspection_equipment_insulation iei
        INNER JOIN equipment e ON iei.equipment_id = e.id
        INNER JOIN site_location sl ON iei.site_location_id = sl.id       
WHERE 
         iei.inspection_id = :current_inspection.id
Trường hợp không có data, vẫn hiện thị title và table bình thường và có 1 dòng. Tại item đầu tiên hiển thị "該当なし", các tem còn lại để trống.
Khi đó dù có bật mode 2 hay không thì cũng k thay đổi.
                                                                                                                                                                                                                                                               </t>
  </si>
  <si>
    <t xml:space="preserve">1. Kiểm tra value hiển thị 
</t>
  </si>
  <si>
    <r>
      <rPr>
        <sz val="11"/>
        <color theme="1"/>
        <rFont val="Arial"/>
      </rPr>
      <t xml:space="preserve">1. Lấy giá trị </t>
    </r>
    <r>
      <rPr>
        <sz val="11"/>
        <color rgb="FF000000"/>
        <rFont val="Arial"/>
      </rPr>
      <t>site_location.name</t>
    </r>
  </si>
  <si>
    <t>ROC: chờ dev fix</t>
  </si>
  <si>
    <t>TODO Đang confirm</t>
  </si>
  <si>
    <t>1.Lấy giá trị trường sau để hiển thị : inspection_equipment_insulation.chk_communication_test</t>
  </si>
  <si>
    <t>inspection_equipment_insulation.chk_communication_test=null</t>
  </si>
  <si>
    <t>inspection_equipment_insulation.chk_communication_test=-1</t>
  </si>
  <si>
    <t>inspection_equipment_insulation.chk_communication_test=0</t>
  </si>
  <si>
    <t>inspection_equipment_insulation.chk_communication_test=1</t>
  </si>
  <si>
    <t>inspection_equipment_insulation.chk_communication_test=2</t>
  </si>
  <si>
    <t>1.Lấy giá trị trường sau để hiển thị:  inspection_equipment_insulation.chk_alarm_status</t>
  </si>
  <si>
    <t xml:space="preserve"> inspection_equipment_insulation.alarm_status=null</t>
  </si>
  <si>
    <t xml:space="preserve"> inspection_equipment_insulation.alarm_status=-1</t>
  </si>
  <si>
    <t xml:space="preserve"> inspection_equipment_insulation.alarm_status=0</t>
  </si>
  <si>
    <t xml:space="preserve"> inspection_equipment_insulation.alarm_status=1</t>
  </si>
  <si>
    <t xml:space="preserve"> inspection_equipment_insulation.alarm_status=2</t>
  </si>
  <si>
    <r>
      <rPr>
        <sz val="11"/>
        <color theme="1"/>
        <rFont val="Calibri"/>
      </rPr>
      <t xml:space="preserve">Vẫn hiển thị
</t>
    </r>
    <r>
      <rPr>
        <sz val="11"/>
        <color rgb="FFFF0000"/>
        <rFont val="Calibri"/>
      </rPr>
      <t>SiDD 01/16: fixed</t>
    </r>
  </si>
  <si>
    <t>Ở trạng thái confirm</t>
  </si>
  <si>
    <t>Ở trạng thái không phải trạng thái confirm</t>
  </si>
  <si>
    <t>https://rezil-electrical.atlassian.net/browse/REZIL-942</t>
  </si>
  <si>
    <t>Di chuyển đến màn MOB-010 Add remark từ MOB-012</t>
  </si>
  <si>
    <t>2. Quay lại màn hình MOB-012, remark mới tạo được hiển thị trên màn hình</t>
  </si>
  <si>
    <t xml:space="preserve">1. Thực hiện load data remark của inspection hiện tại                                                                                                                                                                                                        
SELECT
        ir.*,
        sl.name,
        e.usage_purpose,
        se.name,
        COALESCE(
                NULLIF(
                        JSON_ARRAYAGG(
                                CASE
                                        WHEN ira.id IS NULL THEN NULL
                                        ELSE JSON_OBJECT(
                                                'id', ira.id,
                                                'file_id', ira.file_id,
                                                'uploader_id', ira.uploader_id,
                                                'updated_at', ira.updated_at,
                                                'created_at', ira.created_at,
                                                'file', JSON_OBJECT(
                                                        'id', f.id,
                                                        's3_key', f.s3_key,
                                                        's3_bucket', f.s3_bucket,
                                                        'created_at', f.created_at
                                                )
                                        )
                        END
                ),
                        JSON_ARRAY(NULL)
                ),
                JSON_ARRAY()
        ) AS attachments
FROM
        rezil_esms_inspection.inspection_remark ir
INNER JOIN rezil_esms.site_location sl 
  ON
        ir.site_location_id = sl.id
LEFT JOIN rezil_esms.equipment e 
  ON
        ir.equipment_id = e.id
LEFT JOIN rezil_esms.safety_equipment se 
  ON
        ir.safety_equipment_id = se.id
        -- field mới thêm
LEFT JOIN rezil_esms_inspection.inspection_remark_attachment ira
  ON
        ira.remark_id = ir.id
LEFT JOIN rezil_esms.file f
  ON
        f.id = ira.file_id
WHERE
        ir.inspection_id = &lt;currrent inspection.id&gt;
GROUP BY
        ir.id
ORDER BY
        ir.updated_at DESC;
                                                                                                                                                                                                                </t>
  </si>
  <si>
    <r>
      <rPr>
        <sz val="11"/>
        <color theme="1"/>
        <rFont val="Calibri"/>
      </rPr>
      <t xml:space="preserve">Đang sort sai
</t>
    </r>
    <r>
      <rPr>
        <sz val="11"/>
        <color rgb="FFFF0000"/>
        <rFont val="Calibri"/>
      </rPr>
      <t>SiDD 01/16: BE check</t>
    </r>
  </si>
  <si>
    <t>1. Hiển thị label カテゴリ 
Data hiển thị get từ field inspection_remark.category</t>
  </si>
  <si>
    <t>inspection_remark.category =1</t>
  </si>
  <si>
    <t>1. Lấy giá trị site_location.name
(FK inspection_remark.site_location_id)</t>
  </si>
  <si>
    <t>1. Hiển thị label 設備/機器名称</t>
  </si>
  <si>
    <t>NgocTTB: ROC chờ dev fix</t>
  </si>
  <si>
    <t>1. Lấy giá trị safety_equipment.name
(FK inspection_remark.safety_equipment_id)</t>
  </si>
  <si>
    <r>
      <rPr>
        <sz val="11"/>
        <rFont val="Calibri"/>
      </rPr>
      <t xml:space="preserve">sai data
</t>
    </r>
    <r>
      <rPr>
        <sz val="11"/>
        <color rgb="FFFF0000"/>
        <rFont val="Calibri"/>
      </rPr>
      <t xml:space="preserve">SiDD 01/16: BE check
</t>
    </r>
    <r>
      <rPr>
        <u/>
        <sz val="11"/>
        <color rgb="FF1155CC"/>
        <rFont val="Calibri"/>
      </rPr>
      <t>https://rezil-electrical.atlassian.net/browse/REZIL-936</t>
    </r>
  </si>
  <si>
    <t>1. Hiển thị : blank</t>
  </si>
  <si>
    <r>
      <rPr>
        <sz val="11"/>
        <color theme="1"/>
        <rFont val="Calibri"/>
      </rPr>
      <t xml:space="preserve">sai data
</t>
    </r>
    <r>
      <rPr>
        <sz val="11"/>
        <color rgb="FFFF0000"/>
        <rFont val="Calibri"/>
      </rPr>
      <t>SiDD 01/16: BE check</t>
    </r>
  </si>
  <si>
    <t>https://rezil-electrical.atlassian.net/browse/REZIL-936</t>
  </si>
  <si>
    <t>1. Hiển thị label 特記事項</t>
  </si>
  <si>
    <t xml:space="preserve">1. Lấy giá trị iinspection_remark.content để hiển thị </t>
  </si>
  <si>
    <r>
      <rPr>
        <sz val="11"/>
        <color theme="1"/>
        <rFont val="Calibri"/>
      </rPr>
      <t xml:space="preserve">chưa xuống dòng
</t>
    </r>
    <r>
      <rPr>
        <sz val="11"/>
        <color rgb="FFFF0000"/>
        <rFont val="Calibri"/>
      </rPr>
      <t>SiDD 01/16: đã fixed</t>
    </r>
  </si>
  <si>
    <t>Data chứa nhiều ký tự (chữ , số , full, half, ký tự đặc biệt , html ...)</t>
  </si>
  <si>
    <t>1. Hiển thị label 画像</t>
  </si>
  <si>
    <t xml:space="preserve">1. Kiểm tra hiển thị ảnh </t>
  </si>
  <si>
    <t>1. Hiển thị thumbnail của toàn bộ ảnh trong inspection_remark_attachment của inspection_remark tương ứng.
Chỉ hiển thị ảnh, không hiển thị video.</t>
  </si>
  <si>
    <r>
      <rPr>
        <sz val="11"/>
        <color theme="1"/>
        <rFont val="Calibri"/>
      </rPr>
      <t xml:space="preserve">chưa có gallery view
</t>
    </r>
    <r>
      <rPr>
        <sz val="11"/>
        <color rgb="FFFF0000"/>
        <rFont val="Calibri"/>
      </rPr>
      <t>SiDD 01/16: fixed</t>
    </r>
  </si>
  <si>
    <t>Ở trạng thái confirm (màn hình MOB-011)</t>
  </si>
  <si>
    <t>Ở trạng thái không phải trạng thái confirm (màn hình MOB-012)</t>
  </si>
  <si>
    <t>Di chuyển đến màn MOB-010 Edit remark từ MOB-012</t>
  </si>
  <si>
    <t xml:space="preserve">2. Quay lại màn hình MOB-012, remark mới update được cập nhật data </t>
  </si>
  <si>
    <r>
      <rPr>
        <sz val="11"/>
        <color rgb="FF000000"/>
        <rFont val="Calibri"/>
      </rPr>
      <t>vẫn hiển thị</t>
    </r>
    <r>
      <rPr>
        <sz val="11"/>
        <color rgb="FFFF0000"/>
        <rFont val="Calibri"/>
      </rPr>
      <t xml:space="preserve">
SiDD 01/16: đã có xử lý ẩn cả cụm khi không có data</t>
    </r>
  </si>
  <si>
    <t>Di chuyển đến màn MOB-010 Add issue từ MOB-012</t>
  </si>
  <si>
    <t>2. Quay lại màn hình MOB-012, issue mới tạo được hiển thị trên màn hình</t>
  </si>
  <si>
    <t>SELECT
        i.*,
        ir.*,
        sl.name,
        e.usage_purpose,
        se.name,
        COALESCE(
                NULLIF(
                        JSON_ARRAYAGG(
                                CASE
                                        WHEN ia.id IS NULL THEN NULL
                                        ELSE JSON_OBJECT(
                                                'id', ia.id,
                                                'file_id', ia.file_id,
                                                'uploader_id', ia.uploader_id,
                                                'updated_at', ia.updated_at,
                                                'created_at', ia.created_at,
                                                'file', JSON_OBJECT(
                                                        'id', f.id,
                                                        's3_key', f.s3_key,
                                                        's3_bucket', f.s3_bucket,
                                                        'created_at', f.created_at
                                                )
                                        )
                        END
                ),
                        JSON_ARRAY(NULL)
                ),
                JSON_ARRAY()
        ) AS attachments
FROM
        rezil_esms_inspection.issue i
INNER JOIN rezil_esms_inspection.issue_revision ir ON ir.id = (                                                                                                        
        SELECT                                                                                                        
                ir2.id                                                                                                
        FROM                                                                                                        
                rezil_esms_inspection.issue_revision ir2                                                                                                
        WHERE                                                                                                        
                ir2.issue_id = i.id                                                                                                
        ORDER BY                                                                                                        
                ir2.created_at DESC                                                                                                
        LIMIT 1                                                                                                        
)                                                                                                                        
INNER JOIN rezil_esms.site_location sl 
  ON
        ir.site_location_id = sl.id
LEFT JOIN rezil_esms.equipment e 
  ON
        ir.equipment_id = e.id
LEFT JOIN rezil_esms.safety_equipment se 
  ON
        ir.safety_equipment_id = se.id
        -- field mới thêm
LEFT JOIN rezil_esms_inspection.issue_attachment ia
  ON
        ia.issue_id = i.id
LEFT JOIN rezil_esms.file f
  ON
        f.id = ia.file_id
WHERE
        i.site_id = &lt;current inspection.site_id&gt;
        AND i.state NOT IN (4 - IS_COMPLETION_CONFIRMED, 99-IS_INVALID)
GROUP BY
        i.id, ir.id
ORDER BY
        i.updated_at DESC;</t>
  </si>
  <si>
    <r>
      <rPr>
        <sz val="10"/>
        <color rgb="FF000000"/>
        <rFont val="Arial"/>
      </rPr>
      <t xml:space="preserve">sai data
</t>
    </r>
    <r>
      <rPr>
        <sz val="10"/>
        <color rgb="FFFF0000"/>
        <rFont val="Arial"/>
      </rPr>
      <t>SiDD 01/16: BE check</t>
    </r>
  </si>
  <si>
    <t>1. Hiển thị label ID</t>
  </si>
  <si>
    <t>1. Lấy giá trị issue.code
Format:
IF-XXXXXXX (7 chữ số)</t>
  </si>
  <si>
    <t>1. Hiển thị label ステータス</t>
  </si>
  <si>
    <t xml:space="preserve">1. Lấy giá trị issue.state để hiển thị </t>
  </si>
  <si>
    <r>
      <rPr>
        <sz val="10"/>
        <color rgb="FF000000"/>
        <rFont val="Arial"/>
      </rPr>
      <t xml:space="preserve">sai data
</t>
    </r>
    <r>
      <rPr>
        <sz val="10"/>
        <color rgb="FFFF0000"/>
        <rFont val="Arial"/>
      </rPr>
      <t>SiDD 01/16: BE check</t>
    </r>
  </si>
  <si>
    <t>issue.state=1</t>
  </si>
  <si>
    <t>1. Hiển thị : 起票</t>
  </si>
  <si>
    <t>issue.state=2</t>
  </si>
  <si>
    <t>1. Hiển thị : 内容確認</t>
  </si>
  <si>
    <t>issue.state=3</t>
  </si>
  <si>
    <t>1. Hiển thị : 顧客報告</t>
  </si>
  <si>
    <r>
      <rPr>
        <sz val="10"/>
        <color rgb="FF000000"/>
        <rFont val="Arial"/>
      </rPr>
      <t xml:space="preserve">sai data
</t>
    </r>
    <r>
      <rPr>
        <sz val="10"/>
        <color rgb="FFFF0000"/>
        <rFont val="Arial"/>
      </rPr>
      <t>SiDD 01/16: BE check</t>
    </r>
  </si>
  <si>
    <t>lastest_issue_revision.safety_type =1</t>
  </si>
  <si>
    <t>lastest_issue_revision.safety_type=2</t>
  </si>
  <si>
    <t xml:space="preserve">1. Lấy giá trị lastest_issue_revision.repair_priority
</t>
  </si>
  <si>
    <r>
      <rPr>
        <sz val="10"/>
        <color rgb="FF000000"/>
        <rFont val="Arial"/>
      </rPr>
      <t xml:space="preserve">sai data
</t>
    </r>
    <r>
      <rPr>
        <sz val="10"/>
        <color rgb="FFFF0000"/>
        <rFont val="Arial"/>
      </rPr>
      <t>SiDD 01/16: BE check</t>
    </r>
  </si>
  <si>
    <t>lastest_issue_revision.repair_priority
 = 1</t>
  </si>
  <si>
    <t>lastest_issue_revision.repair_priority
 = 2</t>
  </si>
  <si>
    <t>1. Hiển thị :  急</t>
  </si>
  <si>
    <t>lastest_issue_revision.repair_priority
 = 3</t>
  </si>
  <si>
    <t>lastest_issue_revision.repair_priority
 = 4</t>
  </si>
  <si>
    <r>
      <rPr>
        <sz val="11"/>
        <color theme="1"/>
        <rFont val="Arial"/>
      </rPr>
      <t xml:space="preserve">1. Lấy giá trị lastest_issue_revision.site_location_id -&gt; </t>
    </r>
    <r>
      <rPr>
        <sz val="11"/>
        <color rgb="FF000000"/>
        <rFont val="Arial"/>
      </rPr>
      <t>site_location.name</t>
    </r>
    <r>
      <rPr>
        <sz val="11"/>
        <color theme="1"/>
        <rFont val="Arial"/>
      </rPr>
      <t xml:space="preserve">
</t>
    </r>
  </si>
  <si>
    <r>
      <rPr>
        <sz val="10"/>
        <color rgb="FF000000"/>
        <rFont val="Arial"/>
      </rPr>
      <t xml:space="preserve">sai data
</t>
    </r>
    <r>
      <rPr>
        <sz val="10"/>
        <color rgb="FFFF0000"/>
        <rFont val="Arial"/>
      </rPr>
      <t>SiDD 01/16: BE check</t>
    </r>
  </si>
  <si>
    <t xml:space="preserve">1. Hiển thị rỗng 
</t>
  </si>
  <si>
    <t>ROC chờ dev code</t>
  </si>
  <si>
    <r>
      <rPr>
        <sz val="11"/>
        <color theme="1"/>
        <rFont val="Arial"/>
      </rPr>
      <t xml:space="preserve">1. Lấy giá trị </t>
    </r>
    <r>
      <rPr>
        <sz val="11"/>
        <color rgb="FF000000"/>
        <rFont val="Arial"/>
      </rPr>
      <t>safety_equipment.name</t>
    </r>
    <r>
      <rPr>
        <sz val="11"/>
        <color theme="1"/>
        <rFont val="Arial"/>
      </rPr>
      <t xml:space="preserve">
</t>
    </r>
  </si>
  <si>
    <r>
      <rPr>
        <sz val="10"/>
        <color rgb="FF000000"/>
        <rFont val="Arial"/>
      </rPr>
      <t xml:space="preserve">sai data
</t>
    </r>
    <r>
      <rPr>
        <sz val="10"/>
        <color rgb="FFFF0000"/>
        <rFont val="Arial"/>
      </rPr>
      <t>SiDD 01/16: BE check</t>
    </r>
  </si>
  <si>
    <t>1. Hiển thị label 用途</t>
  </si>
  <si>
    <t>1. Lấy giá trị lastest_issue_revision.equipment_id -&gt; equipment.usage_purpose</t>
  </si>
  <si>
    <r>
      <rPr>
        <sz val="10"/>
        <color rgb="FF000000"/>
        <rFont val="Arial"/>
      </rPr>
      <t xml:space="preserve">sai data
</t>
    </r>
    <r>
      <rPr>
        <sz val="10"/>
        <color rgb="FFFF0000"/>
        <rFont val="Arial"/>
      </rPr>
      <t>SiDD 01/16: BE check</t>
    </r>
  </si>
  <si>
    <t>1. Hiển thị label 点検項目</t>
  </si>
  <si>
    <r>
      <rPr>
        <sz val="11"/>
        <color theme="1"/>
        <rFont val="Arial"/>
      </rPr>
      <t xml:space="preserve">1. Lấy giá trị lastest_issue_revision.level1 -&gt; </t>
    </r>
    <r>
      <rPr>
        <sz val="11"/>
        <color rgb="FF000000"/>
        <rFont val="Arial"/>
      </rPr>
      <t>issue_node.name</t>
    </r>
  </si>
  <si>
    <r>
      <rPr>
        <sz val="10"/>
        <color rgb="FF000000"/>
        <rFont val="Arial"/>
      </rPr>
      <t xml:space="preserve">sai data
</t>
    </r>
    <r>
      <rPr>
        <sz val="10"/>
        <color rgb="FFFF0000"/>
        <rFont val="Arial"/>
      </rPr>
      <t>SiDD 01/16: BE check</t>
    </r>
  </si>
  <si>
    <t>1. Hiển thị label 事象</t>
  </si>
  <si>
    <r>
      <rPr>
        <sz val="11"/>
        <color theme="1"/>
        <rFont val="Arial"/>
      </rPr>
      <t xml:space="preserve">1. Lấy giá trị  lastest_issue_revision.level2 -&gt; </t>
    </r>
    <r>
      <rPr>
        <sz val="11"/>
        <color rgb="FF000000"/>
        <rFont val="Arial"/>
      </rPr>
      <t>issue_node.name</t>
    </r>
  </si>
  <si>
    <r>
      <rPr>
        <sz val="10"/>
        <color rgb="FF000000"/>
        <rFont val="Arial"/>
      </rPr>
      <t xml:space="preserve">sai data
</t>
    </r>
    <r>
      <rPr>
        <sz val="10"/>
        <color rgb="FFFF0000"/>
        <rFont val="Arial"/>
      </rPr>
      <t>SiDD 01/16: BE check</t>
    </r>
  </si>
  <si>
    <t>1. Hiển thị label 機器名</t>
  </si>
  <si>
    <r>
      <rPr>
        <sz val="11"/>
        <color theme="1"/>
        <rFont val="Arial"/>
      </rPr>
      <t xml:space="preserve">1. Lấy giá trị   lastest_issue_revision.level2 -&gt; </t>
    </r>
    <r>
      <rPr>
        <sz val="11"/>
        <color rgb="FF000000"/>
        <rFont val="Arial"/>
      </rPr>
      <t>issue_node.name</t>
    </r>
  </si>
  <si>
    <r>
      <rPr>
        <sz val="10"/>
        <color rgb="FF000000"/>
        <rFont val="Arial"/>
      </rPr>
      <t xml:space="preserve">sai data
</t>
    </r>
    <r>
      <rPr>
        <sz val="10"/>
        <color rgb="FFFF0000"/>
        <rFont val="Arial"/>
      </rPr>
      <t>SiDD 01/16: BE check</t>
    </r>
  </si>
  <si>
    <t>1. Hiển thị label 高度化適否</t>
  </si>
  <si>
    <t>1. Lấy giá trị lastest_issue_revision.is_advanced_remediation</t>
  </si>
  <si>
    <r>
      <rPr>
        <sz val="10"/>
        <color rgb="FF000000"/>
        <rFont val="Arial"/>
      </rPr>
      <t xml:space="preserve">sai data
</t>
    </r>
    <r>
      <rPr>
        <sz val="10"/>
        <color rgb="FFFF0000"/>
        <rFont val="Arial"/>
      </rPr>
      <t>SiDD 01/16: BE check</t>
    </r>
  </si>
  <si>
    <t>astest_issue_revision.is_advanced_remediation=true</t>
  </si>
  <si>
    <t>1. Hiển thị 適</t>
  </si>
  <si>
    <t>astest_issue_revision.is_advanced_remediation=false</t>
  </si>
  <si>
    <t>1. Hiển thị  否</t>
  </si>
  <si>
    <r>
      <rPr>
        <sz val="10"/>
        <color rgb="FF000000"/>
        <rFont val="Arial"/>
      </rPr>
      <t xml:space="preserve">sai data
</t>
    </r>
    <r>
      <rPr>
        <sz val="10"/>
        <color rgb="FFFF0000"/>
        <rFont val="Arial"/>
      </rPr>
      <t>SiDD 01/16: BE check</t>
    </r>
  </si>
  <si>
    <t>1. Hiển thị text
 là 月次点検</t>
  </si>
  <si>
    <t>1. Hiển thị text
 là 年次点検(無停電)</t>
  </si>
  <si>
    <t>1. Hiển thị text
 là 年次点検(停電)</t>
  </si>
  <si>
    <t>1. Hiển thị text
 là 緊急対応</t>
  </si>
  <si>
    <t xml:space="preserve">1. Kiểm tra label hiển thị lnspection.category
 </t>
  </si>
  <si>
    <t>1. Hiển thị text
 là 臨時点検</t>
  </si>
  <si>
    <t>1. Hiển thị text
 là 住戸点検</t>
  </si>
  <si>
    <t>1. Hiển thị text
 là 改修後検査</t>
  </si>
  <si>
    <t>1. Hiển thị text
 là 停復電操作</t>
  </si>
  <si>
    <t>1. Hiển thị text
 là 竣工検査</t>
  </si>
  <si>
    <t>1. Hiển thị text
 là 受電・作業立会い</t>
  </si>
  <si>
    <t>1. Hiển thị text
 là 監視装置設置・取り外し</t>
  </si>
  <si>
    <t>1. Hiển thị text
 là その他</t>
  </si>
  <si>
    <r>
      <rPr>
        <sz val="10"/>
        <color rgb="FF000000"/>
        <rFont val="Arial"/>
      </rPr>
      <t xml:space="preserve">sai data
</t>
    </r>
    <r>
      <rPr>
        <sz val="10"/>
        <color rgb="FFFF0000"/>
        <rFont val="Arial"/>
      </rPr>
      <t>SiDD 01/16: BE check</t>
    </r>
  </si>
  <si>
    <r>
      <rPr>
        <sz val="10"/>
        <color rgb="FF000000"/>
        <rFont val="Arial"/>
      </rPr>
      <t xml:space="preserve">k xuống dòng
</t>
    </r>
    <r>
      <rPr>
        <sz val="10"/>
        <color rgb="FFFF0000"/>
        <rFont val="Arial"/>
      </rPr>
      <t>SiDD 01/16: đã fix</t>
    </r>
  </si>
  <si>
    <t>1. Hiển thị thumbnail của toàn bộ ảnh trong issue_attachment của issue tương ứng.
Chỉ hiển thị ảnh, không hiển thị video.</t>
  </si>
  <si>
    <r>
      <rPr>
        <sz val="11"/>
        <color theme="1"/>
        <rFont val="Calibri"/>
      </rPr>
      <t xml:space="preserve">chưa có gallery view
</t>
    </r>
    <r>
      <rPr>
        <sz val="11"/>
        <color rgb="FFFF0000"/>
        <rFont val="Calibri"/>
      </rPr>
      <t>SiDD 01/16: fixed</t>
    </r>
  </si>
  <si>
    <t>1. Hiển thị label 改修確認</t>
  </si>
  <si>
    <t>1. Lấy giá trị sau để hiển thị :
lastest_issue_revision.date_repair_confirmed
Format YYYY/MM/DD</t>
  </si>
  <si>
    <r>
      <rPr>
        <sz val="10"/>
        <color rgb="FF000000"/>
        <rFont val="Arial"/>
      </rPr>
      <t xml:space="preserve">sai data
</t>
    </r>
    <r>
      <rPr>
        <sz val="10"/>
        <color rgb="FFFF0000"/>
        <rFont val="Arial"/>
      </rPr>
      <t>SiDD 01/16: BE check</t>
    </r>
  </si>
  <si>
    <t>date_repair_content</t>
  </si>
  <si>
    <t>1. Hiển thị label 改修内容</t>
  </si>
  <si>
    <t>1. Lấy giá trị lastest_issue_revision.repair_content</t>
  </si>
  <si>
    <r>
      <rPr>
        <sz val="10"/>
        <color rgb="FF000000"/>
        <rFont val="Arial"/>
      </rPr>
      <t xml:space="preserve">sai data
</t>
    </r>
    <r>
      <rPr>
        <sz val="10"/>
        <color rgb="FFFF0000"/>
        <rFont val="Arial"/>
      </rPr>
      <t>SiDD 01/16: BE check</t>
    </r>
  </si>
  <si>
    <r>
      <rPr>
        <sz val="10"/>
        <color rgb="FF000000"/>
        <rFont val="Arial"/>
      </rPr>
      <t xml:space="preserve">k xuống dòng
</t>
    </r>
    <r>
      <rPr>
        <sz val="10"/>
        <color rgb="FFFF0000"/>
        <rFont val="Arial"/>
      </rPr>
      <t>SiDD 01/16: đã fix</t>
    </r>
  </si>
  <si>
    <t>Di chuyển đến màn MOB-010 Edit issue từ MOB-012</t>
  </si>
  <si>
    <t xml:space="preserve">2. Quay lại màn hình MOB-012, issue mới update được cập nhật data </t>
  </si>
  <si>
    <t>Module Name</t>
  </si>
  <si>
    <t>System</t>
  </si>
  <si>
    <t>PC_Web</t>
  </si>
  <si>
    <t>Passed (ng)</t>
  </si>
  <si>
    <t>Failed (ng)</t>
  </si>
  <si>
    <t xml:space="preserve">Cancelled </t>
  </si>
  <si>
    <t>Not tested yet (N/A)</t>
  </si>
  <si>
    <t xml:space="preserve">Pending </t>
  </si>
  <si>
    <t>Create date</t>
  </si>
  <si>
    <t>Environment</t>
  </si>
  <si>
    <t>Windows/Chrome</t>
  </si>
  <si>
    <t>Object</t>
  </si>
  <si>
    <t>File [PDF]</t>
  </si>
  <si>
    <t>Có thể gộp cột TVP Tittle với cột Check content cho gọn khi làm thực tế</t>
  </si>
  <si>
    <r>
      <rPr>
        <b/>
        <sz val="10"/>
        <color theme="1"/>
        <rFont val="Arial"/>
      </rPr>
      <t xml:space="preserve">TVP Key </t>
    </r>
    <r>
      <rPr>
        <b/>
        <i/>
        <sz val="10"/>
        <color rgb="FF0000FF"/>
        <rFont val="Arial"/>
      </rPr>
      <t>(select)</t>
    </r>
  </si>
  <si>
    <r>
      <rPr>
        <b/>
        <sz val="10"/>
        <color theme="1"/>
        <rFont val="Arial"/>
      </rPr>
      <t xml:space="preserve">Test View Point Title
</t>
    </r>
    <r>
      <rPr>
        <b/>
        <sz val="10"/>
        <color rgb="FF0000FF"/>
        <rFont val="Arial"/>
      </rPr>
      <t>(auto fill)</t>
    </r>
  </si>
  <si>
    <t>Test Result
(Main evn)</t>
  </si>
  <si>
    <t>(Test evidence, DefectID, Actual result)</t>
  </si>
  <si>
    <t>Screen ID</t>
  </si>
  <si>
    <t>USS003</t>
  </si>
  <si>
    <t>USS004</t>
  </si>
  <si>
    <t>USS005</t>
  </si>
  <si>
    <t>USS006</t>
  </si>
  <si>
    <t>Screen ID/Name hoặc Task ID/Task Name</t>
  </si>
  <si>
    <t>Item 1</t>
  </si>
  <si>
    <t>S04_UI ~100%</t>
  </si>
  <si>
    <t>S04_Template file</t>
  </si>
  <si>
    <t>Item 2</t>
  </si>
  <si>
    <t>S20_Kiểm tra_UI/ UX</t>
  </si>
  <si>
    <t>S20_Layout_Màu sắc, kích thước</t>
  </si>
  <si>
    <t>S20_Font items</t>
  </si>
  <si>
    <t>S21_Kiểm tra_Others</t>
  </si>
  <si>
    <t>S21_Response time</t>
  </si>
  <si>
    <t>S20_Tab/ Shift + Tab</t>
  </si>
  <si>
    <t>TVP Key</t>
  </si>
  <si>
    <t>Admin Account</t>
  </si>
  <si>
    <t>Student Account</t>
  </si>
  <si>
    <t>Teacher Account</t>
  </si>
  <si>
    <t xml:space="preserve">WEB - COURSE BOngIng </t>
  </si>
  <si>
    <t>Site USS</t>
  </si>
  <si>
    <t>1. Accessible and Viewable</t>
  </si>
  <si>
    <t>O - All</t>
  </si>
  <si>
    <t>X</t>
  </si>
  <si>
    <t>1. Mở web</t>
  </si>
  <si>
    <t>1. Màn hình login được hiển thị</t>
  </si>
  <si>
    <t>2. Editable and Actionable</t>
  </si>
  <si>
    <t>O- a part</t>
  </si>
  <si>
    <t>Site ADM</t>
  </si>
  <si>
    <t>ADM001</t>
  </si>
  <si>
    <t>3. Deletable and Approval</t>
  </si>
  <si>
    <t>ADM002</t>
  </si>
  <si>
    <t>ADM003</t>
  </si>
  <si>
    <t>ADM004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</si>
</sst>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yy"/>
    <numFmt numFmtId="169" formatCode="0.0"/>
    <numFmt numFmtId="171" formatCode="yyyy/mm/dd"/>
    <numFmt numFmtId="173" formatCode="yyyy/m/d"/>
    <numFmt numFmtId="174" formatCode="d/m/yyyy"/>
  </numFmts>
  <fonts count="93" x14ac:knownFonts="1">
    <font>
      <sz val="11"/>
      <color rgb="FF000000"/>
      <name val="Calibri"/>
      <scheme val="minor"/>
    </font>
    <font>
      <sz val="10"/>
      <color rgb="FF000000"/>
      <name val="Arial"/>
    </font>
    <font>
      <sz val="11"/>
      <color theme="1"/>
      <name val="Calibri"/>
      <scheme val="minor"/>
    </font>
    <font>
      <b/>
      <sz val="11"/>
      <color theme="1"/>
      <name val="Arial"/>
    </font>
    <font>
      <b/>
      <sz val="11"/>
      <color rgb="FF000000"/>
      <name val="Arial"/>
    </font>
    <font>
      <sz val="11"/>
      <color rgb="FF000000"/>
      <name val="Arial"/>
    </font>
    <font>
      <sz val="11"/>
      <color theme="1"/>
      <name val="Arial"/>
    </font>
    <font>
      <sz val="11"/>
      <name val="Calibri"/>
    </font>
    <font>
      <sz val="11"/>
      <color theme="1"/>
      <name val="Calibri"/>
    </font>
    <font>
      <b/>
      <sz val="10"/>
      <color rgb="FF000000"/>
      <name val="Arial"/>
    </font>
    <font>
      <b/>
      <sz val="11"/>
      <color theme="1"/>
      <name val="Arial"/>
    </font>
    <font>
      <b/>
      <sz val="20"/>
      <color theme="1"/>
      <name val="Arial"/>
    </font>
    <font>
      <sz val="12"/>
      <color theme="1"/>
      <name val="Arial"/>
    </font>
    <font>
      <b/>
      <sz val="12"/>
      <color theme="1"/>
      <name val="Arial"/>
    </font>
    <font>
      <sz val="12"/>
      <color rgb="FF000000"/>
      <name val="Arial"/>
    </font>
    <font>
      <sz val="11"/>
      <color theme="1"/>
      <name val="Arial"/>
    </font>
    <font>
      <sz val="11"/>
      <color rgb="FF000000"/>
      <name val="Arial"/>
    </font>
    <font>
      <sz val="11"/>
      <color rgb="FFFF0000"/>
      <name val="Arial"/>
    </font>
    <font>
      <sz val="10"/>
      <color theme="1"/>
      <name val="Arial"/>
    </font>
    <font>
      <sz val="11"/>
      <color rgb="FF000000"/>
      <name val="Calibri"/>
    </font>
    <font>
      <u/>
      <sz val="11"/>
      <color rgb="FF0000FF"/>
      <name val="Arial"/>
    </font>
    <font>
      <sz val="11"/>
      <color rgb="FF0000FF"/>
      <name val="Arial"/>
    </font>
    <font>
      <b/>
      <sz val="11"/>
      <color rgb="FF000000"/>
      <name val="Arial"/>
    </font>
    <font>
      <b/>
      <sz val="10"/>
      <color theme="1"/>
      <name val="Arial"/>
    </font>
    <font>
      <sz val="11"/>
      <color rgb="FF000000"/>
      <name val="Calibri"/>
      <scheme val="minor"/>
    </font>
    <font>
      <b/>
      <sz val="10"/>
      <color rgb="FFFFFFFF"/>
      <name val="Arial"/>
    </font>
    <font>
      <b/>
      <sz val="11"/>
      <color theme="1"/>
      <name val="Calibri"/>
      <scheme val="minor"/>
    </font>
    <font>
      <sz val="10"/>
      <color rgb="FFFFFFFF"/>
      <name val="Arial"/>
    </font>
    <font>
      <sz val="11"/>
      <color rgb="FFFFFFFF"/>
      <name val="Calibri"/>
    </font>
    <font>
      <i/>
      <sz val="10"/>
      <color theme="1"/>
      <name val="Arial"/>
    </font>
    <font>
      <i/>
      <sz val="10"/>
      <color rgb="FFFFFFFF"/>
      <name val="Arial"/>
    </font>
    <font>
      <strike/>
      <sz val="10"/>
      <color theme="1"/>
      <name val="Arial"/>
    </font>
    <font>
      <sz val="11"/>
      <color rgb="FFFFFFFF"/>
      <name val="Calibri"/>
      <scheme val="minor"/>
    </font>
    <font>
      <sz val="11"/>
      <color rgb="FF0000FF"/>
      <name val="Arial"/>
    </font>
    <font>
      <u/>
      <sz val="11"/>
      <color rgb="FF000000"/>
      <name val="Arial"/>
    </font>
    <font>
      <b/>
      <sz val="20"/>
      <color rgb="FF000000"/>
      <name val="Arial"/>
    </font>
    <font>
      <b/>
      <sz val="11"/>
      <color rgb="FF000000"/>
      <name val="Calibri"/>
      <scheme val="minor"/>
    </font>
    <font>
      <u/>
      <sz val="11"/>
      <color rgb="FF000000"/>
      <name val="Arial"/>
    </font>
    <font>
      <sz val="11"/>
      <color rgb="FF000000"/>
      <name val="Calibri"/>
    </font>
    <font>
      <i/>
      <sz val="10"/>
      <color rgb="FF000000"/>
      <name val="Arial"/>
    </font>
    <font>
      <u/>
      <sz val="10"/>
      <color rgb="FF000000"/>
      <name val="Arial"/>
    </font>
    <font>
      <sz val="10"/>
      <color rgb="FFFF0000"/>
      <name val="Arial"/>
    </font>
    <font>
      <u/>
      <sz val="11"/>
      <color rgb="FF000000"/>
      <name val="Arial"/>
    </font>
    <font>
      <strike/>
      <sz val="11"/>
      <color rgb="FF000000"/>
      <name val="Arial"/>
    </font>
    <font>
      <u/>
      <sz val="10"/>
      <color theme="1"/>
      <name val="Arial"/>
    </font>
    <font>
      <sz val="11"/>
      <color rgb="FF0000FF"/>
      <name val="Calibri"/>
    </font>
    <font>
      <u/>
      <sz val="10"/>
      <color theme="1"/>
      <name val="Arial"/>
    </font>
    <font>
      <sz val="11"/>
      <color rgb="FFFF0000"/>
      <name val="Arial"/>
    </font>
    <font>
      <sz val="11"/>
      <color rgb="FFFF0000"/>
      <name val="Calibri"/>
    </font>
    <font>
      <u/>
      <sz val="10"/>
      <color rgb="FF000000"/>
      <name val="Arial"/>
    </font>
    <font>
      <u/>
      <sz val="10"/>
      <color rgb="FF000000"/>
      <name val="Arial"/>
    </font>
    <font>
      <u/>
      <sz val="11"/>
      <color rgb="FF000000"/>
      <name val="Arial"/>
    </font>
    <font>
      <u/>
      <sz val="10"/>
      <color theme="1"/>
      <name val="Arial"/>
    </font>
    <font>
      <i/>
      <strike/>
      <sz val="10"/>
      <color rgb="FFFFFFFF"/>
      <name val="Arial"/>
    </font>
    <font>
      <u/>
      <sz val="10"/>
      <color theme="1"/>
      <name val="Arial"/>
    </font>
    <font>
      <u/>
      <sz val="10"/>
      <color rgb="FF0000FF"/>
      <name val="Arial"/>
    </font>
    <font>
      <u/>
      <sz val="11"/>
      <color rgb="FF0000FF"/>
      <name val="Calibri"/>
    </font>
    <font>
      <u/>
      <sz val="11"/>
      <color rgb="FF0000FF"/>
      <name val="Calibri"/>
    </font>
    <font>
      <u/>
      <sz val="11"/>
      <color rgb="FF000000"/>
      <name val="Arial"/>
    </font>
    <font>
      <sz val="11"/>
      <color rgb="FFFF00FF"/>
      <name val="Arial"/>
    </font>
    <font>
      <u/>
      <sz val="11"/>
      <color rgb="FF000000"/>
      <name val="Arial"/>
    </font>
    <font>
      <u/>
      <sz val="11"/>
      <color rgb="FF000000"/>
      <name val="Arial"/>
    </font>
    <font>
      <strike/>
      <sz val="10"/>
      <color rgb="FF000000"/>
      <name val="Arial"/>
    </font>
    <font>
      <strike/>
      <sz val="11"/>
      <color rgb="FF0000FF"/>
      <name val="Arial"/>
    </font>
    <font>
      <u/>
      <sz val="10"/>
      <color rgb="FF000000"/>
      <name val="Arial"/>
    </font>
    <font>
      <u/>
      <sz val="10"/>
      <color rgb="FF000000"/>
      <name val="Arial"/>
    </font>
    <font>
      <u/>
      <sz val="11"/>
      <color rgb="FF000000"/>
      <name val="Arial"/>
    </font>
    <font>
      <u/>
      <sz val="11"/>
      <color rgb="FF0563C1"/>
      <name val="Calibri"/>
    </font>
    <font>
      <u/>
      <sz val="11"/>
      <color rgb="FF0000FF"/>
      <name val="Arial"/>
    </font>
    <font>
      <strike/>
      <sz val="11"/>
      <color rgb="FF0000FF"/>
      <name val="Arial"/>
    </font>
    <font>
      <strike/>
      <sz val="11"/>
      <color rgb="FF0000FF"/>
      <name val="Calibri"/>
    </font>
    <font>
      <i/>
      <strike/>
      <sz val="10"/>
      <color rgb="FF000000"/>
      <name val="Arial"/>
    </font>
    <font>
      <u/>
      <sz val="10"/>
      <color theme="1"/>
      <name val="Arial"/>
    </font>
    <font>
      <u/>
      <sz val="11"/>
      <color rgb="FF000000"/>
      <name val="Arial"/>
    </font>
    <font>
      <u/>
      <sz val="11"/>
      <color theme="1"/>
      <name val="Calibri"/>
    </font>
    <font>
      <u/>
      <sz val="11"/>
      <color rgb="FF0000FF"/>
      <name val="Arial"/>
    </font>
    <font>
      <u/>
      <sz val="11"/>
      <color rgb="FF0000FF"/>
      <name val="Arial"/>
    </font>
    <font>
      <u/>
      <sz val="11"/>
      <color theme="1"/>
      <name val="Calibri"/>
      <scheme val="minor"/>
    </font>
    <font>
      <u/>
      <sz val="10"/>
      <color rgb="FF000000"/>
      <name val="Arial"/>
    </font>
    <font>
      <u/>
      <sz val="11"/>
      <color rgb="FF000000"/>
      <name val="Calibri"/>
      <scheme val="minor"/>
    </font>
    <font>
      <b/>
      <sz val="10"/>
      <color rgb="FFFF0000"/>
      <name val="Arial"/>
    </font>
    <font>
      <u/>
      <sz val="11"/>
      <color rgb="FF0000FF"/>
      <name val="Calibri"/>
    </font>
    <font>
      <u/>
      <sz val="11"/>
      <color rgb="FF1155CC"/>
      <name val="Calibri"/>
    </font>
    <font>
      <u/>
      <sz val="11"/>
      <color rgb="FF1155CC"/>
      <name val="Arial"/>
    </font>
    <font>
      <u/>
      <sz val="10"/>
      <color rgb="FF1155CC"/>
      <name val="Arial"/>
    </font>
    <font>
      <sz val="11"/>
      <color theme="1"/>
      <name val="Calibri"/>
    </font>
    <font>
      <b/>
      <sz val="11"/>
      <color rgb="FF333333"/>
      <name val="Arial"/>
    </font>
    <font>
      <sz val="17"/>
      <color theme="1"/>
      <name val="Arial"/>
    </font>
    <font>
      <sz val="10"/>
      <name val="Arial"/>
    </font>
    <font>
      <b/>
      <i/>
      <sz val="10"/>
      <color rgb="FF0000FF"/>
      <name val="Arial"/>
    </font>
    <font>
      <sz val="10"/>
      <color rgb="FF38761D"/>
      <name val="Arial"/>
    </font>
    <font>
      <sz val="11"/>
      <color rgb="FF38761D"/>
      <name val="Calibri"/>
    </font>
    <font>
      <b/>
      <sz val="10"/>
      <color rgb="FF0000FF"/>
      <name val="Arial"/>
    </font>
  </fonts>
  <fills count="13">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C9DAF8"/>
        <bgColor rgb="FFC9DAF8"/>
      </patternFill>
    </fill>
    <fill>
      <patternFill patternType="solid">
        <fgColor rgb="FFFFF2CC"/>
        <bgColor rgb="FFFFF2CC"/>
      </patternFill>
    </fill>
    <fill>
      <patternFill patternType="solid">
        <fgColor rgb="FFF9CB9C"/>
        <bgColor rgb="FFF9CB9C"/>
      </patternFill>
    </fill>
    <fill>
      <patternFill patternType="solid">
        <fgColor theme="0"/>
        <bgColor theme="0"/>
      </patternFill>
    </fill>
    <fill>
      <patternFill patternType="solid">
        <fgColor rgb="FF9FC5E8"/>
        <bgColor rgb="FF9FC5E8"/>
      </patternFill>
    </fill>
    <fill>
      <patternFill patternType="solid">
        <fgColor rgb="FF6AA84F"/>
        <bgColor rgb="FF6AA84F"/>
      </patternFill>
    </fill>
    <fill>
      <patternFill patternType="solid">
        <fgColor rgb="FF93C47D"/>
        <bgColor rgb="FF93C47D"/>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999999"/>
      </bottom>
      <diagonal/>
    </border>
    <border>
      <left/>
      <right/>
      <top style="thin">
        <color rgb="FF999999"/>
      </top>
      <bottom style="thin">
        <color rgb="FF999999"/>
      </bottom>
      <diagonal/>
    </border>
    <border>
      <left/>
      <right style="thin">
        <color rgb="FF999999"/>
      </right>
      <top/>
      <bottom/>
      <diagonal/>
    </border>
    <border>
      <left/>
      <right/>
      <top/>
      <bottom style="thin">
        <color rgb="FFB7B7B7"/>
      </bottom>
      <diagonal/>
    </border>
    <border>
      <left style="thin">
        <color rgb="FF999999"/>
      </left>
      <right/>
      <top/>
      <bottom style="thin">
        <color rgb="FFB7B7B7"/>
      </bottom>
      <diagonal/>
    </border>
    <border>
      <left/>
      <right style="thin">
        <color rgb="FF999999"/>
      </right>
      <top/>
      <bottom style="thin">
        <color rgb="FFB7B7B7"/>
      </bottom>
      <diagonal/>
    </border>
    <border>
      <left style="thin">
        <color rgb="FF999999"/>
      </left>
      <right/>
      <top/>
      <bottom style="thin">
        <color rgb="FF999999"/>
      </bottom>
      <diagonal/>
    </border>
    <border>
      <left/>
      <right/>
      <top style="thin">
        <color rgb="FFB7B7B7"/>
      </top>
      <bottom/>
      <diagonal/>
    </border>
    <border>
      <left/>
      <right/>
      <top style="thin">
        <color rgb="FF999999"/>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164" fontId="0" fillId="0" borderId="0"/>
  </cellStyleXfs>
  <cellXfs count="726">
    <xf numFmtId="164" fontId="0" fillId="0" borderId="0" xfId="0" applyNumberFormat="1" applyFont="1" applyAlignment="1"/>
    <xf numFmtId="0" fontId="1" fillId="0" borderId="0" xfId="0" applyNumberFormat="1" applyFont="1" applyAlignment="1">
      <alignment vertical="center" wrapText="1"/>
    </xf>
    <xf numFmtId="49" fontId="1" fillId="0" borderId="5" xfId="0" applyNumberFormat="1" applyFont="1" applyBorder="1" applyAlignment="1">
      <alignment horizontal="center" vertical="center" wrapText="1"/>
    </xf>
    <xf numFmtId="0" fontId="6" fillId="0" borderId="0" xfId="0" applyNumberFormat="1" applyFont="1" applyAlignment="1">
      <alignment vertical="center"/>
    </xf>
    <xf numFmtId="0" fontId="6" fillId="0" borderId="0" xfId="0" applyNumberFormat="1" applyFont="1" applyAlignment="1">
      <alignment vertical="center"/>
    </xf>
    <xf numFmtId="0" fontId="11" fillId="2" borderId="0" xfId="0" applyNumberFormat="1" applyFont="1" applyFill="1" applyAlignment="1">
      <alignment horizontal="center" vertical="center"/>
    </xf>
    <xf numFmtId="0" fontId="12" fillId="0" borderId="0" xfId="0" applyNumberFormat="1" applyFont="1" applyAlignment="1">
      <alignment vertical="center"/>
    </xf>
    <xf numFmtId="0" fontId="13" fillId="3" borderId="0" xfId="0" applyNumberFormat="1" applyFont="1" applyFill="1" applyAlignment="1">
      <alignment horizontal="left" vertical="center"/>
    </xf>
    <xf numFmtId="0" fontId="6" fillId="2" borderId="0" xfId="0" applyNumberFormat="1" applyFont="1" applyFill="1" applyAlignment="1">
      <alignment vertical="center"/>
    </xf>
    <xf numFmtId="0" fontId="6" fillId="2" borderId="0" xfId="0" applyNumberFormat="1" applyFont="1" applyFill="1" applyAlignment="1">
      <alignment horizontal="center" vertical="center"/>
    </xf>
    <xf numFmtId="0" fontId="15" fillId="0" borderId="0" xfId="0" applyNumberFormat="1" applyFont="1" applyAlignment="1">
      <alignment horizontal="center" vertical="center"/>
    </xf>
    <xf numFmtId="0" fontId="15" fillId="0" borderId="0" xfId="0" applyNumberFormat="1" applyFont="1" applyAlignment="1">
      <alignment horizontal="left" vertical="center"/>
    </xf>
    <xf numFmtId="0" fontId="15" fillId="0" borderId="13" xfId="0" applyNumberFormat="1" applyFont="1" applyBorder="1" applyAlignment="1">
      <alignment vertical="center"/>
    </xf>
    <xf numFmtId="0" fontId="15" fillId="0" borderId="13" xfId="0" applyNumberFormat="1" applyFont="1" applyBorder="1" applyAlignment="1">
      <alignment horizontal="center" vertical="center"/>
    </xf>
    <xf numFmtId="0" fontId="6" fillId="4" borderId="5" xfId="0" applyNumberFormat="1" applyFont="1" applyFill="1" applyBorder="1" applyAlignment="1">
      <alignment vertical="top" wrapText="1"/>
    </xf>
    <xf numFmtId="164" fontId="8" fillId="0" borderId="0" xfId="0" applyNumberFormat="1" applyFont="1"/>
    <xf numFmtId="164" fontId="8" fillId="0" borderId="0" xfId="0" applyNumberFormat="1" applyFont="1" applyAlignment="1">
      <alignment vertical="center"/>
    </xf>
    <xf numFmtId="0" fontId="2" fillId="0" borderId="0" xfId="0" applyNumberFormat="1" applyFont="1" applyAlignment="1">
      <alignment vertical="center"/>
    </xf>
    <xf numFmtId="0" fontId="3" fillId="3" borderId="0" xfId="0" applyNumberFormat="1" applyFont="1" applyFill="1" applyAlignment="1">
      <alignment horizontal="center" vertical="center"/>
    </xf>
    <xf numFmtId="0" fontId="3" fillId="3" borderId="0" xfId="0" applyNumberFormat="1" applyFont="1" applyFill="1" applyAlignment="1">
      <alignment horizontal="left" vertical="center"/>
    </xf>
    <xf numFmtId="0" fontId="16" fillId="7" borderId="0" xfId="0" applyNumberFormat="1" applyFont="1" applyFill="1" applyAlignment="1">
      <alignment horizontal="center" vertical="center"/>
    </xf>
    <xf numFmtId="0" fontId="3" fillId="3" borderId="0" xfId="0" applyNumberFormat="1" applyFont="1" applyFill="1" applyAlignment="1">
      <alignment horizontal="left" vertical="center" wrapText="1"/>
    </xf>
    <xf numFmtId="0" fontId="6" fillId="2" borderId="12" xfId="0" applyNumberFormat="1" applyFont="1" applyFill="1" applyBorder="1" applyAlignment="1">
      <alignment horizontal="center" vertical="center"/>
    </xf>
    <xf numFmtId="0" fontId="15" fillId="8" borderId="0" xfId="0" applyNumberFormat="1" applyFont="1" applyFill="1" applyAlignment="1">
      <alignment horizontal="left" vertical="center"/>
    </xf>
    <xf numFmtId="0" fontId="15" fillId="8" borderId="0" xfId="0" applyNumberFormat="1" applyFont="1" applyFill="1" applyAlignment="1">
      <alignment horizontal="center" vertical="center"/>
    </xf>
    <xf numFmtId="0" fontId="15" fillId="8" borderId="0" xfId="0" applyNumberFormat="1" applyFont="1" applyFill="1" applyAlignment="1">
      <alignment vertical="center"/>
    </xf>
    <xf numFmtId="0" fontId="10" fillId="8" borderId="0" xfId="0" applyNumberFormat="1" applyFont="1" applyFill="1" applyAlignment="1">
      <alignment vertical="center"/>
    </xf>
    <xf numFmtId="0" fontId="15" fillId="8" borderId="12" xfId="0" applyNumberFormat="1" applyFont="1" applyFill="1" applyBorder="1" applyAlignment="1">
      <alignment horizontal="center" vertical="center"/>
    </xf>
    <xf numFmtId="0" fontId="16" fillId="7" borderId="19" xfId="0" applyNumberFormat="1" applyFont="1" applyFill="1" applyBorder="1" applyAlignment="1">
      <alignment horizontal="center" vertical="center"/>
    </xf>
    <xf numFmtId="0" fontId="16" fillId="7" borderId="19" xfId="0" applyNumberFormat="1" applyFont="1" applyFill="1" applyBorder="1" applyAlignment="1">
      <alignment vertical="center"/>
    </xf>
    <xf numFmtId="1" fontId="16" fillId="7" borderId="12" xfId="0" applyNumberFormat="1" applyFont="1" applyFill="1" applyBorder="1" applyAlignment="1">
      <alignment horizontal="center" vertical="center"/>
    </xf>
    <xf numFmtId="169" fontId="16" fillId="7" borderId="12" xfId="0" applyNumberFormat="1" applyFont="1" applyFill="1" applyBorder="1" applyAlignment="1">
      <alignment horizontal="center" vertical="center"/>
    </xf>
    <xf numFmtId="0" fontId="5" fillId="0" borderId="0" xfId="0" applyNumberFormat="1" applyFont="1" applyAlignment="1">
      <alignment vertical="center"/>
    </xf>
    <xf numFmtId="0" fontId="14" fillId="0" borderId="0" xfId="0" applyNumberFormat="1" applyFont="1" applyAlignment="1">
      <alignment vertical="center"/>
    </xf>
    <xf numFmtId="0" fontId="16" fillId="0" borderId="13" xfId="0" applyNumberFormat="1" applyFont="1" applyBorder="1" applyAlignment="1">
      <alignment horizontal="center" vertical="center"/>
    </xf>
    <xf numFmtId="0" fontId="16" fillId="0" borderId="13" xfId="0" applyNumberFormat="1" applyFont="1" applyBorder="1" applyAlignment="1">
      <alignment vertical="center"/>
    </xf>
    <xf numFmtId="0" fontId="16" fillId="0" borderId="13" xfId="0" applyNumberFormat="1" applyFont="1" applyBorder="1" applyAlignment="1">
      <alignment horizontal="center" vertical="center"/>
    </xf>
    <xf numFmtId="0" fontId="16" fillId="0" borderId="12" xfId="0" applyNumberFormat="1" applyFont="1" applyBorder="1" applyAlignment="1">
      <alignment horizontal="center" vertical="center"/>
    </xf>
    <xf numFmtId="0" fontId="15" fillId="0" borderId="13" xfId="0" applyNumberFormat="1" applyFont="1" applyBorder="1" applyAlignment="1">
      <alignment vertical="center"/>
    </xf>
    <xf numFmtId="0" fontId="18" fillId="0" borderId="0" xfId="0" applyNumberFormat="1" applyFont="1" applyAlignment="1">
      <alignment vertical="center" wrapText="1"/>
    </xf>
    <xf numFmtId="0" fontId="18" fillId="0" borderId="21" xfId="0" applyNumberFormat="1" applyFont="1" applyBorder="1" applyAlignment="1">
      <alignment horizontal="center" vertical="center" wrapText="1"/>
    </xf>
    <xf numFmtId="0" fontId="18" fillId="0" borderId="5" xfId="0" applyNumberFormat="1" applyFont="1" applyBorder="1" applyAlignment="1">
      <alignment horizontal="center" vertical="center" wrapText="1"/>
    </xf>
    <xf numFmtId="0" fontId="18" fillId="0" borderId="5" xfId="0" applyNumberFormat="1" applyFont="1" applyBorder="1" applyAlignment="1">
      <alignment horizontal="left" vertical="center" wrapText="1"/>
    </xf>
    <xf numFmtId="0" fontId="2" fillId="0" borderId="0" xfId="0" applyNumberFormat="1" applyFont="1" applyAlignment="1">
      <alignment horizontal="center" vertical="center"/>
    </xf>
    <xf numFmtId="0" fontId="24" fillId="0" borderId="0" xfId="0" applyNumberFormat="1" applyFont="1"/>
    <xf numFmtId="164" fontId="8" fillId="0" borderId="0" xfId="0" applyNumberFormat="1" applyFont="1" applyAlignment="1"/>
    <xf numFmtId="0" fontId="2" fillId="0" borderId="0" xfId="0" applyNumberFormat="1" applyFont="1" applyAlignment="1"/>
    <xf numFmtId="0" fontId="6" fillId="0" borderId="0" xfId="0" applyNumberFormat="1" applyFont="1" applyAlignment="1">
      <alignment horizontal="left" vertical="center"/>
    </xf>
    <xf numFmtId="0" fontId="6" fillId="2" borderId="12" xfId="0" applyNumberFormat="1" applyFont="1" applyFill="1" applyBorder="1" applyAlignment="1">
      <alignment horizontal="left" vertical="center"/>
    </xf>
    <xf numFmtId="0" fontId="6" fillId="2" borderId="18" xfId="0" applyNumberFormat="1" applyFont="1" applyFill="1" applyBorder="1" applyAlignment="1">
      <alignment horizontal="left" vertical="center"/>
    </xf>
    <xf numFmtId="0" fontId="15" fillId="8" borderId="12" xfId="0" applyNumberFormat="1" applyFont="1" applyFill="1" applyBorder="1" applyAlignment="1">
      <alignment horizontal="left" vertical="center"/>
    </xf>
    <xf numFmtId="0" fontId="16" fillId="7" borderId="0" xfId="0" applyNumberFormat="1" applyFont="1" applyFill="1" applyAlignment="1">
      <alignment vertical="center"/>
    </xf>
    <xf numFmtId="0" fontId="16" fillId="7" borderId="0" xfId="0" applyNumberFormat="1" applyFont="1" applyFill="1" applyAlignment="1">
      <alignment horizontal="left" vertical="center"/>
    </xf>
    <xf numFmtId="169" fontId="16" fillId="7" borderId="0" xfId="0" applyNumberFormat="1" applyFont="1" applyFill="1" applyAlignment="1">
      <alignment horizontal="center" vertical="center"/>
    </xf>
    <xf numFmtId="169" fontId="16" fillId="7" borderId="12" xfId="0" applyNumberFormat="1" applyFont="1" applyFill="1" applyBorder="1" applyAlignment="1">
      <alignment horizontal="left" vertical="center"/>
    </xf>
    <xf numFmtId="1" fontId="16" fillId="7" borderId="12" xfId="0" applyNumberFormat="1" applyFont="1" applyFill="1" applyBorder="1" applyAlignment="1">
      <alignment horizontal="left" vertical="center"/>
    </xf>
    <xf numFmtId="0" fontId="16" fillId="0" borderId="13" xfId="0" applyNumberFormat="1" applyFont="1" applyBorder="1" applyAlignment="1">
      <alignment vertical="center"/>
    </xf>
    <xf numFmtId="0" fontId="16" fillId="0" borderId="13" xfId="0" applyNumberFormat="1" applyFont="1" applyBorder="1" applyAlignment="1">
      <alignment horizontal="left" vertical="center"/>
    </xf>
    <xf numFmtId="0" fontId="16" fillId="0" borderId="12" xfId="0" applyNumberFormat="1" applyFont="1" applyBorder="1" applyAlignment="1">
      <alignment horizontal="left" vertical="center"/>
    </xf>
    <xf numFmtId="0" fontId="15" fillId="0" borderId="20" xfId="0" applyNumberFormat="1" applyFont="1" applyBorder="1" applyAlignment="1">
      <alignment horizontal="left" vertical="center"/>
    </xf>
    <xf numFmtId="0" fontId="15" fillId="0" borderId="20" xfId="0" applyNumberFormat="1" applyFont="1" applyBorder="1" applyAlignment="1">
      <alignment horizontal="left" vertical="center" wrapText="1"/>
    </xf>
    <xf numFmtId="0" fontId="15" fillId="0" borderId="13" xfId="0" applyNumberFormat="1" applyFont="1" applyBorder="1" applyAlignment="1">
      <alignment horizontal="center" vertical="center"/>
    </xf>
    <xf numFmtId="0" fontId="6" fillId="0" borderId="0" xfId="0" applyNumberFormat="1" applyFont="1" applyAlignment="1">
      <alignment vertical="center" wrapText="1"/>
    </xf>
    <xf numFmtId="0" fontId="6" fillId="0" borderId="0" xfId="0" applyNumberFormat="1" applyFont="1" applyAlignment="1">
      <alignment horizontal="left" vertical="center"/>
    </xf>
    <xf numFmtId="0" fontId="2" fillId="0" borderId="0" xfId="0" applyNumberFormat="1" applyFont="1" applyAlignment="1">
      <alignment vertical="top"/>
    </xf>
    <xf numFmtId="0" fontId="25" fillId="10" borderId="0" xfId="0" applyNumberFormat="1" applyFont="1" applyFill="1" applyAlignment="1">
      <alignment horizontal="center" vertical="center" wrapText="1"/>
    </xf>
    <xf numFmtId="0" fontId="23" fillId="10" borderId="0" xfId="0" applyNumberFormat="1" applyFont="1" applyFill="1" applyAlignment="1">
      <alignment horizontal="center" vertical="center" wrapText="1"/>
    </xf>
    <xf numFmtId="0" fontId="18" fillId="10" borderId="0" xfId="0" applyNumberFormat="1" applyFont="1" applyFill="1" applyAlignment="1">
      <alignment vertical="center" wrapText="1"/>
    </xf>
    <xf numFmtId="49" fontId="18" fillId="10" borderId="0" xfId="0" applyNumberFormat="1" applyFont="1" applyFill="1" applyAlignment="1">
      <alignment vertical="center" wrapText="1"/>
    </xf>
    <xf numFmtId="0" fontId="27" fillId="11" borderId="0" xfId="0" applyNumberFormat="1" applyFont="1" applyFill="1" applyAlignment="1">
      <alignment vertical="center" wrapText="1"/>
    </xf>
    <xf numFmtId="0" fontId="18" fillId="11" borderId="0" xfId="0" applyNumberFormat="1" applyFont="1" applyFill="1" applyAlignment="1">
      <alignment vertical="center" wrapText="1"/>
    </xf>
    <xf numFmtId="0" fontId="27" fillId="0" borderId="0" xfId="0" applyNumberFormat="1" applyFont="1" applyAlignment="1">
      <alignment vertical="center" wrapText="1"/>
    </xf>
    <xf numFmtId="171" fontId="28" fillId="4" borderId="0" xfId="0" applyNumberFormat="1" applyFont="1" applyFill="1" applyAlignment="1">
      <alignment horizontal="left"/>
    </xf>
    <xf numFmtId="0" fontId="2" fillId="7" borderId="5" xfId="0" applyNumberFormat="1" applyFont="1" applyFill="1" applyBorder="1" applyAlignment="1">
      <alignment horizontal="left" vertical="center"/>
    </xf>
    <xf numFmtId="0" fontId="18" fillId="0" borderId="21" xfId="0" applyNumberFormat="1" applyFont="1" applyBorder="1" applyAlignment="1">
      <alignment horizontal="center" vertical="center" wrapText="1"/>
    </xf>
    <xf numFmtId="0" fontId="18" fillId="9" borderId="21" xfId="0" applyNumberFormat="1" applyFont="1" applyFill="1" applyBorder="1" applyAlignment="1">
      <alignment horizontal="center" vertical="center" wrapText="1"/>
    </xf>
    <xf numFmtId="0" fontId="27" fillId="9" borderId="0" xfId="0" applyNumberFormat="1" applyFont="1" applyFill="1" applyAlignment="1">
      <alignment horizontal="center" vertical="center" wrapText="1"/>
    </xf>
    <xf numFmtId="0" fontId="18" fillId="9" borderId="22" xfId="0" applyNumberFormat="1" applyFont="1" applyFill="1" applyBorder="1" applyAlignment="1">
      <alignment horizontal="left" vertical="center" wrapText="1"/>
    </xf>
    <xf numFmtId="0" fontId="18" fillId="9" borderId="0" xfId="0" applyNumberFormat="1" applyFont="1" applyFill="1" applyAlignment="1">
      <alignment vertical="center" wrapText="1"/>
    </xf>
    <xf numFmtId="0" fontId="29" fillId="0" borderId="0" xfId="0" applyNumberFormat="1" applyFont="1" applyAlignment="1">
      <alignment vertical="center"/>
    </xf>
    <xf numFmtId="0" fontId="23" fillId="0" borderId="0" xfId="0" applyNumberFormat="1" applyFont="1" applyAlignment="1">
      <alignment horizontal="center" vertical="center" wrapText="1"/>
    </xf>
    <xf numFmtId="0" fontId="5" fillId="0" borderId="0" xfId="0" applyNumberFormat="1" applyFont="1" applyAlignment="1">
      <alignment horizontal="center" vertical="center"/>
    </xf>
    <xf numFmtId="174" fontId="18" fillId="0" borderId="21" xfId="0" applyNumberFormat="1" applyFont="1" applyBorder="1" applyAlignment="1">
      <alignment horizontal="center" vertical="center" wrapText="1"/>
    </xf>
    <xf numFmtId="49" fontId="18" fillId="0" borderId="21" xfId="0" applyNumberFormat="1" applyFont="1" applyBorder="1" applyAlignment="1">
      <alignment horizontal="center" vertical="center" wrapText="1"/>
    </xf>
    <xf numFmtId="0" fontId="5" fillId="4" borderId="21" xfId="0" applyNumberFormat="1" applyFont="1" applyFill="1" applyBorder="1" applyAlignment="1">
      <alignment horizontal="left" vertical="center"/>
    </xf>
    <xf numFmtId="0" fontId="18" fillId="0" borderId="0" xfId="0" applyNumberFormat="1" applyFont="1" applyAlignment="1">
      <alignment vertical="top" wrapText="1"/>
    </xf>
    <xf numFmtId="0" fontId="15" fillId="4" borderId="21" xfId="0" applyNumberFormat="1" applyFont="1" applyFill="1" applyBorder="1" applyAlignment="1">
      <alignment vertical="center" wrapText="1"/>
    </xf>
    <xf numFmtId="0" fontId="18" fillId="0" borderId="0" xfId="0" applyNumberFormat="1" applyFont="1" applyAlignment="1">
      <alignment horizontal="center" vertical="center" wrapText="1"/>
    </xf>
    <xf numFmtId="0" fontId="32" fillId="0" borderId="0" xfId="0" applyNumberFormat="1" applyFont="1"/>
    <xf numFmtId="49" fontId="2" fillId="0" borderId="0" xfId="0" applyNumberFormat="1" applyFont="1"/>
    <xf numFmtId="0" fontId="18" fillId="10" borderId="0" xfId="0" applyNumberFormat="1" applyFont="1" applyFill="1" applyAlignment="1">
      <alignment horizontal="center" vertical="center" wrapText="1"/>
    </xf>
    <xf numFmtId="0" fontId="18" fillId="11" borderId="0" xfId="0" applyNumberFormat="1" applyFont="1" applyFill="1" applyAlignment="1">
      <alignment vertical="top" wrapText="1"/>
    </xf>
    <xf numFmtId="0" fontId="18" fillId="11" borderId="0" xfId="0" applyNumberFormat="1" applyFont="1" applyFill="1" applyAlignment="1">
      <alignment horizontal="center" vertical="center" wrapText="1"/>
    </xf>
    <xf numFmtId="0" fontId="3" fillId="2" borderId="21" xfId="0" applyNumberFormat="1" applyFont="1" applyFill="1" applyBorder="1" applyAlignment="1">
      <alignment horizontal="center" vertical="top" wrapText="1"/>
    </xf>
    <xf numFmtId="171" fontId="28" fillId="4" borderId="0" xfId="0" applyNumberFormat="1" applyFont="1" applyFill="1" applyAlignment="1">
      <alignment horizontal="left" vertical="center"/>
    </xf>
    <xf numFmtId="0" fontId="3" fillId="2" borderId="5" xfId="0" applyNumberFormat="1" applyFont="1" applyFill="1" applyBorder="1" applyAlignment="1">
      <alignment horizontal="left" vertical="center" wrapText="1"/>
    </xf>
    <xf numFmtId="171" fontId="2" fillId="7" borderId="21" xfId="0" applyNumberFormat="1" applyFont="1" applyFill="1" applyBorder="1" applyAlignment="1">
      <alignment horizontal="left" vertical="center"/>
    </xf>
    <xf numFmtId="0" fontId="6" fillId="4" borderId="24" xfId="0" applyNumberFormat="1" applyFont="1" applyFill="1" applyBorder="1" applyAlignment="1">
      <alignment horizontal="center" vertical="center" wrapText="1"/>
    </xf>
    <xf numFmtId="0" fontId="2" fillId="7" borderId="21" xfId="0" applyNumberFormat="1" applyFont="1" applyFill="1" applyBorder="1" applyAlignment="1">
      <alignment horizontal="left" vertical="center"/>
    </xf>
    <xf numFmtId="0" fontId="2" fillId="7" borderId="6" xfId="0" applyNumberFormat="1" applyFont="1" applyFill="1" applyBorder="1" applyAlignment="1">
      <alignment horizontal="left" vertical="center"/>
    </xf>
    <xf numFmtId="0" fontId="18" fillId="9" borderId="0" xfId="0" applyNumberFormat="1" applyFont="1" applyFill="1" applyAlignment="1">
      <alignment vertical="center" wrapText="1"/>
    </xf>
    <xf numFmtId="9" fontId="18" fillId="3" borderId="21" xfId="0" applyNumberFormat="1" applyFont="1" applyFill="1" applyBorder="1" applyAlignment="1">
      <alignment horizontal="center" vertical="center" wrapText="1"/>
    </xf>
    <xf numFmtId="0" fontId="18" fillId="9" borderId="0" xfId="0" applyNumberFormat="1" applyFont="1" applyFill="1" applyAlignment="1">
      <alignment horizontal="left" vertical="center" wrapText="1"/>
    </xf>
    <xf numFmtId="0" fontId="23" fillId="2" borderId="23" xfId="0" applyNumberFormat="1" applyFont="1" applyFill="1" applyBorder="1" applyAlignment="1">
      <alignment horizontal="center" vertical="center" wrapText="1"/>
    </xf>
    <xf numFmtId="0" fontId="30" fillId="0" borderId="0" xfId="0" applyNumberFormat="1" applyFont="1" applyAlignment="1">
      <alignment horizontal="left" vertical="center" wrapText="1"/>
    </xf>
    <xf numFmtId="0" fontId="4" fillId="5" borderId="1" xfId="0" applyNumberFormat="1" applyFont="1" applyFill="1" applyBorder="1" applyAlignment="1">
      <alignment horizontal="left" vertical="center"/>
    </xf>
    <xf numFmtId="0" fontId="4" fillId="5" borderId="2" xfId="0" applyNumberFormat="1" applyFont="1" applyFill="1" applyBorder="1" applyAlignment="1">
      <alignment horizontal="left" vertical="center"/>
    </xf>
    <xf numFmtId="0" fontId="4" fillId="5" borderId="2" xfId="0" applyNumberFormat="1" applyFont="1" applyFill="1" applyBorder="1" applyAlignment="1">
      <alignment horizontal="left" vertical="top"/>
    </xf>
    <xf numFmtId="0" fontId="4" fillId="5" borderId="2" xfId="0" applyNumberFormat="1" applyFont="1" applyFill="1" applyBorder="1" applyAlignment="1">
      <alignment horizontal="center" vertical="center"/>
    </xf>
    <xf numFmtId="0" fontId="4" fillId="5" borderId="8" xfId="0" applyNumberFormat="1" applyFont="1" applyFill="1" applyBorder="1" applyAlignment="1">
      <alignment horizontal="left" vertical="center"/>
    </xf>
    <xf numFmtId="0" fontId="23" fillId="7" borderId="5" xfId="0" applyNumberFormat="1" applyFont="1" applyFill="1" applyBorder="1" applyAlignment="1">
      <alignment horizontal="left" vertical="center"/>
    </xf>
    <xf numFmtId="0" fontId="23" fillId="7" borderId="6" xfId="0" applyNumberFormat="1" applyFont="1" applyFill="1" applyBorder="1" applyAlignment="1">
      <alignment horizontal="left" vertical="center"/>
    </xf>
    <xf numFmtId="0" fontId="23" fillId="7" borderId="6" xfId="0" applyNumberFormat="1" applyFont="1" applyFill="1" applyBorder="1" applyAlignment="1">
      <alignment horizontal="left" vertical="top"/>
    </xf>
    <xf numFmtId="0" fontId="23" fillId="7" borderId="6" xfId="0" applyNumberFormat="1" applyFont="1" applyFill="1" applyBorder="1" applyAlignment="1">
      <alignment horizontal="center" vertical="center"/>
    </xf>
    <xf numFmtId="0" fontId="23" fillId="7" borderId="7" xfId="0" applyNumberFormat="1" applyFont="1" applyFill="1" applyBorder="1" applyAlignment="1">
      <alignment horizontal="left" vertical="center"/>
    </xf>
    <xf numFmtId="0" fontId="5" fillId="4" borderId="5" xfId="0" applyNumberFormat="1" applyFont="1" applyFill="1" applyBorder="1" applyAlignment="1">
      <alignment vertical="center" wrapText="1"/>
    </xf>
    <xf numFmtId="0" fontId="5" fillId="4" borderId="7" xfId="0" applyNumberFormat="1" applyFont="1" applyFill="1" applyBorder="1" applyAlignment="1">
      <alignment vertical="top" wrapText="1"/>
    </xf>
    <xf numFmtId="0" fontId="1" fillId="0" borderId="11" xfId="0" applyNumberFormat="1" applyFont="1" applyBorder="1" applyAlignment="1">
      <alignment horizontal="center" vertical="center"/>
    </xf>
    <xf numFmtId="49" fontId="18" fillId="0" borderId="21" xfId="0" applyNumberFormat="1" applyFont="1" applyBorder="1" applyAlignment="1">
      <alignment horizontal="left" vertical="center" wrapText="1"/>
    </xf>
    <xf numFmtId="0" fontId="33" fillId="4" borderId="21" xfId="0" applyNumberFormat="1" applyFont="1" applyFill="1" applyBorder="1" applyAlignment="1">
      <alignment vertical="center" wrapText="1"/>
    </xf>
    <xf numFmtId="0" fontId="6" fillId="4" borderId="21" xfId="0" applyNumberFormat="1" applyFont="1" applyFill="1" applyBorder="1" applyAlignment="1">
      <alignment vertical="center" wrapText="1"/>
    </xf>
    <xf numFmtId="49" fontId="18" fillId="0" borderId="21" xfId="0" applyNumberFormat="1" applyFont="1" applyBorder="1" applyAlignment="1">
      <alignment horizontal="left" vertical="center" wrapText="1"/>
    </xf>
    <xf numFmtId="0" fontId="9" fillId="7" borderId="6" xfId="0" applyNumberFormat="1" applyFont="1" applyFill="1" applyBorder="1" applyAlignment="1">
      <alignment horizontal="left" vertical="top"/>
    </xf>
    <xf numFmtId="0" fontId="6" fillId="4" borderId="5" xfId="0" applyNumberFormat="1" applyFont="1" applyFill="1" applyBorder="1" applyAlignment="1">
      <alignment vertical="center" wrapText="1"/>
    </xf>
    <xf numFmtId="0" fontId="5" fillId="0" borderId="21" xfId="0" applyNumberFormat="1" applyFont="1" applyBorder="1" applyAlignment="1">
      <alignment vertical="center" wrapText="1"/>
    </xf>
    <xf numFmtId="0" fontId="34" fillId="0" borderId="7" xfId="0" applyNumberFormat="1" applyFont="1" applyBorder="1" applyAlignment="1">
      <alignment vertical="top" wrapText="1"/>
    </xf>
    <xf numFmtId="0" fontId="33" fillId="4" borderId="5" xfId="0" applyNumberFormat="1" applyFont="1" applyFill="1" applyBorder="1" applyAlignment="1">
      <alignment vertical="center" wrapText="1"/>
    </xf>
    <xf numFmtId="0" fontId="5" fillId="4" borderId="21" xfId="0" applyNumberFormat="1" applyFont="1" applyFill="1" applyBorder="1" applyAlignment="1">
      <alignment vertical="center" wrapText="1"/>
    </xf>
    <xf numFmtId="0" fontId="5" fillId="0" borderId="7" xfId="0" applyNumberFormat="1" applyFont="1" applyBorder="1" applyAlignment="1">
      <alignment vertical="top" wrapText="1"/>
    </xf>
    <xf numFmtId="49" fontId="18" fillId="0" borderId="21" xfId="0" applyNumberFormat="1" applyFont="1" applyBorder="1" applyAlignment="1">
      <alignment horizontal="center" vertical="center" wrapText="1"/>
    </xf>
    <xf numFmtId="0" fontId="18" fillId="0" borderId="5" xfId="0" applyNumberFormat="1" applyFont="1" applyBorder="1" applyAlignment="1">
      <alignment horizontal="center" vertical="center" wrapText="1"/>
    </xf>
    <xf numFmtId="0" fontId="33" fillId="0" borderId="7" xfId="0" applyNumberFormat="1" applyFont="1" applyBorder="1" applyAlignment="1">
      <alignment vertical="top" wrapText="1"/>
    </xf>
    <xf numFmtId="0" fontId="5" fillId="4" borderId="5" xfId="0" applyNumberFormat="1" applyFont="1" applyFill="1" applyBorder="1" applyAlignment="1">
      <alignment vertical="center" wrapText="1"/>
    </xf>
    <xf numFmtId="0" fontId="5" fillId="0" borderId="21" xfId="0" applyNumberFormat="1" applyFont="1" applyBorder="1" applyAlignment="1">
      <alignment vertical="top" wrapText="1"/>
    </xf>
    <xf numFmtId="0" fontId="9" fillId="10" borderId="0" xfId="0" applyNumberFormat="1" applyFont="1" applyFill="1" applyAlignment="1">
      <alignment horizontal="center" vertical="center" wrapText="1"/>
    </xf>
    <xf numFmtId="0" fontId="1" fillId="11" borderId="0" xfId="0" applyNumberFormat="1" applyFont="1" applyFill="1" applyAlignment="1">
      <alignment vertical="center" wrapText="1"/>
    </xf>
    <xf numFmtId="0" fontId="24" fillId="0" borderId="0" xfId="0" applyNumberFormat="1" applyFont="1" applyAlignment="1">
      <alignment vertical="center"/>
    </xf>
    <xf numFmtId="0" fontId="4" fillId="2" borderId="21" xfId="0" applyNumberFormat="1" applyFont="1" applyFill="1" applyBorder="1" applyAlignment="1">
      <alignment horizontal="center" vertical="center" wrapText="1"/>
    </xf>
    <xf numFmtId="0" fontId="5" fillId="7" borderId="5" xfId="0" applyNumberFormat="1" applyFont="1" applyFill="1" applyBorder="1" applyAlignment="1">
      <alignment horizontal="left" vertical="center"/>
    </xf>
    <xf numFmtId="0" fontId="4" fillId="2" borderId="5" xfId="0" applyNumberFormat="1" applyFont="1" applyFill="1" applyBorder="1" applyAlignment="1">
      <alignment horizontal="left" vertical="center" wrapText="1"/>
    </xf>
    <xf numFmtId="171" fontId="24" fillId="7" borderId="21" xfId="0" applyNumberFormat="1" applyFont="1" applyFill="1" applyBorder="1" applyAlignment="1">
      <alignment horizontal="left" vertical="center"/>
    </xf>
    <xf numFmtId="0" fontId="1" fillId="9" borderId="21" xfId="0" applyNumberFormat="1" applyFont="1" applyFill="1" applyBorder="1" applyAlignment="1">
      <alignment horizontal="center" vertical="center" wrapText="1"/>
    </xf>
    <xf numFmtId="0" fontId="24" fillId="7" borderId="21" xfId="0" applyNumberFormat="1" applyFont="1" applyFill="1" applyBorder="1" applyAlignment="1">
      <alignment horizontal="left" vertical="center"/>
    </xf>
    <xf numFmtId="0" fontId="24" fillId="7" borderId="5" xfId="0" applyNumberFormat="1" applyFont="1" applyFill="1" applyBorder="1" applyAlignment="1">
      <alignment horizontal="left" vertical="center"/>
    </xf>
    <xf numFmtId="0" fontId="24" fillId="7" borderId="6" xfId="0" applyNumberFormat="1" applyFont="1" applyFill="1" applyBorder="1" applyAlignment="1">
      <alignment horizontal="left" vertical="center"/>
    </xf>
    <xf numFmtId="0" fontId="1" fillId="9" borderId="22" xfId="0" applyNumberFormat="1" applyFont="1" applyFill="1" applyBorder="1" applyAlignment="1">
      <alignment horizontal="left" vertical="center" wrapText="1"/>
    </xf>
    <xf numFmtId="0" fontId="1" fillId="9" borderId="0" xfId="0" applyNumberFormat="1" applyFont="1" applyFill="1" applyAlignment="1">
      <alignment vertical="center" wrapText="1"/>
    </xf>
    <xf numFmtId="0" fontId="1" fillId="9" borderId="0" xfId="0" applyNumberFormat="1" applyFont="1" applyFill="1" applyAlignment="1">
      <alignment vertical="center" wrapText="1"/>
    </xf>
    <xf numFmtId="0" fontId="36" fillId="12" borderId="21" xfId="0" applyNumberFormat="1" applyFont="1" applyFill="1" applyBorder="1" applyAlignment="1">
      <alignment horizontal="center" vertical="center"/>
    </xf>
    <xf numFmtId="0" fontId="1" fillId="9" borderId="0" xfId="0" applyNumberFormat="1" applyFont="1" applyFill="1" applyAlignment="1">
      <alignment horizontal="left" vertical="center" wrapText="1"/>
    </xf>
    <xf numFmtId="0" fontId="9" fillId="7" borderId="6" xfId="0" applyNumberFormat="1" applyFont="1" applyFill="1" applyBorder="1" applyAlignment="1">
      <alignment horizontal="left" vertical="center"/>
    </xf>
    <xf numFmtId="0" fontId="5" fillId="4" borderId="2" xfId="0" applyNumberFormat="1" applyFont="1" applyFill="1" applyBorder="1" applyAlignment="1">
      <alignment vertical="top" wrapText="1"/>
    </xf>
    <xf numFmtId="0" fontId="5" fillId="4" borderId="21" xfId="0" applyNumberFormat="1" applyFont="1" applyFill="1" applyBorder="1" applyAlignment="1">
      <alignment vertical="top" wrapText="1"/>
    </xf>
    <xf numFmtId="0" fontId="5" fillId="4" borderId="21" xfId="0" applyNumberFormat="1" applyFont="1" applyFill="1" applyBorder="1" applyAlignment="1">
      <alignment vertical="top" wrapText="1"/>
    </xf>
    <xf numFmtId="0" fontId="5" fillId="4" borderId="5" xfId="0" applyNumberFormat="1" applyFont="1" applyFill="1" applyBorder="1" applyAlignment="1">
      <alignment vertical="top" wrapText="1"/>
    </xf>
    <xf numFmtId="0" fontId="37" fillId="4" borderId="21" xfId="0" applyNumberFormat="1" applyFont="1" applyFill="1" applyBorder="1" applyAlignment="1">
      <alignment vertical="top" wrapText="1"/>
    </xf>
    <xf numFmtId="0" fontId="5" fillId="4" borderId="7" xfId="0" applyNumberFormat="1" applyFont="1" applyFill="1" applyBorder="1" applyAlignment="1">
      <alignment vertical="top" wrapText="1"/>
    </xf>
    <xf numFmtId="0" fontId="5" fillId="4" borderId="2" xfId="0" applyNumberFormat="1" applyFont="1" applyFill="1" applyBorder="1" applyAlignment="1">
      <alignment vertical="top" wrapText="1"/>
    </xf>
    <xf numFmtId="0" fontId="5" fillId="4" borderId="5" xfId="0" applyNumberFormat="1" applyFont="1" applyFill="1" applyBorder="1" applyAlignment="1">
      <alignment vertical="top" wrapText="1"/>
    </xf>
    <xf numFmtId="0" fontId="5" fillId="0" borderId="21" xfId="0" applyNumberFormat="1" applyFont="1" applyBorder="1" applyAlignment="1">
      <alignment vertical="top" wrapText="1"/>
    </xf>
    <xf numFmtId="0" fontId="5" fillId="4" borderId="2" xfId="0" applyNumberFormat="1" applyFont="1" applyFill="1" applyBorder="1" applyAlignment="1">
      <alignment vertical="top"/>
    </xf>
    <xf numFmtId="0" fontId="5" fillId="4" borderId="23" xfId="0" applyNumberFormat="1" applyFont="1" applyFill="1" applyBorder="1" applyAlignment="1">
      <alignment vertical="top" wrapText="1"/>
    </xf>
    <xf numFmtId="0" fontId="5" fillId="4" borderId="5" xfId="0" applyNumberFormat="1" applyFont="1" applyFill="1" applyBorder="1" applyAlignment="1">
      <alignment vertical="top"/>
    </xf>
    <xf numFmtId="0" fontId="5" fillId="4" borderId="21" xfId="0" applyNumberFormat="1" applyFont="1" applyFill="1" applyBorder="1" applyAlignment="1">
      <alignment vertical="top"/>
    </xf>
    <xf numFmtId="0" fontId="5" fillId="4" borderId="11" xfId="0" applyNumberFormat="1" applyFont="1" applyFill="1" applyBorder="1" applyAlignment="1">
      <alignment vertical="top" wrapText="1"/>
    </xf>
    <xf numFmtId="0" fontId="5" fillId="4" borderId="21" xfId="0" applyNumberFormat="1" applyFont="1" applyFill="1" applyBorder="1" applyAlignment="1">
      <alignment vertical="top" wrapText="1"/>
    </xf>
    <xf numFmtId="0" fontId="5" fillId="0" borderId="23" xfId="0" applyNumberFormat="1" applyFont="1" applyBorder="1" applyAlignment="1">
      <alignment horizontal="left" vertical="center" wrapText="1"/>
    </xf>
    <xf numFmtId="0" fontId="5" fillId="4" borderId="5" xfId="0" applyNumberFormat="1" applyFont="1" applyFill="1" applyBorder="1" applyAlignment="1">
      <alignment vertical="top" wrapText="1"/>
    </xf>
    <xf numFmtId="0" fontId="5" fillId="4" borderId="24" xfId="0" applyNumberFormat="1" applyFont="1" applyFill="1" applyBorder="1" applyAlignment="1">
      <alignment vertical="top" wrapText="1"/>
    </xf>
    <xf numFmtId="164" fontId="16" fillId="4" borderId="7" xfId="0" applyNumberFormat="1" applyFont="1" applyFill="1" applyBorder="1" applyAlignment="1">
      <alignment vertical="top" wrapText="1"/>
    </xf>
    <xf numFmtId="164" fontId="16" fillId="4" borderId="5" xfId="0" applyNumberFormat="1" applyFont="1" applyFill="1" applyBorder="1" applyAlignment="1">
      <alignment vertical="top" wrapText="1"/>
    </xf>
    <xf numFmtId="164" fontId="19" fillId="4" borderId="5" xfId="0" applyNumberFormat="1" applyFont="1" applyFill="1" applyBorder="1" applyAlignment="1">
      <alignment vertical="top"/>
    </xf>
    <xf numFmtId="0" fontId="16" fillId="4" borderId="5" xfId="0" applyNumberFormat="1" applyFont="1" applyFill="1" applyBorder="1" applyAlignment="1">
      <alignment vertical="top" wrapText="1"/>
    </xf>
    <xf numFmtId="164" fontId="19" fillId="4" borderId="21" xfId="0" applyNumberFormat="1" applyFont="1" applyFill="1" applyBorder="1" applyAlignment="1">
      <alignment vertical="top"/>
    </xf>
    <xf numFmtId="164" fontId="16" fillId="4" borderId="21" xfId="0" applyNumberFormat="1" applyFont="1" applyFill="1" applyBorder="1" applyAlignment="1">
      <alignment vertical="top" wrapText="1"/>
    </xf>
    <xf numFmtId="0" fontId="16" fillId="4" borderId="21" xfId="0" applyNumberFormat="1" applyFont="1" applyFill="1" applyBorder="1" applyAlignment="1">
      <alignment vertical="top" wrapText="1"/>
    </xf>
    <xf numFmtId="0" fontId="5" fillId="4" borderId="21" xfId="0" applyNumberFormat="1" applyFont="1" applyFill="1" applyBorder="1" applyAlignment="1">
      <alignment vertical="top"/>
    </xf>
    <xf numFmtId="0" fontId="16" fillId="4" borderId="21" xfId="0" applyNumberFormat="1" applyFont="1" applyFill="1" applyBorder="1" applyAlignment="1">
      <alignment vertical="center" wrapText="1"/>
    </xf>
    <xf numFmtId="0" fontId="5" fillId="4" borderId="5" xfId="0" applyNumberFormat="1" applyFont="1" applyFill="1" applyBorder="1" applyAlignment="1">
      <alignment vertical="center"/>
    </xf>
    <xf numFmtId="0" fontId="5" fillId="4" borderId="5" xfId="0" applyNumberFormat="1" applyFont="1" applyFill="1" applyBorder="1" applyAlignment="1">
      <alignment vertical="center"/>
    </xf>
    <xf numFmtId="0" fontId="5" fillId="0" borderId="21" xfId="0" applyNumberFormat="1" applyFont="1" applyBorder="1" applyAlignment="1">
      <alignment vertical="center" wrapText="1"/>
    </xf>
    <xf numFmtId="0" fontId="5" fillId="0" borderId="23" xfId="0" applyNumberFormat="1" applyFont="1" applyBorder="1" applyAlignment="1">
      <alignment vertical="center" wrapText="1"/>
    </xf>
    <xf numFmtId="0" fontId="18" fillId="9" borderId="5" xfId="0" applyNumberFormat="1" applyFont="1" applyFill="1" applyBorder="1" applyAlignment="1">
      <alignment horizontal="center" vertical="center" wrapText="1"/>
    </xf>
    <xf numFmtId="0" fontId="6" fillId="0" borderId="21" xfId="0" applyNumberFormat="1" applyFont="1" applyBorder="1" applyAlignment="1">
      <alignment horizontal="center" vertical="center" wrapText="1"/>
    </xf>
    <xf numFmtId="0" fontId="1" fillId="10" borderId="0" xfId="0" applyNumberFormat="1" applyFont="1" applyFill="1" applyAlignment="1">
      <alignment horizontal="center" vertical="center" wrapText="1"/>
    </xf>
    <xf numFmtId="0" fontId="1" fillId="10" borderId="0" xfId="0" applyNumberFormat="1" applyFont="1" applyFill="1" applyAlignment="1">
      <alignment vertical="center" wrapText="1"/>
    </xf>
    <xf numFmtId="49" fontId="1" fillId="10" borderId="0" xfId="0" applyNumberFormat="1" applyFont="1" applyFill="1" applyAlignment="1">
      <alignment vertical="center" wrapText="1"/>
    </xf>
    <xf numFmtId="0" fontId="1" fillId="11" borderId="0" xfId="0" applyNumberFormat="1" applyFont="1" applyFill="1" applyAlignment="1">
      <alignment horizontal="center" vertical="center" wrapText="1"/>
    </xf>
    <xf numFmtId="171" fontId="38" fillId="4" borderId="0" xfId="0" applyNumberFormat="1" applyFont="1" applyFill="1" applyAlignment="1">
      <alignment horizontal="left" vertical="center"/>
    </xf>
    <xf numFmtId="0" fontId="1" fillId="9" borderId="0" xfId="0" applyNumberFormat="1" applyFont="1" applyFill="1" applyAlignment="1">
      <alignment horizontal="center" vertical="center" wrapText="1"/>
    </xf>
    <xf numFmtId="0" fontId="39" fillId="0" borderId="0" xfId="0" applyNumberFormat="1" applyFont="1" applyAlignment="1">
      <alignment horizontal="left" vertical="center" wrapText="1"/>
    </xf>
    <xf numFmtId="0" fontId="9" fillId="7" borderId="5" xfId="0" applyNumberFormat="1" applyFont="1" applyFill="1" applyBorder="1" applyAlignment="1">
      <alignment horizontal="left" vertical="center"/>
    </xf>
    <xf numFmtId="0" fontId="9" fillId="7" borderId="6" xfId="0" applyNumberFormat="1" applyFont="1" applyFill="1" applyBorder="1" applyAlignment="1">
      <alignment horizontal="center" vertical="center"/>
    </xf>
    <xf numFmtId="174" fontId="1" fillId="0" borderId="21" xfId="0" applyNumberFormat="1" applyFont="1" applyBorder="1" applyAlignment="1">
      <alignment horizontal="center" vertical="center" wrapText="1"/>
    </xf>
    <xf numFmtId="0" fontId="1" fillId="0" borderId="21" xfId="0" applyNumberFormat="1" applyFont="1" applyBorder="1" applyAlignment="1">
      <alignment horizontal="center" vertical="center" wrapText="1"/>
    </xf>
    <xf numFmtId="49" fontId="1" fillId="0" borderId="21" xfId="0" applyNumberFormat="1" applyFont="1" applyBorder="1" applyAlignment="1">
      <alignment horizontal="left" vertical="center" wrapText="1"/>
    </xf>
    <xf numFmtId="0" fontId="5" fillId="0" borderId="1" xfId="0" applyNumberFormat="1" applyFont="1" applyBorder="1" applyAlignment="1">
      <alignment vertical="top" wrapText="1"/>
    </xf>
    <xf numFmtId="0" fontId="1" fillId="9" borderId="5" xfId="0" applyNumberFormat="1" applyFont="1" applyFill="1" applyBorder="1" applyAlignment="1">
      <alignment horizontal="center" vertical="center" wrapText="1"/>
    </xf>
    <xf numFmtId="0" fontId="5" fillId="4" borderId="23" xfId="0" applyNumberFormat="1" applyFont="1" applyFill="1" applyBorder="1" applyAlignment="1">
      <alignment vertical="top" wrapText="1"/>
    </xf>
    <xf numFmtId="0" fontId="5" fillId="4" borderId="23" xfId="0" applyNumberFormat="1" applyFont="1" applyFill="1" applyBorder="1" applyAlignment="1">
      <alignment vertical="center" wrapText="1"/>
    </xf>
    <xf numFmtId="0" fontId="5" fillId="4" borderId="21" xfId="0" applyNumberFormat="1" applyFont="1" applyFill="1" applyBorder="1" applyAlignment="1">
      <alignment vertical="center" wrapText="1"/>
    </xf>
    <xf numFmtId="0" fontId="5" fillId="4" borderId="23" xfId="0" applyNumberFormat="1" applyFont="1" applyFill="1" applyBorder="1" applyAlignment="1">
      <alignment vertical="center" wrapText="1"/>
    </xf>
    <xf numFmtId="164" fontId="16" fillId="4" borderId="5" xfId="0" applyNumberFormat="1" applyFont="1" applyFill="1" applyBorder="1" applyAlignment="1">
      <alignment vertical="center" wrapText="1"/>
    </xf>
    <xf numFmtId="0" fontId="16" fillId="4" borderId="5" xfId="0" applyNumberFormat="1" applyFont="1" applyFill="1" applyBorder="1" applyAlignment="1">
      <alignment vertical="center" wrapText="1"/>
    </xf>
    <xf numFmtId="0" fontId="19" fillId="4" borderId="5" xfId="0" applyNumberFormat="1" applyFont="1" applyFill="1" applyBorder="1" applyAlignment="1">
      <alignment vertical="center"/>
    </xf>
    <xf numFmtId="164" fontId="19" fillId="4" borderId="5" xfId="0" applyNumberFormat="1" applyFont="1" applyFill="1" applyBorder="1"/>
    <xf numFmtId="49" fontId="8" fillId="0" borderId="21" xfId="0" applyNumberFormat="1" applyFont="1" applyBorder="1"/>
    <xf numFmtId="0" fontId="1" fillId="0" borderId="21" xfId="0" applyNumberFormat="1" applyFont="1" applyBorder="1" applyAlignment="1">
      <alignment horizontal="center" vertical="center" wrapText="1"/>
    </xf>
    <xf numFmtId="49" fontId="1" fillId="0" borderId="21" xfId="0" applyNumberFormat="1" applyFont="1" applyBorder="1" applyAlignment="1">
      <alignment horizontal="center" vertical="center" wrapText="1"/>
    </xf>
    <xf numFmtId="164" fontId="16" fillId="4" borderId="0" xfId="0" applyNumberFormat="1" applyFont="1" applyFill="1" applyAlignment="1">
      <alignment vertical="top" wrapText="1"/>
    </xf>
    <xf numFmtId="0" fontId="16" fillId="4" borderId="9" xfId="0" applyNumberFormat="1" applyFont="1" applyFill="1" applyBorder="1" applyAlignment="1">
      <alignment vertical="top" wrapText="1"/>
    </xf>
    <xf numFmtId="164" fontId="19" fillId="4" borderId="21" xfId="0" applyNumberFormat="1" applyFont="1" applyFill="1" applyBorder="1" applyAlignment="1">
      <alignment vertical="center"/>
    </xf>
    <xf numFmtId="0" fontId="16" fillId="4" borderId="7" xfId="0" applyNumberFormat="1" applyFont="1" applyFill="1" applyBorder="1" applyAlignment="1">
      <alignment vertical="top" wrapText="1"/>
    </xf>
    <xf numFmtId="0" fontId="16" fillId="4" borderId="1" xfId="0" applyNumberFormat="1" applyFont="1" applyFill="1" applyBorder="1" applyAlignment="1">
      <alignment vertical="top" wrapText="1"/>
    </xf>
    <xf numFmtId="164" fontId="16" fillId="4" borderId="3" xfId="0" applyNumberFormat="1" applyFont="1" applyFill="1" applyBorder="1" applyAlignment="1">
      <alignment vertical="top" wrapText="1"/>
    </xf>
    <xf numFmtId="0" fontId="5" fillId="0" borderId="4" xfId="0" applyNumberFormat="1" applyFont="1" applyBorder="1" applyAlignment="1">
      <alignment vertical="center" wrapText="1"/>
    </xf>
    <xf numFmtId="0" fontId="5" fillId="4" borderId="5" xfId="0" applyNumberFormat="1" applyFont="1" applyFill="1" applyBorder="1" applyAlignment="1">
      <alignment vertical="top"/>
    </xf>
    <xf numFmtId="9" fontId="1" fillId="3" borderId="21" xfId="0" applyNumberFormat="1" applyFont="1" applyFill="1" applyBorder="1" applyAlignment="1">
      <alignment horizontal="center" vertical="center" wrapText="1"/>
    </xf>
    <xf numFmtId="0" fontId="1" fillId="0" borderId="0" xfId="0" applyNumberFormat="1" applyFont="1" applyAlignment="1">
      <alignment horizontal="center" vertical="center" wrapText="1"/>
    </xf>
    <xf numFmtId="0" fontId="5" fillId="4" borderId="5" xfId="0" applyNumberFormat="1" applyFont="1" applyFill="1" applyBorder="1" applyAlignment="1">
      <alignment horizontal="left" vertical="center" wrapText="1"/>
    </xf>
    <xf numFmtId="0" fontId="5" fillId="4" borderId="21" xfId="0" applyNumberFormat="1" applyFont="1" applyFill="1" applyBorder="1" applyAlignment="1">
      <alignment horizontal="left" vertical="top" wrapText="1"/>
    </xf>
    <xf numFmtId="49" fontId="40" fillId="0" borderId="21" xfId="0" applyNumberFormat="1" applyFont="1" applyBorder="1" applyAlignment="1">
      <alignment horizontal="center" vertical="center" wrapText="1"/>
    </xf>
    <xf numFmtId="0" fontId="1" fillId="0" borderId="21" xfId="0" applyNumberFormat="1" applyFont="1" applyBorder="1" applyAlignment="1">
      <alignment horizontal="center" vertical="center"/>
    </xf>
    <xf numFmtId="0" fontId="5" fillId="0" borderId="23" xfId="0" applyNumberFormat="1" applyFont="1" applyBorder="1" applyAlignment="1">
      <alignment horizontal="left" vertical="center" wrapText="1"/>
    </xf>
    <xf numFmtId="0" fontId="5" fillId="4" borderId="7" xfId="0" applyNumberFormat="1" applyFont="1" applyFill="1" applyBorder="1" applyAlignment="1">
      <alignment horizontal="left" vertical="top" wrapText="1"/>
    </xf>
    <xf numFmtId="0" fontId="5" fillId="0" borderId="5" xfId="0" applyNumberFormat="1" applyFont="1" applyBorder="1" applyAlignment="1">
      <alignment horizontal="left" vertical="top" wrapText="1"/>
    </xf>
    <xf numFmtId="0" fontId="16" fillId="4" borderId="5" xfId="0" applyNumberFormat="1" applyFont="1" applyFill="1" applyBorder="1" applyAlignment="1">
      <alignment horizontal="left" vertical="top" wrapText="1"/>
    </xf>
    <xf numFmtId="0" fontId="16" fillId="0" borderId="21" xfId="0" applyNumberFormat="1" applyFont="1" applyBorder="1" applyAlignment="1">
      <alignment horizontal="left" vertical="top" wrapText="1"/>
    </xf>
    <xf numFmtId="164" fontId="16" fillId="0" borderId="23" xfId="0" applyNumberFormat="1" applyFont="1" applyBorder="1" applyAlignment="1">
      <alignment vertical="center" wrapText="1"/>
    </xf>
    <xf numFmtId="0" fontId="5" fillId="0" borderId="21" xfId="0" applyNumberFormat="1" applyFont="1" applyBorder="1" applyAlignment="1">
      <alignment vertical="center"/>
    </xf>
    <xf numFmtId="164" fontId="16" fillId="0" borderId="21" xfId="0" applyNumberFormat="1" applyFont="1" applyBorder="1" applyAlignment="1">
      <alignment vertical="center" wrapText="1"/>
    </xf>
    <xf numFmtId="0" fontId="16" fillId="0" borderId="7" xfId="0" applyNumberFormat="1" applyFont="1" applyBorder="1" applyAlignment="1">
      <alignment vertical="top" wrapText="1"/>
    </xf>
    <xf numFmtId="164" fontId="19" fillId="0" borderId="21" xfId="0" applyNumberFormat="1" applyFont="1" applyBorder="1" applyAlignment="1">
      <alignment vertical="center"/>
    </xf>
    <xf numFmtId="0" fontId="5" fillId="0" borderId="21" xfId="0" applyNumberFormat="1" applyFont="1" applyBorder="1" applyAlignment="1">
      <alignment horizontal="left" vertical="center" wrapText="1"/>
    </xf>
    <xf numFmtId="0" fontId="1" fillId="11" borderId="0" xfId="0" applyNumberFormat="1" applyFont="1" applyFill="1" applyAlignment="1">
      <alignment vertical="top" wrapText="1"/>
    </xf>
    <xf numFmtId="0" fontId="1" fillId="0" borderId="0" xfId="0" applyNumberFormat="1" applyFont="1" applyAlignment="1">
      <alignment vertical="top" wrapText="1"/>
    </xf>
    <xf numFmtId="0" fontId="6" fillId="0" borderId="23" xfId="0" applyNumberFormat="1" applyFont="1" applyBorder="1" applyAlignment="1">
      <alignment horizontal="left" vertical="center" wrapText="1"/>
    </xf>
    <xf numFmtId="0" fontId="6" fillId="4" borderId="2" xfId="0" applyNumberFormat="1" applyFont="1" applyFill="1" applyBorder="1" applyAlignment="1">
      <alignment horizontal="left" vertical="center" wrapText="1"/>
    </xf>
    <xf numFmtId="0" fontId="5" fillId="4" borderId="21" xfId="0" applyNumberFormat="1" applyFont="1" applyFill="1" applyBorder="1" applyAlignment="1">
      <alignment vertical="top" wrapText="1"/>
    </xf>
    <xf numFmtId="0" fontId="15" fillId="4" borderId="21" xfId="0" applyNumberFormat="1" applyFont="1" applyFill="1" applyBorder="1" applyAlignment="1">
      <alignment vertical="top" wrapText="1"/>
    </xf>
    <xf numFmtId="164" fontId="15" fillId="4" borderId="21" xfId="0" applyNumberFormat="1" applyFont="1" applyFill="1" applyBorder="1" applyAlignment="1">
      <alignment vertical="top" wrapText="1"/>
    </xf>
    <xf numFmtId="164" fontId="16" fillId="4" borderId="21" xfId="0" applyNumberFormat="1" applyFont="1" applyFill="1" applyBorder="1" applyAlignment="1">
      <alignment horizontal="left" vertical="center" wrapText="1"/>
    </xf>
    <xf numFmtId="0" fontId="5" fillId="4" borderId="23" xfId="0" applyNumberFormat="1" applyFont="1" applyFill="1" applyBorder="1" applyAlignment="1">
      <alignment horizontal="left" vertical="center" wrapText="1"/>
    </xf>
    <xf numFmtId="0" fontId="19" fillId="4" borderId="21" xfId="0" applyNumberFormat="1" applyFont="1" applyFill="1" applyBorder="1" applyAlignment="1">
      <alignment horizontal="left" vertical="center"/>
    </xf>
    <xf numFmtId="0" fontId="42" fillId="4" borderId="5" xfId="0" applyNumberFormat="1" applyFont="1" applyFill="1" applyBorder="1" applyAlignment="1">
      <alignment horizontal="left" vertical="top" wrapText="1"/>
    </xf>
    <xf numFmtId="0" fontId="16" fillId="4" borderId="5" xfId="0" applyNumberFormat="1" applyFont="1" applyFill="1" applyBorder="1" applyAlignment="1">
      <alignment horizontal="left" vertical="top" wrapText="1"/>
    </xf>
    <xf numFmtId="164" fontId="8" fillId="4" borderId="5" xfId="0" applyNumberFormat="1" applyFont="1" applyFill="1" applyBorder="1" applyAlignment="1">
      <alignment vertical="top"/>
    </xf>
    <xf numFmtId="164" fontId="15" fillId="4" borderId="5" xfId="0" applyNumberFormat="1" applyFont="1" applyFill="1" applyBorder="1" applyAlignment="1">
      <alignment vertical="top" wrapText="1"/>
    </xf>
    <xf numFmtId="0" fontId="15" fillId="4" borderId="5" xfId="0" applyNumberFormat="1" applyFont="1" applyFill="1" applyBorder="1" applyAlignment="1">
      <alignment vertical="top" wrapText="1"/>
    </xf>
    <xf numFmtId="0" fontId="16" fillId="4" borderId="5" xfId="0" applyNumberFormat="1" applyFont="1" applyFill="1" applyBorder="1" applyAlignment="1">
      <alignment horizontal="left" vertical="top" wrapText="1"/>
    </xf>
    <xf numFmtId="0" fontId="18" fillId="4" borderId="21" xfId="0" applyNumberFormat="1" applyFont="1" applyFill="1" applyBorder="1" applyAlignment="1">
      <alignment horizontal="center" vertical="center" wrapText="1"/>
    </xf>
    <xf numFmtId="0" fontId="5" fillId="4" borderId="21" xfId="0" applyNumberFormat="1" applyFont="1" applyFill="1" applyBorder="1" applyAlignment="1">
      <alignment horizontal="left" vertical="center" wrapText="1"/>
    </xf>
    <xf numFmtId="0" fontId="31" fillId="0" borderId="5" xfId="0" applyNumberFormat="1" applyFont="1" applyBorder="1" applyAlignment="1">
      <alignment horizontal="center" vertical="center" wrapText="1"/>
    </xf>
    <xf numFmtId="0" fontId="2" fillId="0" borderId="21" xfId="0" applyNumberFormat="1" applyFont="1" applyBorder="1" applyAlignment="1">
      <alignment horizontal="left" vertical="center"/>
    </xf>
    <xf numFmtId="49" fontId="8" fillId="0" borderId="21" xfId="0" applyNumberFormat="1" applyFont="1" applyBorder="1" applyAlignment="1">
      <alignment horizontal="center" vertical="center" wrapText="1"/>
    </xf>
    <xf numFmtId="49" fontId="8" fillId="0" borderId="21" xfId="0" applyNumberFormat="1" applyFont="1" applyBorder="1" applyAlignment="1">
      <alignment horizontal="center" vertical="center" wrapText="1"/>
    </xf>
    <xf numFmtId="0" fontId="2" fillId="0" borderId="21" xfId="0" applyNumberFormat="1" applyFont="1" applyBorder="1" applyAlignment="1">
      <alignment horizontal="left" vertical="center" wrapText="1"/>
    </xf>
    <xf numFmtId="0" fontId="2" fillId="0" borderId="23" xfId="0" applyNumberFormat="1" applyFont="1" applyBorder="1" applyAlignment="1">
      <alignment horizontal="left" vertical="center"/>
    </xf>
    <xf numFmtId="0" fontId="16" fillId="4" borderId="21" xfId="0" applyNumberFormat="1" applyFont="1" applyFill="1" applyBorder="1" applyAlignment="1">
      <alignment horizontal="left" vertical="top" wrapText="1"/>
    </xf>
    <xf numFmtId="0" fontId="19" fillId="4" borderId="5" xfId="0" applyNumberFormat="1" applyFont="1" applyFill="1" applyBorder="1" applyAlignment="1">
      <alignment horizontal="left" vertical="center"/>
    </xf>
    <xf numFmtId="0" fontId="2" fillId="0" borderId="21" xfId="0" applyNumberFormat="1" applyFont="1" applyBorder="1" applyAlignment="1">
      <alignment horizontal="left" vertical="top"/>
    </xf>
    <xf numFmtId="0" fontId="17" fillId="4" borderId="5" xfId="0" applyNumberFormat="1" applyFont="1" applyFill="1" applyBorder="1" applyAlignment="1">
      <alignment horizontal="left" vertical="top" wrapText="1"/>
    </xf>
    <xf numFmtId="0" fontId="5" fillId="4" borderId="24" xfId="0" applyNumberFormat="1" applyFont="1" applyFill="1" applyBorder="1" applyAlignment="1">
      <alignment horizontal="left" vertical="center" wrapText="1"/>
    </xf>
    <xf numFmtId="49" fontId="44" fillId="0" borderId="21" xfId="0" applyNumberFormat="1" applyFont="1" applyBorder="1" applyAlignment="1">
      <alignment horizontal="center" vertical="center" wrapText="1"/>
    </xf>
    <xf numFmtId="0" fontId="19" fillId="4" borderId="21" xfId="0" applyNumberFormat="1" applyFont="1" applyFill="1" applyBorder="1" applyAlignment="1">
      <alignment horizontal="left" vertical="top"/>
    </xf>
    <xf numFmtId="0" fontId="45" fillId="4" borderId="5" xfId="0" applyNumberFormat="1" applyFont="1" applyFill="1" applyBorder="1" applyAlignment="1">
      <alignment vertical="top" wrapText="1"/>
    </xf>
    <xf numFmtId="0" fontId="21" fillId="4" borderId="5" xfId="0" applyNumberFormat="1" applyFont="1" applyFill="1" applyBorder="1" applyAlignment="1">
      <alignment vertical="top" wrapText="1"/>
    </xf>
    <xf numFmtId="0" fontId="46" fillId="0" borderId="5" xfId="0" applyNumberFormat="1" applyFont="1" applyBorder="1" applyAlignment="1">
      <alignment horizontal="left" vertical="center" wrapText="1"/>
    </xf>
    <xf numFmtId="49" fontId="1" fillId="0" borderId="21" xfId="0" applyNumberFormat="1" applyFont="1" applyBorder="1" applyAlignment="1">
      <alignment horizontal="left" vertical="top" wrapText="1"/>
    </xf>
    <xf numFmtId="0" fontId="9" fillId="10" borderId="0" xfId="0" applyNumberFormat="1" applyFont="1" applyFill="1" applyAlignment="1">
      <alignment horizontal="center" vertical="top" wrapText="1"/>
    </xf>
    <xf numFmtId="0" fontId="24" fillId="0" borderId="0" xfId="0" applyNumberFormat="1" applyFont="1" applyAlignment="1">
      <alignment vertical="top"/>
    </xf>
    <xf numFmtId="0" fontId="4" fillId="2" borderId="21" xfId="0" applyNumberFormat="1" applyFont="1" applyFill="1" applyBorder="1" applyAlignment="1">
      <alignment horizontal="center" vertical="top" wrapText="1"/>
    </xf>
    <xf numFmtId="0" fontId="5" fillId="4" borderId="24" xfId="0" applyNumberFormat="1" applyFont="1" applyFill="1" applyBorder="1" applyAlignment="1">
      <alignment horizontal="center" vertical="center" wrapText="1"/>
    </xf>
    <xf numFmtId="0" fontId="15" fillId="4" borderId="7" xfId="0" applyNumberFormat="1" applyFont="1" applyFill="1" applyBorder="1" applyAlignment="1">
      <alignment vertical="top" wrapText="1"/>
    </xf>
    <xf numFmtId="0" fontId="33" fillId="4" borderId="5" xfId="0" applyNumberFormat="1" applyFont="1" applyFill="1" applyBorder="1" applyAlignment="1">
      <alignment vertical="top" wrapText="1"/>
    </xf>
    <xf numFmtId="0" fontId="1" fillId="0" borderId="10" xfId="0" applyNumberFormat="1" applyFont="1" applyBorder="1" applyAlignment="1">
      <alignment horizontal="center" vertical="center"/>
    </xf>
    <xf numFmtId="164" fontId="15" fillId="4" borderId="7" xfId="0" applyNumberFormat="1" applyFont="1" applyFill="1" applyBorder="1" applyAlignment="1">
      <alignment vertical="top" wrapText="1"/>
    </xf>
    <xf numFmtId="164" fontId="8" fillId="4" borderId="21" xfId="0" applyNumberFormat="1" applyFont="1" applyFill="1" applyBorder="1" applyAlignment="1">
      <alignment vertical="top"/>
    </xf>
    <xf numFmtId="0" fontId="48" fillId="4" borderId="5" xfId="0" applyNumberFormat="1" applyFont="1" applyFill="1" applyBorder="1" applyAlignment="1">
      <alignment vertical="top" wrapText="1"/>
    </xf>
    <xf numFmtId="0" fontId="48" fillId="4" borderId="5" xfId="0" applyNumberFormat="1" applyFont="1" applyFill="1" applyBorder="1" applyAlignment="1">
      <alignment vertical="top"/>
    </xf>
    <xf numFmtId="0" fontId="5" fillId="4" borderId="8" xfId="0" applyNumberFormat="1" applyFont="1" applyFill="1" applyBorder="1" applyAlignment="1">
      <alignment vertical="top" wrapText="1"/>
    </xf>
    <xf numFmtId="0" fontId="8" fillId="0" borderId="11" xfId="0" applyNumberFormat="1" applyFont="1" applyBorder="1" applyAlignment="1"/>
    <xf numFmtId="49" fontId="8" fillId="0" borderId="21" xfId="0" applyNumberFormat="1" applyFont="1" applyBorder="1" applyAlignment="1"/>
    <xf numFmtId="164" fontId="16" fillId="0" borderId="21" xfId="0" applyNumberFormat="1" applyFont="1" applyBorder="1" applyAlignment="1">
      <alignment vertical="top" wrapText="1"/>
    </xf>
    <xf numFmtId="0" fontId="6" fillId="4" borderId="21" xfId="0" applyNumberFormat="1" applyFont="1" applyFill="1" applyBorder="1" applyAlignment="1">
      <alignment vertical="top" wrapText="1"/>
    </xf>
    <xf numFmtId="164" fontId="15" fillId="0" borderId="21" xfId="0" applyNumberFormat="1" applyFont="1" applyBorder="1" applyAlignment="1">
      <alignment vertical="center" wrapText="1"/>
    </xf>
    <xf numFmtId="164" fontId="8" fillId="0" borderId="21" xfId="0" applyNumberFormat="1" applyFont="1" applyBorder="1" applyAlignment="1">
      <alignment vertical="center"/>
    </xf>
    <xf numFmtId="0" fontId="5" fillId="4" borderId="21" xfId="0" applyNumberFormat="1" applyFont="1" applyFill="1" applyBorder="1" applyAlignment="1">
      <alignment vertical="top"/>
    </xf>
    <xf numFmtId="164" fontId="16" fillId="4" borderId="21" xfId="0" applyNumberFormat="1" applyFont="1" applyFill="1" applyBorder="1" applyAlignment="1">
      <alignment vertical="center" wrapText="1"/>
    </xf>
    <xf numFmtId="0" fontId="5" fillId="0" borderId="1" xfId="0" applyNumberFormat="1" applyFont="1" applyBorder="1" applyAlignment="1">
      <alignment vertical="center" wrapText="1"/>
    </xf>
    <xf numFmtId="0" fontId="8" fillId="0" borderId="21" xfId="0" applyNumberFormat="1" applyFont="1" applyBorder="1" applyAlignment="1">
      <alignment horizontal="center" vertical="center"/>
    </xf>
    <xf numFmtId="164" fontId="16" fillId="4" borderId="7" xfId="0" applyNumberFormat="1" applyFont="1" applyFill="1" applyBorder="1" applyAlignment="1">
      <alignment vertical="center" wrapText="1"/>
    </xf>
    <xf numFmtId="0" fontId="5" fillId="4" borderId="21" xfId="0" applyNumberFormat="1" applyFont="1" applyFill="1" applyBorder="1" applyAlignment="1">
      <alignment horizontal="left" vertical="center" wrapText="1"/>
    </xf>
    <xf numFmtId="164" fontId="16" fillId="4" borderId="23" xfId="0" applyNumberFormat="1" applyFont="1" applyFill="1" applyBorder="1" applyAlignment="1">
      <alignment vertical="center" wrapText="1"/>
    </xf>
    <xf numFmtId="0" fontId="19" fillId="4" borderId="5" xfId="0" applyNumberFormat="1" applyFont="1" applyFill="1" applyBorder="1" applyAlignment="1">
      <alignment vertical="top"/>
    </xf>
    <xf numFmtId="0" fontId="5" fillId="0" borderId="25" xfId="0" applyNumberFormat="1" applyFont="1" applyBorder="1" applyAlignment="1">
      <alignment vertical="center" wrapText="1"/>
    </xf>
    <xf numFmtId="0" fontId="9" fillId="7" borderId="6" xfId="0" applyNumberFormat="1" applyFont="1" applyFill="1" applyBorder="1" applyAlignment="1">
      <alignment horizontal="left" vertical="center" wrapText="1"/>
    </xf>
    <xf numFmtId="0" fontId="23" fillId="7" borderId="6" xfId="0" applyNumberFormat="1" applyFont="1" applyFill="1" applyBorder="1" applyAlignment="1">
      <alignment horizontal="left" vertical="center" wrapText="1"/>
    </xf>
    <xf numFmtId="164" fontId="19" fillId="4" borderId="24" xfId="0" applyNumberFormat="1" applyFont="1" applyFill="1" applyBorder="1" applyAlignment="1">
      <alignment vertical="top"/>
    </xf>
    <xf numFmtId="0" fontId="5" fillId="4" borderId="25" xfId="0" applyNumberFormat="1" applyFont="1" applyFill="1" applyBorder="1" applyAlignment="1">
      <alignment vertical="center" wrapText="1"/>
    </xf>
    <xf numFmtId="164" fontId="19" fillId="4" borderId="21" xfId="0" applyNumberFormat="1" applyFont="1" applyFill="1" applyBorder="1"/>
    <xf numFmtId="49" fontId="49" fillId="0" borderId="21" xfId="0" applyNumberFormat="1" applyFont="1" applyBorder="1" applyAlignment="1">
      <alignment horizontal="center" vertical="center" wrapText="1"/>
    </xf>
    <xf numFmtId="49" fontId="50" fillId="0" borderId="21" xfId="0" applyNumberFormat="1" applyFont="1" applyBorder="1" applyAlignment="1">
      <alignment horizontal="left" vertical="top" wrapText="1"/>
    </xf>
    <xf numFmtId="49" fontId="1" fillId="0" borderId="21" xfId="0" applyNumberFormat="1" applyFont="1" applyBorder="1" applyAlignment="1">
      <alignment horizontal="center" vertical="center" wrapText="1"/>
    </xf>
    <xf numFmtId="164" fontId="16" fillId="0" borderId="23" xfId="0" applyNumberFormat="1" applyFont="1" applyBorder="1" applyAlignment="1">
      <alignment wrapText="1"/>
    </xf>
    <xf numFmtId="164" fontId="16" fillId="4" borderId="23" xfId="0" applyNumberFormat="1" applyFont="1" applyFill="1" applyBorder="1" applyAlignment="1">
      <alignment wrapText="1"/>
    </xf>
    <xf numFmtId="0" fontId="5" fillId="4" borderId="21" xfId="0" applyNumberFormat="1" applyFont="1" applyFill="1" applyBorder="1" applyAlignment="1">
      <alignment vertical="center" wrapText="1"/>
    </xf>
    <xf numFmtId="0" fontId="5" fillId="4" borderId="21" xfId="0" applyNumberFormat="1" applyFont="1" applyFill="1" applyBorder="1" applyAlignment="1">
      <alignment vertical="center"/>
    </xf>
    <xf numFmtId="0" fontId="5" fillId="0" borderId="7" xfId="0" applyNumberFormat="1" applyFont="1" applyBorder="1" applyAlignment="1">
      <alignment vertical="center" wrapText="1"/>
    </xf>
    <xf numFmtId="0" fontId="51" fillId="4" borderId="21" xfId="0" applyNumberFormat="1" applyFont="1" applyFill="1" applyBorder="1" applyAlignment="1">
      <alignment vertical="top" wrapText="1"/>
    </xf>
    <xf numFmtId="0" fontId="5" fillId="4" borderId="24" xfId="0" applyNumberFormat="1" applyFont="1" applyFill="1" applyBorder="1" applyAlignment="1">
      <alignment vertical="center" wrapText="1"/>
    </xf>
    <xf numFmtId="0" fontId="6" fillId="0" borderId="21" xfId="0" applyNumberFormat="1" applyFont="1" applyBorder="1" applyAlignment="1">
      <alignment horizontal="center" vertical="center"/>
    </xf>
    <xf numFmtId="0" fontId="15" fillId="0" borderId="21" xfId="0" applyNumberFormat="1" applyFont="1" applyBorder="1" applyAlignment="1">
      <alignment vertical="center" wrapText="1"/>
    </xf>
    <xf numFmtId="164" fontId="15" fillId="0" borderId="23" xfId="0" applyNumberFormat="1" applyFont="1" applyBorder="1" applyAlignment="1">
      <alignment vertical="center" wrapText="1"/>
    </xf>
    <xf numFmtId="164" fontId="8" fillId="4" borderId="2" xfId="0" applyNumberFormat="1" applyFont="1" applyFill="1" applyBorder="1" applyAlignment="1">
      <alignment vertical="center"/>
    </xf>
    <xf numFmtId="164" fontId="8" fillId="4" borderId="21" xfId="0" applyNumberFormat="1" applyFont="1" applyFill="1" applyBorder="1"/>
    <xf numFmtId="0" fontId="33" fillId="0" borderId="21" xfId="0" applyNumberFormat="1" applyFont="1" applyBorder="1" applyAlignment="1">
      <alignment vertical="top" wrapText="1"/>
    </xf>
    <xf numFmtId="0" fontId="6" fillId="0" borderId="1" xfId="0" applyNumberFormat="1" applyFont="1" applyBorder="1" applyAlignment="1">
      <alignment vertical="center" wrapText="1"/>
    </xf>
    <xf numFmtId="164" fontId="15" fillId="4" borderId="21" xfId="0" applyNumberFormat="1" applyFont="1" applyFill="1" applyBorder="1" applyAlignment="1">
      <alignment vertical="center" wrapText="1"/>
    </xf>
    <xf numFmtId="164" fontId="15" fillId="4" borderId="21" xfId="0" applyNumberFormat="1" applyFont="1" applyFill="1" applyBorder="1" applyAlignment="1">
      <alignment wrapText="1"/>
    </xf>
    <xf numFmtId="164" fontId="8" fillId="0" borderId="10" xfId="0" applyNumberFormat="1" applyFont="1" applyBorder="1"/>
    <xf numFmtId="0" fontId="8" fillId="0" borderId="11" xfId="0" applyNumberFormat="1" applyFont="1" applyBorder="1" applyAlignment="1">
      <alignment vertical="center"/>
    </xf>
    <xf numFmtId="0" fontId="21" fillId="4" borderId="21" xfId="0" applyNumberFormat="1" applyFont="1" applyFill="1" applyBorder="1" applyAlignment="1">
      <alignment vertical="top" wrapText="1"/>
    </xf>
    <xf numFmtId="0" fontId="33" fillId="4" borderId="5" xfId="0" applyNumberFormat="1" applyFont="1" applyFill="1" applyBorder="1" applyAlignment="1">
      <alignment vertical="top" wrapText="1"/>
    </xf>
    <xf numFmtId="164" fontId="15" fillId="4" borderId="23" xfId="0" applyNumberFormat="1" applyFont="1" applyFill="1" applyBorder="1" applyAlignment="1">
      <alignment wrapText="1"/>
    </xf>
    <xf numFmtId="0" fontId="8" fillId="4" borderId="5" xfId="0" applyNumberFormat="1" applyFont="1" applyFill="1" applyBorder="1" applyAlignment="1">
      <alignment vertical="top" wrapText="1"/>
    </xf>
    <xf numFmtId="164" fontId="15" fillId="4" borderId="23" xfId="0" applyNumberFormat="1" applyFont="1" applyFill="1" applyBorder="1" applyAlignment="1">
      <alignment vertical="center" wrapText="1"/>
    </xf>
    <xf numFmtId="164" fontId="8" fillId="0" borderId="5" xfId="0" applyNumberFormat="1" applyFont="1" applyBorder="1" applyAlignment="1">
      <alignment vertical="center"/>
    </xf>
    <xf numFmtId="0" fontId="5" fillId="0" borderId="4" xfId="0" applyNumberFormat="1" applyFont="1" applyBorder="1" applyAlignment="1">
      <alignment vertical="top" wrapText="1"/>
    </xf>
    <xf numFmtId="0" fontId="5" fillId="4" borderId="1" xfId="0" applyNumberFormat="1" applyFont="1" applyFill="1" applyBorder="1" applyAlignment="1">
      <alignment vertical="top" wrapText="1"/>
    </xf>
    <xf numFmtId="0" fontId="5" fillId="0" borderId="7" xfId="0" applyNumberFormat="1" applyFont="1" applyBorder="1" applyAlignment="1">
      <alignment vertical="top" wrapText="1"/>
    </xf>
    <xf numFmtId="0" fontId="4" fillId="5" borderId="2" xfId="0" applyNumberFormat="1" applyFont="1" applyFill="1" applyBorder="1" applyAlignment="1">
      <alignment horizontal="center" vertical="center" wrapText="1"/>
    </xf>
    <xf numFmtId="164" fontId="16" fillId="4" borderId="21" xfId="0" applyNumberFormat="1" applyFont="1" applyFill="1" applyBorder="1" applyAlignment="1">
      <alignment wrapText="1"/>
    </xf>
    <xf numFmtId="0" fontId="5" fillId="4" borderId="7" xfId="0" applyNumberFormat="1" applyFont="1" applyFill="1" applyBorder="1" applyAlignment="1">
      <alignment vertical="center" wrapText="1"/>
    </xf>
    <xf numFmtId="0" fontId="23" fillId="7" borderId="6" xfId="0" applyNumberFormat="1" applyFont="1" applyFill="1" applyBorder="1" applyAlignment="1">
      <alignment horizontal="center" vertical="center" wrapText="1"/>
    </xf>
    <xf numFmtId="49" fontId="8" fillId="0" borderId="21" xfId="0" applyNumberFormat="1" applyFont="1" applyBorder="1" applyAlignment="1">
      <alignment horizontal="center" vertical="center" wrapText="1"/>
    </xf>
    <xf numFmtId="0" fontId="52" fillId="0" borderId="21" xfId="0" applyNumberFormat="1" applyFont="1" applyBorder="1" applyAlignment="1">
      <alignment horizontal="left" vertical="center" wrapText="1"/>
    </xf>
    <xf numFmtId="0" fontId="23" fillId="10" borderId="0" xfId="0" applyNumberFormat="1" applyFont="1" applyFill="1" applyAlignment="1">
      <alignment horizontal="center" vertical="top" wrapText="1"/>
    </xf>
    <xf numFmtId="164" fontId="8" fillId="4" borderId="21" xfId="0" applyNumberFormat="1" applyFont="1" applyFill="1" applyBorder="1" applyAlignment="1">
      <alignment vertical="center"/>
    </xf>
    <xf numFmtId="164" fontId="16" fillId="4" borderId="24" xfId="0" applyNumberFormat="1" applyFont="1" applyFill="1" applyBorder="1" applyAlignment="1">
      <alignment vertical="top" wrapText="1"/>
    </xf>
    <xf numFmtId="164" fontId="8" fillId="0" borderId="21" xfId="0" applyNumberFormat="1" applyFont="1" applyBorder="1"/>
    <xf numFmtId="0" fontId="53" fillId="0" borderId="0" xfId="0" applyNumberFormat="1" applyFont="1" applyAlignment="1">
      <alignment horizontal="left" vertical="center" wrapText="1"/>
    </xf>
    <xf numFmtId="0" fontId="5" fillId="0" borderId="21" xfId="0" applyNumberFormat="1" applyFont="1" applyBorder="1" applyAlignment="1">
      <alignment horizontal="left" vertical="top" wrapText="1"/>
    </xf>
    <xf numFmtId="0" fontId="18" fillId="10" borderId="0" xfId="0" applyNumberFormat="1" applyFont="1" applyFill="1" applyAlignment="1">
      <alignment horizontal="left" vertical="center" wrapText="1"/>
    </xf>
    <xf numFmtId="0" fontId="18" fillId="11" borderId="0" xfId="0" applyNumberFormat="1" applyFont="1" applyFill="1" applyAlignment="1">
      <alignment horizontal="left" vertical="center" wrapText="1"/>
    </xf>
    <xf numFmtId="0" fontId="26" fillId="12" borderId="21" xfId="0" applyNumberFormat="1" applyFont="1" applyFill="1" applyBorder="1" applyAlignment="1">
      <alignment horizontal="center" vertical="center"/>
    </xf>
    <xf numFmtId="0" fontId="18" fillId="0" borderId="0" xfId="0" applyNumberFormat="1" applyFont="1" applyAlignment="1">
      <alignment horizontal="left" vertical="center" wrapText="1"/>
    </xf>
    <xf numFmtId="0" fontId="4" fillId="5" borderId="2" xfId="0" applyNumberFormat="1" applyFont="1" applyFill="1" applyBorder="1" applyAlignment="1">
      <alignment horizontal="left" vertical="center" wrapText="1"/>
    </xf>
    <xf numFmtId="0" fontId="5" fillId="4" borderId="7" xfId="0" applyNumberFormat="1" applyFont="1" applyFill="1" applyBorder="1" applyAlignment="1">
      <alignment vertical="center" wrapText="1"/>
    </xf>
    <xf numFmtId="0" fontId="54" fillId="0" borderId="21" xfId="0" applyNumberFormat="1" applyFont="1" applyBorder="1" applyAlignment="1">
      <alignment horizontal="left" vertical="center" wrapText="1"/>
    </xf>
    <xf numFmtId="0" fontId="5" fillId="4" borderId="7" xfId="0" applyNumberFormat="1" applyFont="1" applyFill="1" applyBorder="1" applyAlignment="1">
      <alignment vertical="center" wrapText="1"/>
    </xf>
    <xf numFmtId="0" fontId="5" fillId="4" borderId="11" xfId="0" applyNumberFormat="1" applyFont="1" applyFill="1" applyBorder="1" applyAlignment="1">
      <alignment vertical="center" wrapText="1"/>
    </xf>
    <xf numFmtId="0" fontId="5" fillId="0" borderId="25" xfId="0" applyNumberFormat="1" applyFont="1" applyBorder="1" applyAlignment="1">
      <alignment horizontal="left" vertical="center" wrapText="1"/>
    </xf>
    <xf numFmtId="164" fontId="15" fillId="4" borderId="5" xfId="0" applyNumberFormat="1" applyFont="1" applyFill="1" applyBorder="1" applyAlignment="1">
      <alignment vertical="center" wrapText="1"/>
    </xf>
    <xf numFmtId="0" fontId="5" fillId="4" borderId="21" xfId="0" applyNumberFormat="1" applyFont="1" applyFill="1" applyBorder="1" applyAlignment="1">
      <alignment vertical="center"/>
    </xf>
    <xf numFmtId="0" fontId="6" fillId="0" borderId="7" xfId="0" applyNumberFormat="1" applyFont="1" applyBorder="1" applyAlignment="1">
      <alignment vertical="center" wrapText="1"/>
    </xf>
    <xf numFmtId="0" fontId="18" fillId="0" borderId="21" xfId="0" applyNumberFormat="1" applyFont="1" applyBorder="1" applyAlignment="1">
      <alignment horizontal="left" vertical="center" wrapText="1"/>
    </xf>
    <xf numFmtId="0" fontId="39" fillId="0" borderId="0" xfId="0" applyNumberFormat="1" applyFont="1" applyAlignment="1">
      <alignment vertical="center"/>
    </xf>
    <xf numFmtId="0" fontId="8" fillId="4" borderId="5" xfId="0" applyNumberFormat="1" applyFont="1" applyFill="1" applyBorder="1" applyAlignment="1">
      <alignment vertical="top"/>
    </xf>
    <xf numFmtId="0" fontId="8" fillId="0" borderId="21" xfId="0" applyNumberFormat="1" applyFont="1" applyBorder="1" applyAlignment="1">
      <alignment vertical="top"/>
    </xf>
    <xf numFmtId="49" fontId="55" fillId="0" borderId="21" xfId="0" applyNumberFormat="1" applyFont="1" applyBorder="1" applyAlignment="1">
      <alignment horizontal="center" vertical="center" wrapText="1"/>
    </xf>
    <xf numFmtId="0" fontId="33" fillId="4" borderId="21" xfId="0" applyNumberFormat="1" applyFont="1" applyFill="1" applyBorder="1" applyAlignment="1">
      <alignment vertical="top" wrapText="1"/>
    </xf>
    <xf numFmtId="49" fontId="56" fillId="0" borderId="21" xfId="0" applyNumberFormat="1" applyFont="1" applyBorder="1" applyAlignment="1"/>
    <xf numFmtId="0" fontId="18" fillId="0" borderId="0" xfId="0" applyNumberFormat="1" applyFont="1" applyAlignment="1">
      <alignment horizontal="center" vertical="center" wrapText="1"/>
    </xf>
    <xf numFmtId="49" fontId="18" fillId="0" borderId="21" xfId="0" applyNumberFormat="1" applyFont="1" applyBorder="1" applyAlignment="1">
      <alignment horizontal="left" vertical="top" wrapText="1"/>
    </xf>
    <xf numFmtId="0" fontId="16" fillId="4" borderId="5" xfId="0" applyNumberFormat="1" applyFont="1" applyFill="1" applyBorder="1" applyAlignment="1">
      <alignment horizontal="left" vertical="center" wrapText="1"/>
    </xf>
    <xf numFmtId="0" fontId="5" fillId="4" borderId="5" xfId="0" applyNumberFormat="1" applyFont="1" applyFill="1" applyBorder="1" applyAlignment="1">
      <alignment horizontal="left" vertical="top" wrapText="1"/>
    </xf>
    <xf numFmtId="49" fontId="18" fillId="0" borderId="5" xfId="0" applyNumberFormat="1" applyFont="1" applyBorder="1" applyAlignment="1">
      <alignment horizontal="center" vertical="center" wrapText="1"/>
    </xf>
    <xf numFmtId="0" fontId="47" fillId="4" borderId="5" xfId="0" applyNumberFormat="1" applyFont="1" applyFill="1" applyBorder="1" applyAlignment="1">
      <alignment horizontal="left" vertical="center" wrapText="1"/>
    </xf>
    <xf numFmtId="164" fontId="16" fillId="4" borderId="8" xfId="0" applyNumberFormat="1" applyFont="1" applyFill="1" applyBorder="1" applyAlignment="1">
      <alignment vertical="center" wrapText="1"/>
    </xf>
    <xf numFmtId="0" fontId="2" fillId="0" borderId="0" xfId="0" applyNumberFormat="1" applyFont="1" applyAlignment="1">
      <alignment horizontal="center" vertical="center" wrapText="1"/>
    </xf>
    <xf numFmtId="164" fontId="16" fillId="4" borderId="11" xfId="0" applyNumberFormat="1" applyFont="1" applyFill="1" applyBorder="1" applyAlignment="1">
      <alignment vertical="top" wrapText="1"/>
    </xf>
    <xf numFmtId="0" fontId="16" fillId="4" borderId="5" xfId="0" applyNumberFormat="1" applyFont="1" applyFill="1" applyBorder="1" applyAlignment="1">
      <alignment vertical="top" wrapText="1"/>
    </xf>
    <xf numFmtId="49" fontId="57" fillId="0" borderId="21" xfId="0" applyNumberFormat="1" applyFont="1" applyBorder="1" applyAlignment="1"/>
    <xf numFmtId="164" fontId="8" fillId="4" borderId="5" xfId="0" applyNumberFormat="1" applyFont="1" applyFill="1" applyBorder="1"/>
    <xf numFmtId="164" fontId="8" fillId="4" borderId="2" xfId="0" applyNumberFormat="1" applyFont="1" applyFill="1" applyBorder="1"/>
    <xf numFmtId="0" fontId="33" fillId="0" borderId="23" xfId="0" applyNumberFormat="1" applyFont="1" applyBorder="1" applyAlignment="1">
      <alignment vertical="center" wrapText="1"/>
    </xf>
    <xf numFmtId="49" fontId="18" fillId="10" borderId="0" xfId="0" applyNumberFormat="1" applyFont="1" applyFill="1" applyAlignment="1">
      <alignment horizontal="center" vertical="center" wrapText="1"/>
    </xf>
    <xf numFmtId="0" fontId="58" fillId="0" borderId="7" xfId="0" applyNumberFormat="1" applyFont="1" applyBorder="1" applyAlignment="1">
      <alignment vertical="top" wrapText="1"/>
    </xf>
    <xf numFmtId="0" fontId="16" fillId="0" borderId="21" xfId="0" applyNumberFormat="1" applyFont="1" applyBorder="1" applyAlignment="1">
      <alignment wrapText="1"/>
    </xf>
    <xf numFmtId="0" fontId="6" fillId="4" borderId="21" xfId="0" applyNumberFormat="1" applyFont="1" applyFill="1" applyBorder="1" applyAlignment="1">
      <alignment vertical="top" wrapText="1"/>
    </xf>
    <xf numFmtId="164" fontId="15" fillId="0" borderId="21" xfId="0" applyNumberFormat="1" applyFont="1" applyBorder="1"/>
    <xf numFmtId="164" fontId="8" fillId="0" borderId="21" xfId="0" applyNumberFormat="1" applyFont="1" applyBorder="1" applyAlignment="1"/>
    <xf numFmtId="164" fontId="8" fillId="4" borderId="21" xfId="0" applyNumberFormat="1" applyFont="1" applyFill="1" applyBorder="1" applyAlignment="1"/>
    <xf numFmtId="0" fontId="8" fillId="0" borderId="5" xfId="0" applyNumberFormat="1" applyFont="1" applyBorder="1" applyAlignment="1">
      <alignment horizontal="center" vertical="center"/>
    </xf>
    <xf numFmtId="164" fontId="19" fillId="0" borderId="21" xfId="0" applyNumberFormat="1" applyFont="1" applyBorder="1"/>
    <xf numFmtId="164" fontId="15" fillId="0" borderId="21" xfId="0" applyNumberFormat="1" applyFont="1" applyBorder="1" applyAlignment="1">
      <alignment vertical="center"/>
    </xf>
    <xf numFmtId="164" fontId="15" fillId="0" borderId="21" xfId="0" applyNumberFormat="1" applyFont="1" applyBorder="1" applyAlignment="1">
      <alignment wrapText="1"/>
    </xf>
    <xf numFmtId="164" fontId="8" fillId="0" borderId="5" xfId="0" applyNumberFormat="1" applyFont="1" applyBorder="1"/>
    <xf numFmtId="164" fontId="8" fillId="7" borderId="5" xfId="0" applyNumberFormat="1" applyFont="1" applyFill="1" applyBorder="1"/>
    <xf numFmtId="49" fontId="8" fillId="0" borderId="21" xfId="0" applyNumberFormat="1" applyFont="1" applyBorder="1" applyAlignment="1">
      <alignment horizontal="center" wrapText="1"/>
    </xf>
    <xf numFmtId="49" fontId="8" fillId="0" borderId="21" xfId="0" applyNumberFormat="1" applyFont="1" applyBorder="1" applyAlignment="1">
      <alignment horizontal="center" wrapText="1"/>
    </xf>
    <xf numFmtId="164" fontId="19" fillId="4" borderId="21" xfId="0" applyNumberFormat="1" applyFont="1" applyFill="1" applyBorder="1" applyAlignment="1">
      <alignment vertical="top" wrapText="1"/>
    </xf>
    <xf numFmtId="164" fontId="8" fillId="0" borderId="11" xfId="0" applyNumberFormat="1" applyFont="1" applyBorder="1"/>
    <xf numFmtId="49" fontId="8" fillId="0" borderId="21" xfId="0" applyNumberFormat="1" applyFont="1" applyBorder="1" applyAlignment="1">
      <alignment vertical="center" wrapText="1"/>
    </xf>
    <xf numFmtId="0" fontId="5" fillId="4" borderId="21" xfId="0" applyNumberFormat="1" applyFont="1" applyFill="1" applyBorder="1" applyAlignment="1">
      <alignment horizontal="left" vertical="top" wrapText="1"/>
    </xf>
    <xf numFmtId="0" fontId="5" fillId="4" borderId="5" xfId="0" applyNumberFormat="1" applyFont="1" applyFill="1" applyBorder="1" applyAlignment="1">
      <alignment vertical="top"/>
    </xf>
    <xf numFmtId="0" fontId="5" fillId="4" borderId="5" xfId="0" applyNumberFormat="1" applyFont="1" applyFill="1" applyBorder="1" applyAlignment="1">
      <alignment horizontal="left" vertical="top" wrapText="1"/>
    </xf>
    <xf numFmtId="171" fontId="8" fillId="0" borderId="21" xfId="0" applyNumberFormat="1" applyFont="1" applyBorder="1" applyAlignment="1">
      <alignment vertical="center"/>
    </xf>
    <xf numFmtId="0" fontId="5" fillId="4" borderId="9" xfId="0" applyNumberFormat="1" applyFont="1" applyFill="1" applyBorder="1" applyAlignment="1">
      <alignment vertical="center" wrapText="1"/>
    </xf>
    <xf numFmtId="0" fontId="5" fillId="4" borderId="5" xfId="0" applyNumberFormat="1" applyFont="1" applyFill="1" applyBorder="1" applyAlignment="1">
      <alignment horizontal="left" vertical="top"/>
    </xf>
    <xf numFmtId="0" fontId="5" fillId="0" borderId="21" xfId="0" applyNumberFormat="1" applyFont="1" applyBorder="1" applyAlignment="1">
      <alignment vertical="center"/>
    </xf>
    <xf numFmtId="0" fontId="47" fillId="4" borderId="21" xfId="0" applyNumberFormat="1" applyFont="1" applyFill="1" applyBorder="1" applyAlignment="1">
      <alignment vertical="center" wrapText="1"/>
    </xf>
    <xf numFmtId="0" fontId="59" fillId="4" borderId="5" xfId="0" applyNumberFormat="1" applyFont="1" applyFill="1" applyBorder="1" applyAlignment="1">
      <alignment vertical="top" wrapText="1"/>
    </xf>
    <xf numFmtId="0" fontId="15" fillId="4" borderId="6" xfId="0" applyNumberFormat="1" applyFont="1" applyFill="1" applyBorder="1" applyAlignment="1">
      <alignment vertical="top" wrapText="1"/>
    </xf>
    <xf numFmtId="0" fontId="8" fillId="0" borderId="21" xfId="0" applyNumberFormat="1" applyFont="1" applyBorder="1" applyAlignment="1"/>
    <xf numFmtId="0" fontId="31" fillId="0" borderId="21" xfId="0" applyNumberFormat="1" applyFont="1" applyBorder="1" applyAlignment="1">
      <alignment horizontal="center" vertical="center" wrapText="1"/>
    </xf>
    <xf numFmtId="173" fontId="18" fillId="0" borderId="21" xfId="0" applyNumberFormat="1" applyFont="1" applyBorder="1" applyAlignment="1">
      <alignment horizontal="center" vertical="center" wrapText="1"/>
    </xf>
    <xf numFmtId="0" fontId="2" fillId="0" borderId="21" xfId="0" applyNumberFormat="1" applyFont="1" applyBorder="1" applyAlignment="1"/>
    <xf numFmtId="164" fontId="8" fillId="0" borderId="5" xfId="0" applyNumberFormat="1" applyFont="1" applyBorder="1" applyAlignment="1"/>
    <xf numFmtId="0" fontId="2" fillId="0" borderId="21" xfId="0" applyNumberFormat="1" applyFont="1" applyBorder="1" applyAlignment="1">
      <alignment vertical="center"/>
    </xf>
    <xf numFmtId="0" fontId="60" fillId="0" borderId="7" xfId="0" applyNumberFormat="1" applyFont="1" applyBorder="1" applyAlignment="1">
      <alignment vertical="center" wrapText="1"/>
    </xf>
    <xf numFmtId="0" fontId="5" fillId="0" borderId="7" xfId="0" applyNumberFormat="1" applyFont="1" applyBorder="1" applyAlignment="1">
      <alignment vertical="center" wrapText="1"/>
    </xf>
    <xf numFmtId="0" fontId="5" fillId="4" borderId="21" xfId="0" applyNumberFormat="1" applyFont="1" applyFill="1" applyBorder="1" applyAlignment="1">
      <alignment horizontal="left" vertical="top"/>
    </xf>
    <xf numFmtId="0" fontId="5" fillId="0" borderId="21" xfId="0" applyNumberFormat="1" applyFont="1" applyBorder="1" applyAlignment="1">
      <alignment horizontal="left" vertical="center"/>
    </xf>
    <xf numFmtId="0" fontId="5" fillId="0" borderId="21" xfId="0" applyNumberFormat="1" applyFont="1" applyBorder="1" applyAlignment="1">
      <alignment horizontal="left" vertical="top"/>
    </xf>
    <xf numFmtId="0" fontId="5" fillId="4" borderId="2" xfId="0" applyNumberFormat="1" applyFont="1" applyFill="1" applyBorder="1" applyAlignment="1">
      <alignment vertical="center" wrapText="1"/>
    </xf>
    <xf numFmtId="0" fontId="21" fillId="0" borderId="7" xfId="0" applyNumberFormat="1" applyFont="1" applyBorder="1" applyAlignment="1">
      <alignment vertical="top" wrapText="1"/>
    </xf>
    <xf numFmtId="0" fontId="5" fillId="0" borderId="23" xfId="0" applyNumberFormat="1" applyFont="1" applyBorder="1" applyAlignment="1">
      <alignment horizontal="left" vertical="top" wrapText="1"/>
    </xf>
    <xf numFmtId="0" fontId="61" fillId="0" borderId="7" xfId="0" applyNumberFormat="1" applyFont="1" applyBorder="1" applyAlignment="1">
      <alignment horizontal="left" vertical="top" wrapText="1"/>
    </xf>
    <xf numFmtId="0" fontId="5" fillId="0" borderId="7" xfId="0" applyNumberFormat="1" applyFont="1" applyBorder="1" applyAlignment="1">
      <alignment horizontal="left" vertical="top" wrapText="1"/>
    </xf>
    <xf numFmtId="164" fontId="16" fillId="4" borderId="21" xfId="0" applyNumberFormat="1" applyFont="1" applyFill="1" applyBorder="1" applyAlignment="1">
      <alignment horizontal="left" vertical="top" wrapText="1"/>
    </xf>
    <xf numFmtId="0" fontId="5" fillId="4" borderId="5" xfId="0" applyNumberFormat="1" applyFont="1" applyFill="1" applyBorder="1" applyAlignment="1">
      <alignment horizontal="left" vertical="top"/>
    </xf>
    <xf numFmtId="0" fontId="5" fillId="4" borderId="21" xfId="0" applyNumberFormat="1" applyFont="1" applyFill="1" applyBorder="1" applyAlignment="1">
      <alignment horizontal="left" vertical="top"/>
    </xf>
    <xf numFmtId="164" fontId="19" fillId="4" borderId="5" xfId="0" applyNumberFormat="1" applyFont="1" applyFill="1" applyBorder="1" applyAlignment="1">
      <alignment horizontal="left" vertical="top"/>
    </xf>
    <xf numFmtId="164" fontId="16" fillId="0" borderId="7" xfId="0" applyNumberFormat="1" applyFont="1" applyBorder="1" applyAlignment="1">
      <alignment horizontal="left" vertical="top" wrapText="1"/>
    </xf>
    <xf numFmtId="0" fontId="5" fillId="0" borderId="7" xfId="0" applyNumberFormat="1" applyFont="1" applyBorder="1" applyAlignment="1">
      <alignment horizontal="left" vertical="top" wrapText="1"/>
    </xf>
    <xf numFmtId="0" fontId="5" fillId="4" borderId="21" xfId="0" applyNumberFormat="1" applyFont="1" applyFill="1" applyBorder="1" applyAlignment="1">
      <alignment horizontal="left" vertical="top"/>
    </xf>
    <xf numFmtId="164" fontId="16" fillId="0" borderId="21" xfId="0" applyNumberFormat="1" applyFont="1" applyBorder="1" applyAlignment="1">
      <alignment horizontal="left" vertical="top" wrapText="1"/>
    </xf>
    <xf numFmtId="0" fontId="1" fillId="11" borderId="0" xfId="0" applyNumberFormat="1" applyFont="1" applyFill="1" applyAlignment="1">
      <alignment horizontal="left" vertical="center" wrapText="1"/>
    </xf>
    <xf numFmtId="0" fontId="1" fillId="0" borderId="0" xfId="0" applyNumberFormat="1" applyFont="1" applyAlignment="1">
      <alignment horizontal="left" vertical="center" wrapText="1"/>
    </xf>
    <xf numFmtId="0" fontId="5" fillId="4" borderId="2" xfId="0" applyNumberFormat="1" applyFont="1" applyFill="1" applyBorder="1" applyAlignment="1">
      <alignment vertical="center"/>
    </xf>
    <xf numFmtId="0" fontId="5" fillId="4" borderId="5" xfId="0" applyNumberFormat="1" applyFont="1" applyFill="1" applyBorder="1" applyAlignment="1">
      <alignment horizontal="left" vertical="center" wrapText="1"/>
    </xf>
    <xf numFmtId="0" fontId="5" fillId="0" borderId="21" xfId="0" applyNumberFormat="1" applyFont="1" applyBorder="1" applyAlignment="1">
      <alignment horizontal="left" vertical="center" wrapText="1"/>
    </xf>
    <xf numFmtId="0" fontId="5" fillId="4" borderId="23" xfId="0" applyNumberFormat="1" applyFont="1" applyFill="1" applyBorder="1" applyAlignment="1">
      <alignment horizontal="left" vertical="center" wrapText="1"/>
    </xf>
    <xf numFmtId="0" fontId="5" fillId="4" borderId="21" xfId="0" applyNumberFormat="1" applyFont="1" applyFill="1" applyBorder="1" applyAlignment="1">
      <alignment horizontal="left" vertical="center" wrapText="1"/>
    </xf>
    <xf numFmtId="0" fontId="5" fillId="0" borderId="5" xfId="0" applyNumberFormat="1" applyFont="1" applyBorder="1" applyAlignment="1">
      <alignment horizontal="left" vertical="center" wrapText="1"/>
    </xf>
    <xf numFmtId="49" fontId="18" fillId="0" borderId="21" xfId="0" applyNumberFormat="1" applyFont="1" applyBorder="1" applyAlignment="1">
      <alignment horizontal="left" vertical="top" wrapText="1"/>
    </xf>
    <xf numFmtId="0" fontId="5" fillId="0" borderId="4" xfId="0" applyNumberFormat="1" applyFont="1" applyBorder="1" applyAlignment="1">
      <alignment horizontal="left" vertical="center" wrapText="1"/>
    </xf>
    <xf numFmtId="0" fontId="5" fillId="4" borderId="4" xfId="0" applyNumberFormat="1" applyFont="1" applyFill="1" applyBorder="1" applyAlignment="1">
      <alignment horizontal="left" vertical="center" wrapText="1"/>
    </xf>
    <xf numFmtId="0" fontId="5" fillId="0" borderId="1" xfId="0" applyNumberFormat="1" applyFont="1" applyBorder="1" applyAlignment="1">
      <alignment horizontal="left" vertical="center" wrapText="1"/>
    </xf>
    <xf numFmtId="164" fontId="19" fillId="4" borderId="5" xfId="0" applyNumberFormat="1" applyFont="1" applyFill="1" applyBorder="1" applyAlignment="1">
      <alignment horizontal="left" vertical="center"/>
    </xf>
    <xf numFmtId="0" fontId="5" fillId="4" borderId="25" xfId="0" applyNumberFormat="1" applyFont="1" applyFill="1" applyBorder="1" applyAlignment="1">
      <alignment horizontal="left" vertical="center" wrapText="1"/>
    </xf>
    <xf numFmtId="0" fontId="33" fillId="4" borderId="7" xfId="0" applyNumberFormat="1" applyFont="1" applyFill="1" applyBorder="1" applyAlignment="1">
      <alignment vertical="top" wrapText="1"/>
    </xf>
    <xf numFmtId="0" fontId="1" fillId="10" borderId="0" xfId="0" applyNumberFormat="1" applyFont="1" applyFill="1" applyAlignment="1">
      <alignment horizontal="left" vertical="center" wrapText="1"/>
    </xf>
    <xf numFmtId="0" fontId="64" fillId="0" borderId="21" xfId="0" applyNumberFormat="1" applyFont="1" applyBorder="1" applyAlignment="1">
      <alignment horizontal="left" vertical="center" wrapText="1"/>
    </xf>
    <xf numFmtId="0" fontId="19" fillId="4" borderId="1" xfId="0" applyNumberFormat="1" applyFont="1" applyFill="1" applyBorder="1" applyAlignment="1">
      <alignment vertical="center"/>
    </xf>
    <xf numFmtId="0" fontId="65" fillId="0" borderId="5" xfId="0" applyNumberFormat="1" applyFont="1" applyBorder="1" applyAlignment="1">
      <alignment horizontal="left" vertical="center" wrapText="1"/>
    </xf>
    <xf numFmtId="0" fontId="19" fillId="4" borderId="21" xfId="0" applyNumberFormat="1" applyFont="1" applyFill="1" applyBorder="1" applyAlignment="1">
      <alignment vertical="center"/>
    </xf>
    <xf numFmtId="0" fontId="5" fillId="0" borderId="25" xfId="0" applyNumberFormat="1" applyFont="1" applyBorder="1" applyAlignment="1">
      <alignment vertical="center"/>
    </xf>
    <xf numFmtId="0" fontId="5" fillId="4" borderId="3" xfId="0" applyNumberFormat="1" applyFont="1" applyFill="1" applyBorder="1" applyAlignment="1">
      <alignment vertical="center" wrapText="1"/>
    </xf>
    <xf numFmtId="0" fontId="19" fillId="4" borderId="5" xfId="0" applyNumberFormat="1" applyFont="1" applyFill="1" applyBorder="1" applyAlignment="1">
      <alignment vertical="top" wrapText="1"/>
    </xf>
    <xf numFmtId="0" fontId="15" fillId="0" borderId="21" xfId="0" applyNumberFormat="1" applyFont="1" applyBorder="1" applyAlignment="1">
      <alignment wrapText="1"/>
    </xf>
    <xf numFmtId="0" fontId="33" fillId="4" borderId="7" xfId="0" applyNumberFormat="1" applyFont="1" applyFill="1" applyBorder="1" applyAlignment="1">
      <alignment vertical="center" wrapText="1"/>
    </xf>
    <xf numFmtId="0" fontId="33" fillId="4" borderId="7" xfId="0" applyNumberFormat="1" applyFont="1" applyFill="1" applyBorder="1" applyAlignment="1">
      <alignment vertical="center" wrapText="1"/>
    </xf>
    <xf numFmtId="0" fontId="6" fillId="4" borderId="24" xfId="0" applyNumberFormat="1" applyFont="1" applyFill="1" applyBorder="1" applyAlignment="1">
      <alignment horizontal="center" vertical="center" wrapText="1"/>
    </xf>
    <xf numFmtId="0" fontId="2" fillId="0" borderId="0" xfId="0" applyNumberFormat="1" applyFont="1" applyAlignment="1">
      <alignment horizontal="left" vertical="center"/>
    </xf>
    <xf numFmtId="0" fontId="18" fillId="0" borderId="0" xfId="0" applyNumberFormat="1" applyFont="1" applyAlignment="1">
      <alignment vertical="center" wrapText="1"/>
    </xf>
    <xf numFmtId="0" fontId="5" fillId="0" borderId="25" xfId="0" applyNumberFormat="1" applyFont="1" applyBorder="1" applyAlignment="1">
      <alignment vertical="center"/>
    </xf>
    <xf numFmtId="0" fontId="5" fillId="4" borderId="11" xfId="0" applyNumberFormat="1" applyFont="1" applyFill="1" applyBorder="1" applyAlignment="1">
      <alignment vertical="top" wrapText="1"/>
    </xf>
    <xf numFmtId="0" fontId="5" fillId="4" borderId="25" xfId="0" applyNumberFormat="1" applyFont="1" applyFill="1" applyBorder="1" applyAlignment="1">
      <alignment vertical="top"/>
    </xf>
    <xf numFmtId="0" fontId="66" fillId="4" borderId="11" xfId="0" applyNumberFormat="1" applyFont="1" applyFill="1" applyBorder="1" applyAlignment="1">
      <alignment vertical="top" wrapText="1"/>
    </xf>
    <xf numFmtId="0" fontId="21" fillId="4" borderId="11" xfId="0" applyNumberFormat="1" applyFont="1" applyFill="1" applyBorder="1" applyAlignment="1">
      <alignment vertical="top" wrapText="1"/>
    </xf>
    <xf numFmtId="0" fontId="47" fillId="4" borderId="11" xfId="0" applyNumberFormat="1" applyFont="1" applyFill="1" applyBorder="1" applyAlignment="1">
      <alignment vertical="top" wrapText="1"/>
    </xf>
    <xf numFmtId="0" fontId="5" fillId="4" borderId="0" xfId="0" applyNumberFormat="1" applyFont="1" applyFill="1" applyAlignment="1">
      <alignment vertical="center"/>
    </xf>
    <xf numFmtId="173" fontId="18" fillId="0" borderId="5" xfId="0" applyNumberFormat="1" applyFont="1" applyBorder="1" applyAlignment="1">
      <alignment horizontal="center" vertical="center" wrapText="1"/>
    </xf>
    <xf numFmtId="0" fontId="33" fillId="4" borderId="11" xfId="0" applyNumberFormat="1" applyFont="1" applyFill="1" applyBorder="1" applyAlignment="1">
      <alignment vertical="top" wrapText="1"/>
    </xf>
    <xf numFmtId="0" fontId="5" fillId="4" borderId="3" xfId="0" applyNumberFormat="1" applyFont="1" applyFill="1" applyBorder="1" applyAlignment="1">
      <alignment vertical="top" wrapText="1"/>
    </xf>
    <xf numFmtId="49" fontId="23" fillId="0" borderId="21" xfId="0" applyNumberFormat="1" applyFont="1" applyBorder="1" applyAlignment="1">
      <alignment horizontal="center" vertical="center" wrapText="1"/>
    </xf>
    <xf numFmtId="0" fontId="43" fillId="4" borderId="5" xfId="0" applyNumberFormat="1" applyFont="1" applyFill="1" applyBorder="1" applyAlignment="1">
      <alignment vertical="top" wrapText="1"/>
    </xf>
    <xf numFmtId="49" fontId="67" fillId="0" borderId="21" xfId="0" applyNumberFormat="1" applyFont="1" applyBorder="1" applyAlignment="1">
      <alignment horizontal="center" vertical="center" wrapText="1"/>
    </xf>
    <xf numFmtId="0" fontId="1" fillId="0" borderId="5" xfId="0" applyNumberFormat="1" applyFont="1" applyBorder="1" applyAlignment="1">
      <alignment horizontal="center" vertical="center"/>
    </xf>
    <xf numFmtId="49" fontId="8" fillId="0" borderId="5" xfId="0" applyNumberFormat="1" applyFont="1" applyBorder="1" applyAlignment="1">
      <alignment horizontal="center" vertical="center" wrapText="1"/>
    </xf>
    <xf numFmtId="164" fontId="16" fillId="4" borderId="7" xfId="0" applyNumberFormat="1" applyFont="1" applyFill="1" applyBorder="1" applyAlignment="1">
      <alignment wrapText="1"/>
    </xf>
    <xf numFmtId="164" fontId="8" fillId="0" borderId="21" xfId="0" applyNumberFormat="1" applyFont="1" applyBorder="1" applyAlignment="1">
      <alignment horizontal="left"/>
    </xf>
    <xf numFmtId="173" fontId="8" fillId="0" borderId="21" xfId="0" applyNumberFormat="1" applyFont="1" applyBorder="1"/>
    <xf numFmtId="164" fontId="6" fillId="0" borderId="21" xfId="0" applyNumberFormat="1" applyFont="1" applyBorder="1" applyAlignment="1">
      <alignment horizontal="center"/>
    </xf>
    <xf numFmtId="164" fontId="16" fillId="0" borderId="21" xfId="0" applyNumberFormat="1" applyFont="1" applyBorder="1" applyAlignment="1">
      <alignment vertical="center"/>
    </xf>
    <xf numFmtId="0" fontId="43" fillId="0" borderId="23" xfId="0" applyNumberFormat="1" applyFont="1" applyBorder="1" applyAlignment="1">
      <alignment vertical="center" wrapText="1"/>
    </xf>
    <xf numFmtId="0" fontId="43" fillId="4" borderId="7" xfId="0" applyNumberFormat="1" applyFont="1" applyFill="1" applyBorder="1" applyAlignment="1">
      <alignment vertical="center" wrapText="1"/>
    </xf>
    <xf numFmtId="0" fontId="43" fillId="4" borderId="21" xfId="0" applyNumberFormat="1" applyFont="1" applyFill="1" applyBorder="1" applyAlignment="1">
      <alignment vertical="top" wrapText="1"/>
    </xf>
    <xf numFmtId="0" fontId="43" fillId="4" borderId="21" xfId="0" applyNumberFormat="1" applyFont="1" applyFill="1" applyBorder="1" applyAlignment="1">
      <alignment vertical="top"/>
    </xf>
    <xf numFmtId="0" fontId="43" fillId="4" borderId="7" xfId="0" applyNumberFormat="1" applyFont="1" applyFill="1" applyBorder="1" applyAlignment="1">
      <alignment vertical="top" wrapText="1"/>
    </xf>
    <xf numFmtId="49" fontId="8" fillId="0" borderId="21" xfId="0" applyNumberFormat="1" applyFont="1" applyBorder="1" applyAlignment="1">
      <alignment horizontal="left" vertical="top" wrapText="1"/>
    </xf>
    <xf numFmtId="0" fontId="24" fillId="0" borderId="21" xfId="0" applyNumberFormat="1" applyFont="1" applyBorder="1"/>
    <xf numFmtId="0" fontId="33" fillId="0" borderId="1" xfId="0" applyNumberFormat="1" applyFont="1" applyBorder="1" applyAlignment="1">
      <alignment vertical="center" wrapText="1"/>
    </xf>
    <xf numFmtId="0" fontId="33" fillId="4" borderId="25" xfId="0" applyNumberFormat="1" applyFont="1" applyFill="1" applyBorder="1" applyAlignment="1">
      <alignment vertical="center" wrapText="1"/>
    </xf>
    <xf numFmtId="0" fontId="68" fillId="0" borderId="7" xfId="0" applyNumberFormat="1" applyFont="1" applyBorder="1" applyAlignment="1">
      <alignment vertical="top" wrapText="1"/>
    </xf>
    <xf numFmtId="0" fontId="33" fillId="4" borderId="7" xfId="0" applyNumberFormat="1" applyFont="1" applyFill="1" applyBorder="1" applyAlignment="1">
      <alignment vertical="center" wrapText="1"/>
    </xf>
    <xf numFmtId="0" fontId="33" fillId="4" borderId="21" xfId="0" applyNumberFormat="1" applyFont="1" applyFill="1" applyBorder="1" applyAlignment="1">
      <alignment vertical="top"/>
    </xf>
    <xf numFmtId="0" fontId="63" fillId="0" borderId="23" xfId="0" applyNumberFormat="1" applyFont="1" applyBorder="1" applyAlignment="1">
      <alignment vertical="center" wrapText="1"/>
    </xf>
    <xf numFmtId="0" fontId="63" fillId="4" borderId="21" xfId="0" applyNumberFormat="1" applyFont="1" applyFill="1" applyBorder="1" applyAlignment="1">
      <alignment vertical="center" wrapText="1"/>
    </xf>
    <xf numFmtId="0" fontId="63" fillId="4" borderId="5" xfId="0" applyNumberFormat="1" applyFont="1" applyFill="1" applyBorder="1" applyAlignment="1">
      <alignment vertical="top" wrapText="1"/>
    </xf>
    <xf numFmtId="0" fontId="63" fillId="4" borderId="21" xfId="0" applyNumberFormat="1" applyFont="1" applyFill="1" applyBorder="1" applyAlignment="1">
      <alignment vertical="top"/>
    </xf>
    <xf numFmtId="0" fontId="63" fillId="4" borderId="21" xfId="0" applyNumberFormat="1" applyFont="1" applyFill="1" applyBorder="1" applyAlignment="1">
      <alignment vertical="top" wrapText="1"/>
    </xf>
    <xf numFmtId="0" fontId="63" fillId="4" borderId="11" xfId="0" applyNumberFormat="1" applyFont="1" applyFill="1" applyBorder="1" applyAlignment="1">
      <alignment vertical="top" wrapText="1"/>
    </xf>
    <xf numFmtId="164" fontId="70" fillId="4" borderId="5" xfId="0" applyNumberFormat="1" applyFont="1" applyFill="1" applyBorder="1" applyAlignment="1">
      <alignment vertical="top"/>
    </xf>
    <xf numFmtId="0" fontId="63" fillId="4" borderId="21" xfId="0" applyNumberFormat="1" applyFont="1" applyFill="1" applyBorder="1" applyAlignment="1">
      <alignment vertical="top" wrapText="1"/>
    </xf>
    <xf numFmtId="0" fontId="63" fillId="0" borderId="21" xfId="0" applyNumberFormat="1" applyFont="1" applyBorder="1" applyAlignment="1">
      <alignment vertical="center"/>
    </xf>
    <xf numFmtId="0" fontId="71" fillId="0" borderId="0" xfId="0" applyNumberFormat="1" applyFont="1" applyAlignment="1">
      <alignment horizontal="left" vertical="center" wrapText="1"/>
    </xf>
    <xf numFmtId="0" fontId="62" fillId="0" borderId="21" xfId="0" applyNumberFormat="1" applyFont="1" applyBorder="1" applyAlignment="1">
      <alignment horizontal="center" vertical="center" wrapText="1"/>
    </xf>
    <xf numFmtId="0" fontId="43" fillId="4" borderId="23" xfId="0" applyNumberFormat="1" applyFont="1" applyFill="1" applyBorder="1" applyAlignment="1">
      <alignment vertical="center" wrapText="1"/>
    </xf>
    <xf numFmtId="0" fontId="43" fillId="4" borderId="21" xfId="0" applyNumberFormat="1" applyFont="1" applyFill="1" applyBorder="1" applyAlignment="1">
      <alignment vertical="top"/>
    </xf>
    <xf numFmtId="0" fontId="43" fillId="0" borderId="21" xfId="0" applyNumberFormat="1" applyFont="1" applyBorder="1" applyAlignment="1">
      <alignment vertical="top" wrapText="1"/>
    </xf>
    <xf numFmtId="0" fontId="31" fillId="9" borderId="21" xfId="0" applyNumberFormat="1" applyFont="1" applyFill="1" applyBorder="1" applyAlignment="1">
      <alignment horizontal="center" vertical="center" wrapText="1"/>
    </xf>
    <xf numFmtId="173" fontId="31" fillId="0" borderId="21" xfId="0" applyNumberFormat="1" applyFont="1" applyBorder="1" applyAlignment="1">
      <alignment horizontal="center" vertical="center" wrapText="1"/>
    </xf>
    <xf numFmtId="0" fontId="31" fillId="0" borderId="21" xfId="0" applyNumberFormat="1" applyFont="1" applyBorder="1" applyAlignment="1">
      <alignment horizontal="left" vertical="center" wrapText="1"/>
    </xf>
    <xf numFmtId="0" fontId="62" fillId="0" borderId="11" xfId="0" applyNumberFormat="1" applyFont="1" applyBorder="1" applyAlignment="1">
      <alignment horizontal="center" vertical="center"/>
    </xf>
    <xf numFmtId="173" fontId="31" fillId="0" borderId="5" xfId="0" applyNumberFormat="1" applyFont="1" applyBorder="1" applyAlignment="1">
      <alignment horizontal="center" vertical="center" wrapText="1"/>
    </xf>
    <xf numFmtId="49" fontId="62" fillId="0" borderId="21" xfId="0" applyNumberFormat="1" applyFont="1" applyBorder="1" applyAlignment="1">
      <alignment horizontal="center" vertical="center" wrapText="1"/>
    </xf>
    <xf numFmtId="0" fontId="43" fillId="4" borderId="25" xfId="0" applyNumberFormat="1" applyFont="1" applyFill="1" applyBorder="1" applyAlignment="1">
      <alignment vertical="center" wrapText="1"/>
    </xf>
    <xf numFmtId="0" fontId="5" fillId="0" borderId="21" xfId="0" applyNumberFormat="1" applyFont="1" applyBorder="1" applyAlignment="1">
      <alignment horizontal="left" vertical="center"/>
    </xf>
    <xf numFmtId="0" fontId="24" fillId="0" borderId="0" xfId="0" applyNumberFormat="1" applyFont="1" applyAlignment="1">
      <alignment horizontal="left" vertical="center" wrapText="1"/>
    </xf>
    <xf numFmtId="49" fontId="72" fillId="0" borderId="21" xfId="0" applyNumberFormat="1" applyFont="1" applyBorder="1" applyAlignment="1">
      <alignment horizontal="left" vertical="top" wrapText="1"/>
    </xf>
    <xf numFmtId="0" fontId="73" fillId="0" borderId="21" xfId="0" applyNumberFormat="1" applyFont="1" applyBorder="1" applyAlignment="1"/>
    <xf numFmtId="164" fontId="16" fillId="0" borderId="7" xfId="0" applyNumberFormat="1" applyFont="1" applyBorder="1" applyAlignment="1">
      <alignment wrapText="1"/>
    </xf>
    <xf numFmtId="0" fontId="74" fillId="0" borderId="21" xfId="0" applyNumberFormat="1" applyFont="1" applyBorder="1" applyAlignment="1">
      <alignment horizontal="left" vertical="center" wrapText="1"/>
    </xf>
    <xf numFmtId="164" fontId="16" fillId="0" borderId="21" xfId="0" applyNumberFormat="1" applyFont="1" applyBorder="1" applyAlignment="1"/>
    <xf numFmtId="0" fontId="16" fillId="4" borderId="6" xfId="0" applyNumberFormat="1" applyFont="1" applyFill="1" applyBorder="1" applyAlignment="1">
      <alignment horizontal="left" vertical="center" wrapText="1"/>
    </xf>
    <xf numFmtId="0" fontId="5" fillId="0" borderId="9" xfId="0" applyNumberFormat="1" applyFont="1" applyBorder="1" applyAlignment="1">
      <alignment vertical="top" wrapText="1"/>
    </xf>
    <xf numFmtId="0" fontId="16" fillId="4" borderId="5" xfId="0" applyNumberFormat="1" applyFont="1" applyFill="1" applyBorder="1" applyAlignment="1">
      <alignment horizontal="left" vertical="center" wrapText="1"/>
    </xf>
    <xf numFmtId="0" fontId="75" fillId="0" borderId="21" xfId="0" applyNumberFormat="1" applyFont="1" applyBorder="1" applyAlignment="1"/>
    <xf numFmtId="0" fontId="24" fillId="0" borderId="21" xfId="0" applyNumberFormat="1" applyFont="1" applyBorder="1" applyAlignment="1"/>
    <xf numFmtId="0" fontId="5" fillId="0" borderId="23" xfId="0" applyNumberFormat="1" applyFont="1" applyBorder="1" applyAlignment="1">
      <alignment horizontal="left" vertical="center"/>
    </xf>
    <xf numFmtId="0" fontId="5" fillId="4" borderId="23" xfId="0" applyNumberFormat="1" applyFont="1" applyFill="1" applyBorder="1" applyAlignment="1">
      <alignment horizontal="left" vertical="center"/>
    </xf>
    <xf numFmtId="0" fontId="5" fillId="4" borderId="5" xfId="0" applyNumberFormat="1" applyFont="1" applyFill="1" applyBorder="1" applyAlignment="1">
      <alignment horizontal="left" vertical="center"/>
    </xf>
    <xf numFmtId="0" fontId="5" fillId="4" borderId="23" xfId="0" applyNumberFormat="1" applyFont="1" applyFill="1" applyBorder="1" applyAlignment="1">
      <alignment horizontal="left" vertical="center"/>
    </xf>
    <xf numFmtId="0" fontId="5" fillId="4" borderId="21" xfId="0" applyNumberFormat="1" applyFont="1" applyFill="1" applyBorder="1" applyAlignment="1">
      <alignment horizontal="left" vertical="center"/>
    </xf>
    <xf numFmtId="0" fontId="5" fillId="0" borderId="25" xfId="0" applyNumberFormat="1" applyFont="1" applyBorder="1" applyAlignment="1">
      <alignment horizontal="left" vertical="center"/>
    </xf>
    <xf numFmtId="0" fontId="19" fillId="4" borderId="5" xfId="0" applyNumberFormat="1" applyFont="1" applyFill="1" applyBorder="1" applyAlignment="1">
      <alignment horizontal="left" vertical="center"/>
    </xf>
    <xf numFmtId="0" fontId="5" fillId="0" borderId="1" xfId="0" applyNumberFormat="1" applyFont="1" applyBorder="1" applyAlignment="1">
      <alignment horizontal="left" vertical="center"/>
    </xf>
    <xf numFmtId="0" fontId="5" fillId="0" borderId="4" xfId="0" applyNumberFormat="1" applyFont="1" applyBorder="1" applyAlignment="1">
      <alignment horizontal="left" vertical="center"/>
    </xf>
    <xf numFmtId="0" fontId="5" fillId="4" borderId="5" xfId="0" applyNumberFormat="1" applyFont="1" applyFill="1" applyBorder="1" applyAlignment="1">
      <alignment horizontal="left" vertical="center"/>
    </xf>
    <xf numFmtId="0" fontId="76" fillId="0" borderId="1" xfId="0" applyNumberFormat="1" applyFont="1" applyBorder="1" applyAlignment="1">
      <alignment horizontal="left" vertical="center"/>
    </xf>
    <xf numFmtId="0" fontId="24" fillId="0" borderId="21" xfId="0" applyNumberFormat="1" applyFont="1" applyBorder="1" applyAlignment="1">
      <alignment horizontal="left" vertical="center"/>
    </xf>
    <xf numFmtId="0" fontId="5" fillId="0" borderId="23" xfId="0" applyNumberFormat="1" applyFont="1" applyBorder="1" applyAlignment="1">
      <alignment horizontal="left" vertical="center"/>
    </xf>
    <xf numFmtId="0" fontId="5" fillId="0" borderId="5" xfId="0" applyNumberFormat="1" applyFont="1" applyBorder="1" applyAlignment="1">
      <alignment horizontal="left" vertical="center"/>
    </xf>
    <xf numFmtId="0" fontId="5" fillId="0" borderId="8" xfId="0" applyNumberFormat="1" applyFont="1" applyBorder="1" applyAlignment="1">
      <alignment horizontal="left" vertical="center"/>
    </xf>
    <xf numFmtId="0" fontId="5" fillId="0" borderId="5" xfId="0" applyNumberFormat="1" applyFont="1" applyBorder="1" applyAlignment="1">
      <alignment horizontal="left" vertical="top" wrapText="1"/>
    </xf>
    <xf numFmtId="0" fontId="5" fillId="0" borderId="2" xfId="0" applyNumberFormat="1" applyFont="1" applyBorder="1" applyAlignment="1">
      <alignment horizontal="left" vertical="center"/>
    </xf>
    <xf numFmtId="0" fontId="5" fillId="0" borderId="21" xfId="0" applyNumberFormat="1" applyFont="1" applyBorder="1" applyAlignment="1">
      <alignment horizontal="left" vertical="center"/>
    </xf>
    <xf numFmtId="0" fontId="5" fillId="4" borderId="25" xfId="0" applyNumberFormat="1" applyFont="1" applyFill="1" applyBorder="1" applyAlignment="1">
      <alignment horizontal="left" vertical="center"/>
    </xf>
    <xf numFmtId="0" fontId="5" fillId="4" borderId="21" xfId="0" applyNumberFormat="1" applyFont="1" applyFill="1" applyBorder="1" applyAlignment="1">
      <alignment horizontal="left" vertical="center"/>
    </xf>
    <xf numFmtId="0" fontId="77" fillId="0" borderId="0" xfId="0" applyNumberFormat="1" applyFont="1" applyAlignment="1">
      <alignment horizontal="left" vertical="center" wrapText="1"/>
    </xf>
    <xf numFmtId="0" fontId="78" fillId="0" borderId="21" xfId="0" applyNumberFormat="1" applyFont="1" applyBorder="1" applyAlignment="1">
      <alignment horizontal="left" vertical="center" wrapText="1"/>
    </xf>
    <xf numFmtId="164" fontId="19" fillId="4" borderId="21" xfId="0" applyNumberFormat="1" applyFont="1" applyFill="1" applyBorder="1" applyAlignment="1">
      <alignment horizontal="left" vertical="center"/>
    </xf>
    <xf numFmtId="174" fontId="8" fillId="0" borderId="21" xfId="0" applyNumberFormat="1" applyFont="1" applyBorder="1"/>
    <xf numFmtId="0" fontId="5" fillId="0" borderId="2" xfId="0" applyNumberFormat="1" applyFont="1" applyBorder="1" applyAlignment="1">
      <alignment horizontal="left" vertical="center" wrapText="1"/>
    </xf>
    <xf numFmtId="0" fontId="5" fillId="0" borderId="5" xfId="0" applyNumberFormat="1" applyFont="1" applyBorder="1" applyAlignment="1">
      <alignment horizontal="left" vertical="top"/>
    </xf>
    <xf numFmtId="0" fontId="5" fillId="0" borderId="8" xfId="0" applyNumberFormat="1" applyFont="1" applyBorder="1" applyAlignment="1">
      <alignment horizontal="left" vertical="center" wrapText="1"/>
    </xf>
    <xf numFmtId="0" fontId="5" fillId="0" borderId="25" xfId="0" applyNumberFormat="1" applyFont="1" applyBorder="1" applyAlignment="1">
      <alignment horizontal="left" vertical="center"/>
    </xf>
    <xf numFmtId="0" fontId="24" fillId="0" borderId="21" xfId="0" applyNumberFormat="1" applyFont="1" applyBorder="1" applyAlignment="1">
      <alignment horizontal="left" vertical="center"/>
    </xf>
    <xf numFmtId="0" fontId="5" fillId="0" borderId="25" xfId="0" applyNumberFormat="1" applyFont="1" applyBorder="1" applyAlignment="1">
      <alignment horizontal="left" vertical="center"/>
    </xf>
    <xf numFmtId="0" fontId="5" fillId="0" borderId="5" xfId="0" applyNumberFormat="1" applyFont="1" applyBorder="1" applyAlignment="1">
      <alignment horizontal="left" vertical="top" wrapText="1"/>
    </xf>
    <xf numFmtId="0" fontId="5" fillId="4" borderId="5" xfId="0" applyNumberFormat="1" applyFont="1" applyFill="1" applyBorder="1" applyAlignment="1">
      <alignment horizontal="left" vertical="center"/>
    </xf>
    <xf numFmtId="0" fontId="5" fillId="4" borderId="21" xfId="0" applyNumberFormat="1" applyFont="1" applyFill="1" applyBorder="1" applyAlignment="1">
      <alignment horizontal="left" vertical="center"/>
    </xf>
    <xf numFmtId="0" fontId="5" fillId="0" borderId="24" xfId="0" applyNumberFormat="1" applyFont="1" applyBorder="1" applyAlignment="1">
      <alignment horizontal="left" vertical="center" wrapText="1"/>
    </xf>
    <xf numFmtId="0" fontId="79" fillId="0" borderId="21" xfId="0" applyNumberFormat="1" applyFont="1" applyBorder="1" applyAlignment="1">
      <alignment horizontal="left" vertical="center" wrapText="1"/>
    </xf>
    <xf numFmtId="49" fontId="24" fillId="0" borderId="21" xfId="0" applyNumberFormat="1" applyFont="1" applyBorder="1"/>
    <xf numFmtId="0" fontId="47" fillId="4" borderId="21" xfId="0" applyNumberFormat="1" applyFont="1" applyFill="1" applyBorder="1" applyAlignment="1">
      <alignment horizontal="center" vertical="center"/>
    </xf>
    <xf numFmtId="0" fontId="5" fillId="4" borderId="5" xfId="0" applyNumberFormat="1" applyFont="1" applyFill="1" applyBorder="1" applyAlignment="1">
      <alignment horizontal="center" vertical="center"/>
    </xf>
    <xf numFmtId="0" fontId="5" fillId="4" borderId="21" xfId="0" applyNumberFormat="1" applyFont="1" applyFill="1" applyBorder="1" applyAlignment="1">
      <alignment horizontal="center" vertical="center"/>
    </xf>
    <xf numFmtId="0" fontId="6" fillId="0" borderId="21" xfId="0" applyNumberFormat="1" applyFont="1" applyBorder="1" applyAlignment="1">
      <alignment horizontal="left" vertical="center" wrapText="1"/>
    </xf>
    <xf numFmtId="0" fontId="6" fillId="0" borderId="25" xfId="0" applyNumberFormat="1" applyFont="1" applyBorder="1" applyAlignment="1">
      <alignment horizontal="left" vertical="center"/>
    </xf>
    <xf numFmtId="0" fontId="6" fillId="0" borderId="21" xfId="0" applyNumberFormat="1" applyFont="1" applyBorder="1" applyAlignment="1">
      <alignment horizontal="left" vertical="center" wrapText="1"/>
    </xf>
    <xf numFmtId="0" fontId="6" fillId="4" borderId="2" xfId="0" applyNumberFormat="1" applyFont="1" applyFill="1" applyBorder="1" applyAlignment="1">
      <alignment horizontal="left" vertical="center"/>
    </xf>
    <xf numFmtId="0" fontId="6" fillId="4" borderId="7" xfId="0" applyNumberFormat="1" applyFont="1" applyFill="1" applyBorder="1" applyAlignment="1">
      <alignment vertical="top" wrapText="1"/>
    </xf>
    <xf numFmtId="164" fontId="16" fillId="0" borderId="5" xfId="0" applyNumberFormat="1" applyFont="1" applyBorder="1" applyAlignment="1">
      <alignment horizontal="left" vertical="center"/>
    </xf>
    <xf numFmtId="0" fontId="47" fillId="4" borderId="5" xfId="0" applyNumberFormat="1" applyFont="1" applyFill="1" applyBorder="1" applyAlignment="1">
      <alignment vertical="center" wrapText="1"/>
    </xf>
    <xf numFmtId="0" fontId="16" fillId="4" borderId="4" xfId="0" applyNumberFormat="1" applyFont="1" applyFill="1" applyBorder="1" applyAlignment="1">
      <alignment vertical="top" wrapText="1"/>
    </xf>
    <xf numFmtId="0" fontId="59" fillId="4" borderId="5" xfId="0" applyNumberFormat="1" applyFont="1" applyFill="1" applyBorder="1" applyAlignment="1">
      <alignment horizontal="left" vertical="top" wrapText="1"/>
    </xf>
    <xf numFmtId="164" fontId="45" fillId="0" borderId="0" xfId="0" applyNumberFormat="1" applyFont="1" applyAlignment="1">
      <alignment vertical="center"/>
    </xf>
    <xf numFmtId="164" fontId="10" fillId="7" borderId="6" xfId="0" applyNumberFormat="1" applyFont="1" applyFill="1" applyBorder="1" applyAlignment="1">
      <alignment wrapText="1"/>
    </xf>
    <xf numFmtId="0" fontId="16" fillId="0" borderId="5" xfId="0" applyNumberFormat="1" applyFont="1" applyBorder="1" applyAlignment="1">
      <alignment horizontal="left" vertical="center"/>
    </xf>
    <xf numFmtId="0" fontId="2" fillId="0" borderId="21" xfId="0" applyNumberFormat="1" applyFont="1" applyBorder="1" applyAlignment="1">
      <alignment horizontal="left" vertical="center" wrapText="1"/>
    </xf>
    <xf numFmtId="0" fontId="2" fillId="0" borderId="23" xfId="0" applyNumberFormat="1" applyFont="1" applyBorder="1" applyAlignment="1">
      <alignment horizontal="left" vertical="center"/>
    </xf>
    <xf numFmtId="164" fontId="16" fillId="0" borderId="21" xfId="0" applyNumberFormat="1" applyFont="1" applyBorder="1" applyAlignment="1">
      <alignment horizontal="left" vertical="center"/>
    </xf>
    <xf numFmtId="0" fontId="16" fillId="4" borderId="21" xfId="0" applyNumberFormat="1" applyFont="1" applyFill="1" applyBorder="1" applyAlignment="1">
      <alignment horizontal="left" vertical="top" wrapText="1"/>
    </xf>
    <xf numFmtId="0" fontId="2" fillId="0" borderId="25" xfId="0" applyNumberFormat="1" applyFont="1" applyBorder="1" applyAlignment="1">
      <alignment horizontal="left" vertical="center"/>
    </xf>
    <xf numFmtId="0" fontId="2" fillId="0" borderId="25" xfId="0" applyNumberFormat="1" applyFont="1" applyBorder="1" applyAlignment="1">
      <alignment horizontal="left" vertical="center"/>
    </xf>
    <xf numFmtId="164" fontId="15" fillId="0" borderId="5" xfId="0" applyNumberFormat="1" applyFont="1" applyBorder="1" applyAlignment="1">
      <alignment vertical="center"/>
    </xf>
    <xf numFmtId="164" fontId="8" fillId="0" borderId="23" xfId="0" applyNumberFormat="1" applyFont="1" applyBorder="1" applyAlignment="1">
      <alignment vertical="center"/>
    </xf>
    <xf numFmtId="174" fontId="8" fillId="0" borderId="5" xfId="0" applyNumberFormat="1" applyFont="1" applyBorder="1" applyAlignment="1">
      <alignment vertical="center"/>
    </xf>
    <xf numFmtId="49" fontId="8" fillId="0" borderId="5" xfId="0" applyNumberFormat="1" applyFont="1" applyBorder="1" applyAlignment="1"/>
    <xf numFmtId="0" fontId="15" fillId="4" borderId="24" xfId="0" applyNumberFormat="1" applyFont="1" applyFill="1" applyBorder="1" applyAlignment="1">
      <alignment vertical="center" wrapText="1"/>
    </xf>
    <xf numFmtId="0" fontId="8" fillId="4" borderId="2" xfId="0" applyNumberFormat="1" applyFont="1" applyFill="1" applyBorder="1" applyAlignment="1">
      <alignment vertical="center"/>
    </xf>
    <xf numFmtId="164" fontId="8" fillId="0" borderId="21" xfId="0" applyNumberFormat="1" applyFont="1" applyBorder="1" applyAlignment="1">
      <alignment vertical="center" wrapText="1"/>
    </xf>
    <xf numFmtId="0" fontId="8" fillId="4" borderId="21" xfId="0" applyNumberFormat="1" applyFont="1" applyFill="1" applyBorder="1" applyAlignment="1"/>
    <xf numFmtId="164" fontId="8" fillId="4" borderId="24" xfId="0" applyNumberFormat="1" applyFont="1" applyFill="1" applyBorder="1"/>
    <xf numFmtId="164" fontId="15" fillId="4" borderId="5" xfId="0" applyNumberFormat="1" applyFont="1" applyFill="1" applyBorder="1" applyAlignment="1">
      <alignment wrapText="1"/>
    </xf>
    <xf numFmtId="164" fontId="8" fillId="0" borderId="11" xfId="0" applyNumberFormat="1" applyFont="1" applyBorder="1" applyAlignment="1"/>
    <xf numFmtId="49" fontId="81" fillId="0" borderId="21" xfId="0" applyNumberFormat="1" applyFont="1" applyBorder="1" applyAlignment="1"/>
    <xf numFmtId="164" fontId="8" fillId="4" borderId="5" xfId="0" applyNumberFormat="1" applyFont="1" applyFill="1" applyBorder="1" applyAlignment="1"/>
    <xf numFmtId="49" fontId="48" fillId="0" borderId="21" xfId="0" applyNumberFormat="1" applyFont="1" applyBorder="1" applyAlignment="1">
      <alignment wrapText="1"/>
    </xf>
    <xf numFmtId="164" fontId="8" fillId="0" borderId="25" xfId="0" applyNumberFormat="1" applyFont="1" applyBorder="1" applyAlignment="1">
      <alignment vertical="center"/>
    </xf>
    <xf numFmtId="171" fontId="85" fillId="4" borderId="0" xfId="0" applyNumberFormat="1" applyFont="1" applyFill="1" applyAlignment="1">
      <alignment horizontal="left"/>
    </xf>
    <xf numFmtId="0" fontId="18" fillId="9" borderId="22" xfId="0" applyNumberFormat="1" applyFont="1" applyFill="1" applyBorder="1" applyAlignment="1">
      <alignment horizontal="center" vertical="center" wrapText="1"/>
    </xf>
    <xf numFmtId="0" fontId="18" fillId="9" borderId="22" xfId="0" applyNumberFormat="1" applyFont="1" applyFill="1" applyBorder="1" applyAlignment="1">
      <alignment vertical="center" wrapText="1"/>
    </xf>
    <xf numFmtId="0" fontId="23" fillId="0" borderId="0" xfId="0" applyNumberFormat="1" applyFont="1" applyAlignment="1">
      <alignment horizontal="left" vertical="center" wrapText="1"/>
    </xf>
    <xf numFmtId="0" fontId="5" fillId="0" borderId="5" xfId="0" applyNumberFormat="1" applyFont="1" applyBorder="1" applyAlignment="1">
      <alignment horizontal="left" vertical="center"/>
    </xf>
    <xf numFmtId="0" fontId="18" fillId="4" borderId="5" xfId="0" applyNumberFormat="1" applyFont="1" applyFill="1" applyBorder="1" applyAlignment="1">
      <alignment vertical="center" wrapText="1"/>
    </xf>
    <xf numFmtId="164" fontId="0" fillId="0" borderId="0" xfId="0" applyNumberFormat="1" applyFont="1" applyAlignment="1"/>
    <xf numFmtId="0" fontId="7" fillId="0" borderId="6" xfId="0" applyNumberFormat="1" applyFont="1" applyBorder="1"/>
    <xf numFmtId="0" fontId="7" fillId="0" borderId="7" xfId="0" applyNumberFormat="1" applyFont="1" applyBorder="1"/>
    <xf numFmtId="0" fontId="7" fillId="0" borderId="2" xfId="0" applyNumberFormat="1" applyFont="1" applyBorder="1"/>
    <xf numFmtId="0" fontId="7" fillId="0" borderId="8" xfId="0" applyNumberFormat="1" applyFont="1" applyBorder="1"/>
    <xf numFmtId="0" fontId="7" fillId="0" borderId="4" xfId="0" applyNumberFormat="1" applyFont="1" applyBorder="1"/>
    <xf numFmtId="0" fontId="7" fillId="0" borderId="3" xfId="0" applyNumberFormat="1" applyFont="1" applyBorder="1"/>
    <xf numFmtId="0" fontId="7" fillId="0" borderId="9" xfId="0" applyNumberFormat="1" applyFont="1" applyBorder="1"/>
    <xf numFmtId="0" fontId="7" fillId="0" borderId="10" xfId="0" applyNumberFormat="1" applyFont="1" applyBorder="1"/>
    <xf numFmtId="0" fontId="7" fillId="0" borderId="11" xfId="0" applyNumberFormat="1" applyFont="1" applyBorder="1"/>
    <xf numFmtId="0" fontId="15" fillId="0" borderId="13" xfId="0" applyNumberFormat="1" applyFont="1" applyBorder="1" applyAlignment="1">
      <alignment vertical="center"/>
    </xf>
    <xf numFmtId="0" fontId="7" fillId="0" borderId="13" xfId="0" applyNumberFormat="1" applyFont="1" applyBorder="1"/>
    <xf numFmtId="0" fontId="7" fillId="0" borderId="12" xfId="0" applyNumberFormat="1" applyFont="1" applyBorder="1"/>
    <xf numFmtId="0" fontId="6" fillId="2" borderId="0" xfId="0" applyNumberFormat="1" applyFont="1" applyFill="1" applyAlignment="1">
      <alignment horizontal="center" vertical="center"/>
    </xf>
    <xf numFmtId="0" fontId="11" fillId="2" borderId="0" xfId="0" applyNumberFormat="1" applyFont="1" applyFill="1" applyAlignment="1">
      <alignment horizontal="center" vertical="center"/>
    </xf>
    <xf numFmtId="0" fontId="3" fillId="3" borderId="0" xfId="0" applyNumberFormat="1" applyFont="1" applyFill="1" applyAlignment="1">
      <alignment horizontal="left" vertical="center"/>
    </xf>
    <xf numFmtId="0" fontId="7" fillId="0" borderId="15" xfId="0" applyNumberFormat="1" applyFont="1" applyBorder="1"/>
    <xf numFmtId="0" fontId="7" fillId="0" borderId="19" xfId="0" applyNumberFormat="1" applyFont="1" applyBorder="1"/>
    <xf numFmtId="0" fontId="16" fillId="0" borderId="13" xfId="0" applyNumberFormat="1" applyFont="1" applyBorder="1" applyAlignment="1">
      <alignment vertical="center"/>
    </xf>
    <xf numFmtId="0" fontId="7" fillId="0" borderId="14" xfId="0" applyNumberFormat="1" applyFont="1" applyBorder="1"/>
    <xf numFmtId="0" fontId="6" fillId="2" borderId="16" xfId="0" applyNumberFormat="1" applyFont="1" applyFill="1" applyBorder="1" applyAlignment="1">
      <alignment horizontal="center" vertical="center"/>
    </xf>
    <xf numFmtId="0" fontId="7" fillId="0" borderId="17" xfId="0" applyNumberFormat="1" applyFont="1" applyBorder="1"/>
    <xf numFmtId="0" fontId="16" fillId="7" borderId="19" xfId="0" applyNumberFormat="1" applyFont="1" applyFill="1" applyBorder="1" applyAlignment="1">
      <alignment horizontal="left" vertical="center"/>
    </xf>
    <xf numFmtId="0" fontId="16" fillId="7" borderId="19" xfId="0" applyNumberFormat="1" applyFont="1" applyFill="1" applyBorder="1" applyAlignment="1">
      <alignment vertical="center"/>
    </xf>
    <xf numFmtId="0" fontId="15" fillId="8" borderId="12" xfId="0" applyNumberFormat="1" applyFont="1" applyFill="1" applyBorder="1" applyAlignment="1">
      <alignment horizontal="center" vertical="center"/>
    </xf>
    <xf numFmtId="0" fontId="15" fillId="8" borderId="0" xfId="0" applyNumberFormat="1" applyFont="1" applyFill="1" applyAlignment="1">
      <alignment vertical="center"/>
    </xf>
    <xf numFmtId="0" fontId="18" fillId="0" borderId="5" xfId="0" applyNumberFormat="1" applyFont="1" applyBorder="1" applyAlignment="1">
      <alignment horizontal="center" vertical="center" wrapText="1"/>
    </xf>
    <xf numFmtId="0" fontId="18" fillId="0" borderId="5" xfId="0" applyNumberFormat="1" applyFont="1" applyBorder="1" applyAlignment="1">
      <alignment horizontal="left" vertical="center" wrapText="1"/>
    </xf>
    <xf numFmtId="0" fontId="22" fillId="7" borderId="19" xfId="0" applyNumberFormat="1" applyFont="1" applyFill="1" applyBorder="1" applyAlignment="1">
      <alignment vertical="center"/>
    </xf>
    <xf numFmtId="169" fontId="16" fillId="7" borderId="12" xfId="0" applyNumberFormat="1" applyFont="1" applyFill="1" applyBorder="1" applyAlignment="1">
      <alignment horizontal="left" vertical="center"/>
    </xf>
    <xf numFmtId="1"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6" fillId="2" borderId="15" xfId="0" applyNumberFormat="1" applyFont="1" applyFill="1" applyBorder="1" applyAlignment="1">
      <alignment horizontal="center" vertical="center" wrapText="1"/>
    </xf>
    <xf numFmtId="0" fontId="6" fillId="0" borderId="0" xfId="0" applyNumberFormat="1" applyFont="1" applyAlignment="1">
      <alignment horizontal="left" vertical="center" wrapText="1"/>
    </xf>
    <xf numFmtId="0" fontId="7" fillId="0" borderId="24" xfId="0" applyNumberFormat="1" applyFont="1" applyBorder="1"/>
    <xf numFmtId="0" fontId="7" fillId="0" borderId="25" xfId="0" applyNumberFormat="1" applyFont="1" applyBorder="1"/>
    <xf numFmtId="0" fontId="2" fillId="7" borderId="5" xfId="0" applyNumberFormat="1" applyFont="1" applyFill="1" applyBorder="1" applyAlignment="1">
      <alignment horizontal="left" vertical="center"/>
    </xf>
    <xf numFmtId="0" fontId="29" fillId="0" borderId="0" xfId="0" applyNumberFormat="1" applyFont="1" applyAlignment="1">
      <alignment vertical="center"/>
    </xf>
    <xf numFmtId="0" fontId="11" fillId="10" borderId="0" xfId="0" applyNumberFormat="1" applyFont="1" applyFill="1" applyAlignment="1">
      <alignment horizontal="center" vertical="center" wrapText="1"/>
    </xf>
    <xf numFmtId="0" fontId="23" fillId="6" borderId="5" xfId="0" applyNumberFormat="1" applyFont="1" applyFill="1" applyBorder="1" applyAlignment="1">
      <alignment horizontal="left" vertical="center" wrapText="1"/>
    </xf>
    <xf numFmtId="0" fontId="23" fillId="7" borderId="23" xfId="0" applyNumberFormat="1" applyFont="1" applyFill="1" applyBorder="1" applyAlignment="1">
      <alignment horizontal="center" vertical="center" wrapText="1"/>
    </xf>
    <xf numFmtId="49" fontId="23" fillId="2" borderId="23" xfId="0" applyNumberFormat="1" applyFont="1" applyFill="1" applyBorder="1" applyAlignment="1">
      <alignment horizontal="center" vertical="center" wrapText="1"/>
    </xf>
    <xf numFmtId="0" fontId="23" fillId="2" borderId="23" xfId="0" applyNumberFormat="1" applyFont="1" applyFill="1" applyBorder="1" applyAlignment="1">
      <alignment horizontal="center" vertical="center" wrapText="1"/>
    </xf>
    <xf numFmtId="0" fontId="23" fillId="2" borderId="1" xfId="0" applyNumberFormat="1" applyFont="1" applyFill="1" applyBorder="1" applyAlignment="1">
      <alignment horizontal="center" vertical="center" wrapText="1"/>
    </xf>
    <xf numFmtId="0" fontId="26" fillId="2" borderId="23" xfId="0" applyNumberFormat="1" applyFont="1" applyFill="1" applyBorder="1" applyAlignment="1">
      <alignment horizontal="center" vertical="center" wrapText="1"/>
    </xf>
    <xf numFmtId="0" fontId="3" fillId="2" borderId="5" xfId="0" applyNumberFormat="1" applyFont="1" applyFill="1" applyBorder="1" applyAlignment="1">
      <alignment horizontal="left" vertical="center" wrapText="1"/>
    </xf>
    <xf numFmtId="0" fontId="9" fillId="2" borderId="23" xfId="0" applyNumberFormat="1" applyFont="1" applyFill="1" applyBorder="1" applyAlignment="1">
      <alignment horizontal="center" vertical="center" wrapText="1"/>
    </xf>
    <xf numFmtId="0" fontId="9" fillId="2" borderId="1" xfId="0" applyNumberFormat="1" applyFont="1" applyFill="1" applyBorder="1" applyAlignment="1">
      <alignment horizontal="center" vertical="center" wrapText="1"/>
    </xf>
    <xf numFmtId="0" fontId="36" fillId="2" borderId="23" xfId="0" applyNumberFormat="1" applyFont="1" applyFill="1" applyBorder="1" applyAlignment="1">
      <alignment horizontal="center" vertical="center" wrapText="1"/>
    </xf>
    <xf numFmtId="0" fontId="35" fillId="10" borderId="0" xfId="0" applyNumberFormat="1" applyFont="1" applyFill="1" applyAlignment="1">
      <alignment horizontal="center" vertical="center" wrapText="1"/>
    </xf>
    <xf numFmtId="49" fontId="9" fillId="2" borderId="23" xfId="0" applyNumberFormat="1" applyFont="1" applyFill="1" applyBorder="1" applyAlignment="1">
      <alignment horizontal="center" vertical="center" wrapText="1"/>
    </xf>
    <xf numFmtId="0" fontId="9" fillId="6" borderId="5" xfId="0" applyNumberFormat="1" applyFont="1" applyFill="1" applyBorder="1" applyAlignment="1">
      <alignment horizontal="left" vertical="center" wrapText="1"/>
    </xf>
    <xf numFmtId="0" fontId="4" fillId="2" borderId="5" xfId="0" applyNumberFormat="1" applyFont="1" applyFill="1" applyBorder="1" applyAlignment="1">
      <alignment horizontal="left" vertical="center" wrapText="1"/>
    </xf>
    <xf numFmtId="0" fontId="5" fillId="4" borderId="23" xfId="0" applyNumberFormat="1" applyFont="1" applyFill="1" applyBorder="1" applyAlignment="1">
      <alignment vertical="top" wrapText="1"/>
    </xf>
    <xf numFmtId="0" fontId="5" fillId="4" borderId="23" xfId="0" applyNumberFormat="1" applyFont="1" applyFill="1" applyBorder="1" applyAlignment="1">
      <alignment vertical="center" wrapText="1"/>
    </xf>
    <xf numFmtId="0" fontId="5" fillId="0" borderId="23" xfId="0" applyNumberFormat="1" applyFont="1" applyBorder="1" applyAlignment="1">
      <alignment vertical="top" wrapText="1"/>
    </xf>
    <xf numFmtId="0" fontId="16" fillId="4" borderId="1" xfId="0" applyNumberFormat="1" applyFont="1" applyFill="1" applyBorder="1" applyAlignment="1">
      <alignment vertical="top" wrapText="1"/>
    </xf>
    <xf numFmtId="0" fontId="5" fillId="0" borderId="23" xfId="0" applyNumberFormat="1" applyFont="1" applyBorder="1" applyAlignment="1">
      <alignment horizontal="left" vertical="center" wrapText="1"/>
    </xf>
    <xf numFmtId="0" fontId="9" fillId="7" borderId="5" xfId="0" applyNumberFormat="1" applyFont="1" applyFill="1" applyBorder="1" applyAlignment="1">
      <alignment horizontal="left" vertical="center" wrapText="1"/>
    </xf>
    <xf numFmtId="164" fontId="16" fillId="0" borderId="23" xfId="0" applyNumberFormat="1" applyFont="1" applyBorder="1" applyAlignment="1">
      <alignment vertical="top" wrapText="1"/>
    </xf>
    <xf numFmtId="0" fontId="9" fillId="7" borderId="23" xfId="0" applyNumberFormat="1" applyFont="1" applyFill="1" applyBorder="1" applyAlignment="1">
      <alignment horizontal="center" vertical="center" wrapText="1"/>
    </xf>
    <xf numFmtId="0" fontId="24" fillId="0" borderId="23" xfId="0" applyNumberFormat="1" applyFont="1" applyBorder="1" applyAlignment="1">
      <alignment horizontal="left" vertical="center"/>
    </xf>
    <xf numFmtId="0" fontId="10" fillId="2" borderId="5" xfId="0" applyNumberFormat="1" applyFont="1" applyFill="1" applyBorder="1" applyAlignment="1">
      <alignment horizontal="left" vertical="center" wrapText="1"/>
    </xf>
    <xf numFmtId="0" fontId="2" fillId="0" borderId="23" xfId="0" applyNumberFormat="1" applyFont="1" applyBorder="1" applyAlignment="1">
      <alignment horizontal="left" vertical="center"/>
    </xf>
    <xf numFmtId="0" fontId="5" fillId="4" borderId="23" xfId="0" applyNumberFormat="1" applyFont="1" applyFill="1" applyBorder="1" applyAlignment="1">
      <alignment horizontal="left" vertical="center" wrapText="1"/>
    </xf>
    <xf numFmtId="0" fontId="23" fillId="7" borderId="5" xfId="0" applyNumberFormat="1" applyFont="1" applyFill="1" applyBorder="1" applyAlignment="1">
      <alignment horizontal="left" vertical="center" wrapText="1"/>
    </xf>
    <xf numFmtId="0" fontId="35" fillId="10" borderId="0" xfId="0" applyNumberFormat="1" applyFont="1" applyFill="1" applyAlignment="1">
      <alignment horizontal="center" vertical="top" wrapText="1"/>
    </xf>
    <xf numFmtId="0" fontId="5" fillId="0" borderId="23" xfId="0" applyNumberFormat="1" applyFont="1" applyBorder="1" applyAlignment="1">
      <alignment vertical="center" wrapText="1"/>
    </xf>
    <xf numFmtId="164" fontId="15" fillId="0" borderId="23" xfId="0" applyNumberFormat="1" applyFont="1" applyBorder="1" applyAlignment="1">
      <alignment vertical="center" wrapText="1"/>
    </xf>
    <xf numFmtId="0" fontId="5" fillId="4" borderId="8" xfId="0" applyNumberFormat="1" applyFont="1" applyFill="1" applyBorder="1" applyAlignment="1">
      <alignment vertical="top" wrapText="1"/>
    </xf>
    <xf numFmtId="164" fontId="15" fillId="4" borderId="23" xfId="0" applyNumberFormat="1" applyFont="1" applyFill="1" applyBorder="1" applyAlignment="1">
      <alignment vertical="center" wrapText="1"/>
    </xf>
    <xf numFmtId="0" fontId="16" fillId="4" borderId="23" xfId="0" applyNumberFormat="1" applyFont="1" applyFill="1" applyBorder="1" applyAlignment="1">
      <alignment vertical="top" wrapText="1"/>
    </xf>
    <xf numFmtId="0" fontId="15" fillId="4" borderId="23" xfId="0" applyNumberFormat="1" applyFont="1" applyFill="1" applyBorder="1" applyAlignment="1">
      <alignment vertical="center" wrapText="1"/>
    </xf>
    <xf numFmtId="0" fontId="5" fillId="4" borderId="23" xfId="0" applyNumberFormat="1" applyFont="1" applyFill="1" applyBorder="1" applyAlignment="1">
      <alignment horizontal="left" vertical="top" wrapText="1"/>
    </xf>
    <xf numFmtId="0" fontId="23" fillId="2" borderId="1" xfId="0" applyNumberFormat="1" applyFont="1" applyFill="1" applyBorder="1" applyAlignment="1">
      <alignment horizontal="center" vertical="center"/>
    </xf>
    <xf numFmtId="0" fontId="6" fillId="7" borderId="5" xfId="0" applyNumberFormat="1" applyFont="1" applyFill="1" applyBorder="1" applyAlignment="1">
      <alignment horizontal="left" vertical="center"/>
    </xf>
    <xf numFmtId="0" fontId="26" fillId="12" borderId="1" xfId="0" applyNumberFormat="1" applyFont="1" applyFill="1" applyBorder="1" applyAlignment="1">
      <alignment horizontal="center" vertical="center"/>
    </xf>
    <xf numFmtId="9" fontId="18" fillId="3" borderId="1" xfId="0" applyNumberFormat="1" applyFont="1" applyFill="1" applyBorder="1" applyAlignment="1">
      <alignment horizontal="center" vertical="center" wrapText="1"/>
    </xf>
    <xf numFmtId="0" fontId="23" fillId="2" borderId="6" xfId="0" applyNumberFormat="1" applyFont="1" applyFill="1" applyBorder="1" applyAlignment="1">
      <alignment horizontal="center" vertical="center" wrapText="1"/>
    </xf>
    <xf numFmtId="0" fontId="5" fillId="0" borderId="23" xfId="0" applyNumberFormat="1" applyFont="1" applyBorder="1" applyAlignment="1">
      <alignment horizontal="left" vertical="top" wrapText="1"/>
    </xf>
    <xf numFmtId="0" fontId="69" fillId="4" borderId="23" xfId="0" applyNumberFormat="1" applyFont="1" applyFill="1" applyBorder="1" applyAlignment="1">
      <alignment vertical="top" wrapText="1"/>
    </xf>
    <xf numFmtId="164" fontId="22" fillId="7" borderId="5" xfId="0" applyNumberFormat="1" applyFont="1" applyFill="1" applyBorder="1" applyAlignment="1">
      <alignment wrapText="1"/>
    </xf>
    <xf numFmtId="0" fontId="5" fillId="0" borderId="8" xfId="0" applyNumberFormat="1" applyFont="1" applyBorder="1" applyAlignment="1">
      <alignment horizontal="left" vertical="center" wrapText="1"/>
    </xf>
    <xf numFmtId="164" fontId="16" fillId="0" borderId="1" xfId="0" applyNumberFormat="1" applyFont="1" applyBorder="1" applyAlignment="1">
      <alignment horizontal="left" vertical="center" wrapText="1"/>
    </xf>
    <xf numFmtId="0" fontId="5" fillId="4" borderId="23" xfId="0" applyNumberFormat="1" applyFont="1" applyFill="1" applyBorder="1" applyAlignment="1">
      <alignment horizontal="left" vertical="center"/>
    </xf>
    <xf numFmtId="0" fontId="5" fillId="0" borderId="1" xfId="0" applyNumberFormat="1" applyFont="1" applyBorder="1" applyAlignment="1">
      <alignment horizontal="left" vertical="center"/>
    </xf>
    <xf numFmtId="0" fontId="5" fillId="0" borderId="23" xfId="0" applyNumberFormat="1" applyFont="1" applyBorder="1" applyAlignment="1">
      <alignment horizontal="left" vertical="center"/>
    </xf>
    <xf numFmtId="0" fontId="5" fillId="0" borderId="8" xfId="0" applyNumberFormat="1" applyFont="1" applyBorder="1" applyAlignment="1">
      <alignment horizontal="left" vertical="center"/>
    </xf>
    <xf numFmtId="0" fontId="5" fillId="0" borderId="25" xfId="0" applyNumberFormat="1" applyFont="1" applyBorder="1" applyAlignment="1">
      <alignment horizontal="left" vertical="center"/>
    </xf>
    <xf numFmtId="0" fontId="5" fillId="4" borderId="25" xfId="0" applyNumberFormat="1" applyFont="1" applyFill="1" applyBorder="1" applyAlignment="1">
      <alignment horizontal="left" vertical="center"/>
    </xf>
    <xf numFmtId="0" fontId="24" fillId="0" borderId="23" xfId="0" applyNumberFormat="1" applyFont="1" applyBorder="1" applyAlignment="1">
      <alignment vertical="top"/>
    </xf>
    <xf numFmtId="0" fontId="5" fillId="4" borderId="1" xfId="0" applyNumberFormat="1" applyFont="1" applyFill="1" applyBorder="1" applyAlignment="1">
      <alignment vertical="center" wrapText="1"/>
    </xf>
    <xf numFmtId="0" fontId="9" fillId="2" borderId="23" xfId="0" applyNumberFormat="1" applyFont="1" applyFill="1" applyBorder="1" applyAlignment="1">
      <alignment horizontal="left" vertical="center" wrapText="1"/>
    </xf>
    <xf numFmtId="164" fontId="8" fillId="0" borderId="23" xfId="0" applyNumberFormat="1" applyFont="1" applyBorder="1" applyAlignment="1">
      <alignment vertical="center"/>
    </xf>
    <xf numFmtId="0" fontId="8" fillId="0" borderId="23" xfId="0" applyNumberFormat="1" applyFont="1" applyBorder="1" applyAlignment="1">
      <alignment vertical="center"/>
    </xf>
    <xf numFmtId="0" fontId="10" fillId="2" borderId="5" xfId="0" applyNumberFormat="1" applyFont="1" applyFill="1" applyBorder="1" applyAlignment="1">
      <alignment wrapText="1"/>
    </xf>
    <xf numFmtId="164" fontId="8" fillId="4" borderId="23" xfId="0" applyNumberFormat="1" applyFont="1" applyFill="1" applyBorder="1" applyAlignment="1">
      <alignment vertical="center"/>
    </xf>
    <xf numFmtId="0" fontId="80" fillId="2" borderId="23" xfId="0" applyNumberFormat="1" applyFont="1" applyFill="1" applyBorder="1" applyAlignment="1">
      <alignment horizontal="center" vertical="center"/>
    </xf>
    <xf numFmtId="0" fontId="11" fillId="10" borderId="0" xfId="0" applyNumberFormat="1" applyFont="1" applyFill="1" applyAlignment="1">
      <alignment horizontal="center" vertical="top" wrapText="1"/>
    </xf>
    <xf numFmtId="0" fontId="18" fillId="9" borderId="0" xfId="0" applyNumberFormat="1" applyFont="1" applyFill="1" applyAlignment="1">
      <alignment vertical="center" wrapText="1"/>
    </xf>
    <xf numFmtId="0" fontId="4" fillId="5" borderId="1" xfId="0" applyNumberFormat="1" applyFont="1" applyFill="1" applyBorder="1" applyAlignment="1">
      <alignment horizontal="left" vertical="center"/>
    </xf>
    <xf numFmtId="49" fontId="18" fillId="0" borderId="5" xfId="0" applyNumberFormat="1" applyFont="1" applyBorder="1" applyAlignment="1">
      <alignment horizontal="center" vertical="center" wrapText="1"/>
    </xf>
    <xf numFmtId="0" fontId="18" fillId="4" borderId="5" xfId="0" applyNumberFormat="1" applyFont="1" applyFill="1" applyBorder="1" applyAlignment="1">
      <alignment vertical="center" wrapText="1"/>
    </xf>
    <xf numFmtId="0" fontId="18" fillId="9" borderId="5" xfId="0" applyNumberFormat="1" applyFont="1" applyFill="1" applyBorder="1" applyAlignment="1">
      <alignment horizontal="center" vertical="center" wrapText="1"/>
    </xf>
    <xf numFmtId="174" fontId="18" fillId="0" borderId="5" xfId="0" applyNumberFormat="1" applyFont="1" applyBorder="1" applyAlignment="1">
      <alignment horizontal="center" vertical="center" wrapText="1"/>
    </xf>
    <xf numFmtId="0" fontId="18" fillId="9" borderId="2" xfId="0" applyNumberFormat="1" applyFont="1" applyFill="1" applyBorder="1" applyAlignment="1">
      <alignment horizontal="left" vertical="center" wrapText="1"/>
    </xf>
    <xf numFmtId="0" fontId="31" fillId="4" borderId="5" xfId="0" applyNumberFormat="1" applyFont="1" applyFill="1" applyBorder="1" applyAlignment="1">
      <alignment vertical="center" wrapText="1"/>
    </xf>
    <xf numFmtId="49" fontId="23" fillId="2" borderId="1" xfId="0" applyNumberFormat="1" applyFont="1" applyFill="1" applyBorder="1" applyAlignment="1">
      <alignment horizontal="center" vertical="center" wrapText="1"/>
    </xf>
    <xf numFmtId="0" fontId="26" fillId="2" borderId="1" xfId="0" applyNumberFormat="1" applyFont="1" applyFill="1" applyBorder="1" applyAlignment="1">
      <alignment horizontal="center" vertical="center" wrapText="1"/>
    </xf>
    <xf numFmtId="0" fontId="23" fillId="2" borderId="23" xfId="0" applyNumberFormat="1" applyFont="1" applyFill="1" applyBorder="1" applyAlignment="1">
      <alignment horizontal="center" vertical="center"/>
    </xf>
    <xf numFmtId="9" fontId="6" fillId="4" borderId="5" xfId="0" applyNumberFormat="1" applyFont="1" applyFill="1" applyBorder="1" applyAlignment="1">
      <alignment horizontal="center" vertical="center" wrapText="1"/>
    </xf>
    <xf numFmtId="9" fontId="6" fillId="4" borderId="10" xfId="0" applyNumberFormat="1" applyFont="1" applyFill="1" applyBorder="1" applyAlignment="1">
      <alignment horizontal="center" vertical="center" wrapText="1"/>
    </xf>
    <xf numFmtId="0" fontId="3" fillId="2" borderId="5" xfId="0" applyNumberFormat="1" applyFont="1" applyFill="1" applyBorder="1" applyAlignment="1">
      <alignment horizontal="left" vertical="center"/>
    </xf>
    <xf numFmtId="0" fontId="2" fillId="7" borderId="6" xfId="0" applyNumberFormat="1" applyFont="1" applyFill="1" applyBorder="1" applyAlignment="1">
      <alignment horizontal="left" vertical="center"/>
    </xf>
    <xf numFmtId="0" fontId="3" fillId="0" borderId="5" xfId="0" applyNumberFormat="1" applyFont="1" applyBorder="1" applyAlignment="1">
      <alignment horizontal="left" vertical="center"/>
    </xf>
    <xf numFmtId="0" fontId="6" fillId="4" borderId="10" xfId="0" applyNumberFormat="1" applyFont="1" applyFill="1" applyBorder="1" applyAlignment="1">
      <alignment horizontal="center" vertical="center" wrapText="1"/>
    </xf>
    <xf numFmtId="0" fontId="6" fillId="4" borderId="5" xfId="0" applyNumberFormat="1" applyFont="1" applyFill="1" applyBorder="1" applyAlignment="1">
      <alignment horizontal="center" vertical="center" wrapText="1"/>
    </xf>
    <xf numFmtId="9" fontId="3" fillId="0" borderId="5" xfId="0" applyNumberFormat="1" applyFont="1" applyBorder="1" applyAlignment="1">
      <alignment horizontal="center" vertical="center"/>
    </xf>
    <xf numFmtId="0" fontId="3" fillId="2" borderId="6" xfId="0" applyNumberFormat="1" applyFont="1" applyFill="1" applyBorder="1" applyAlignment="1">
      <alignment horizontal="center" vertical="center" wrapText="1"/>
    </xf>
    <xf numFmtId="0" fontId="3" fillId="2" borderId="5" xfId="0" applyNumberFormat="1" applyFont="1" applyFill="1" applyBorder="1" applyAlignment="1">
      <alignment horizontal="center" vertical="center" wrapText="1"/>
    </xf>
    <xf numFmtId="0" fontId="86" fillId="2" borderId="6" xfId="0" applyNumberFormat="1" applyFont="1" applyFill="1" applyBorder="1" applyAlignment="1">
      <alignment horizontal="center" vertical="center" wrapText="1"/>
    </xf>
    <xf numFmtId="0" fontId="3" fillId="2" borderId="5" xfId="0" applyNumberFormat="1" applyFont="1" applyFill="1" applyBorder="1" applyAlignment="1">
      <alignment horizontal="center" vertical="center"/>
    </xf>
    <xf numFmtId="0" fontId="18" fillId="9" borderId="0" xfId="0" applyNumberFormat="1" applyFont="1" applyFill="1" applyAlignment="1">
      <alignment horizontal="left" vertical="center" wrapText="1"/>
    </xf>
    <xf numFmtId="0" fontId="18" fillId="9" borderId="5" xfId="0" applyNumberFormat="1" applyFont="1" applyFill="1" applyBorder="1" applyAlignment="1">
      <alignment horizontal="left" vertical="center" wrapText="1"/>
    </xf>
    <xf numFmtId="0" fontId="18" fillId="4" borderId="5" xfId="0" applyNumberFormat="1" applyFont="1" applyFill="1" applyBorder="1" applyAlignment="1">
      <alignment horizontal="center" vertical="center" wrapText="1"/>
    </xf>
  </cellXfs>
  <cellStyles count="1">
    <cellStyle name="Normal" xfId="0" builtinId="0"/>
  </cellStyles>
  <dxfs count="45">
    <dxf>
      <fill>
        <patternFill patternType="solid">
          <fgColor rgb="FFBFBFBF"/>
          <bgColor rgb="FFBFBFBF"/>
        </patternFill>
      </fill>
    </dxf>
    <dxf>
      <fill>
        <patternFill patternType="solid">
          <fgColor rgb="FFFFF2CC"/>
          <bgColor rgb="FFFFF2CC"/>
        </patternFill>
      </fill>
    </dxf>
    <dxf>
      <fill>
        <patternFill patternType="solid">
          <fgColor rgb="FFEA9999"/>
          <bgColor rgb="FFEA9999"/>
        </patternFill>
      </fill>
    </dxf>
    <dxf>
      <fill>
        <patternFill patternType="solid">
          <fgColor rgb="FFB7E1CD"/>
          <bgColor rgb="FFB7E1CD"/>
        </patternFill>
      </fill>
    </dxf>
    <dxf>
      <fill>
        <patternFill patternType="solid">
          <fgColor rgb="FFBFBFBF"/>
          <bgColor rgb="FFBFBFBF"/>
        </patternFill>
      </fill>
    </dxf>
    <dxf>
      <fill>
        <patternFill patternType="solid">
          <fgColor rgb="FF999999"/>
          <bgColor rgb="FF999999"/>
        </patternFill>
      </fill>
    </dxf>
    <dxf>
      <fill>
        <patternFill patternType="solid">
          <fgColor rgb="FFCCCCCC"/>
          <bgColor rgb="FFCCCCCC"/>
        </patternFill>
      </fill>
    </dxf>
    <dxf>
      <fill>
        <patternFill patternType="solid">
          <fgColor rgb="FFBFBFBF"/>
          <bgColor rgb="FFBFBFBF"/>
        </patternFill>
      </fill>
    </dxf>
    <dxf>
      <fill>
        <patternFill patternType="solid">
          <fgColor rgb="FFFFF2CC"/>
          <bgColor rgb="FFFFF2CC"/>
        </patternFill>
      </fill>
    </dxf>
    <dxf>
      <fill>
        <patternFill patternType="solid">
          <fgColor rgb="FFEA9999"/>
          <bgColor rgb="FFEA9999"/>
        </patternFill>
      </fill>
    </dxf>
    <dxf>
      <fill>
        <patternFill patternType="solid">
          <fgColor rgb="FFB7E1CD"/>
          <bgColor rgb="FFB7E1CD"/>
        </patternFill>
      </fill>
    </dxf>
    <dxf>
      <fill>
        <patternFill patternType="solid">
          <fgColor rgb="FFBFBFBF"/>
          <bgColor rgb="FFBFBFBF"/>
        </patternFill>
      </fill>
    </dxf>
    <dxf>
      <fill>
        <patternFill patternType="solid">
          <fgColor rgb="FF999999"/>
          <bgColor rgb="FF999999"/>
        </patternFill>
      </fill>
    </dxf>
    <dxf>
      <fill>
        <patternFill patternType="solid">
          <fgColor rgb="FFCCCCCC"/>
          <bgColor rgb="FFCCCCCC"/>
        </patternFill>
      </fill>
    </dxf>
    <dxf>
      <fill>
        <patternFill patternType="solid">
          <fgColor rgb="FFBFBFBF"/>
          <bgColor rgb="FFBFBFBF"/>
        </patternFill>
      </fill>
    </dxf>
    <dxf>
      <fill>
        <patternFill patternType="solid">
          <fgColor rgb="FFBFBFBF"/>
          <bgColor rgb="FFBFBFBF"/>
        </patternFill>
      </fill>
    </dxf>
    <dxf>
      <fill>
        <patternFill patternType="solid">
          <fgColor rgb="FF999999"/>
          <bgColor rgb="FF999999"/>
        </patternFill>
      </fill>
    </dxf>
    <dxf>
      <fill>
        <patternFill patternType="solid">
          <fgColor rgb="FFCCCCCC"/>
          <bgColor rgb="FFCCCCCC"/>
        </patternFill>
      </fill>
    </dxf>
    <dxf>
      <fill>
        <patternFill patternType="solid">
          <fgColor rgb="FFFFF2CC"/>
          <bgColor rgb="FFFFF2CC"/>
        </patternFill>
      </fill>
    </dxf>
    <dxf>
      <fill>
        <patternFill patternType="solid">
          <fgColor rgb="FFEA9999"/>
          <bgColor rgb="FFEA9999"/>
        </patternFill>
      </fill>
    </dxf>
    <dxf>
      <fill>
        <patternFill patternType="solid">
          <fgColor rgb="FFB7E1CD"/>
          <bgColor rgb="FFB7E1CD"/>
        </patternFill>
      </fill>
    </dxf>
    <dxf>
      <fill>
        <patternFill patternType="solid">
          <fgColor rgb="FFFFF2CC"/>
          <bgColor rgb="FFFFF2CC"/>
        </patternFill>
      </fill>
    </dxf>
    <dxf>
      <fill>
        <patternFill patternType="solid">
          <fgColor rgb="FFEA9999"/>
          <bgColor rgb="FFEA9999"/>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999999"/>
          <bgColor rgb="FF999999"/>
        </patternFill>
      </fill>
    </dxf>
    <dxf>
      <fill>
        <patternFill patternType="solid">
          <fgColor rgb="FFCCCCCC"/>
          <bgColor rgb="FFCCCCCC"/>
        </patternFill>
      </fill>
    </dxf>
    <dxf>
      <fill>
        <patternFill patternType="solid">
          <fgColor rgb="FFBFBFBF"/>
          <bgColor rgb="FFBFBFBF"/>
        </patternFill>
      </fill>
    </dxf>
    <dxf>
      <fill>
        <patternFill patternType="solid">
          <fgColor rgb="FFBFBFBF"/>
          <bgColor rgb="FFBFBFBF"/>
        </patternFill>
      </fill>
    </dxf>
    <dxf>
      <fill>
        <patternFill patternType="solid">
          <fgColor rgb="FF999999"/>
          <bgColor rgb="FF999999"/>
        </patternFill>
      </fill>
    </dxf>
    <dxf>
      <fill>
        <patternFill patternType="solid">
          <fgColor rgb="FFCCCCCC"/>
          <bgColor rgb="FFCCCCCC"/>
        </patternFill>
      </fill>
    </dxf>
    <dxf>
      <fill>
        <patternFill patternType="solid">
          <fgColor rgb="FFFFF2CC"/>
          <bgColor rgb="FFFFF2CC"/>
        </patternFill>
      </fill>
    </dxf>
    <dxf>
      <fill>
        <patternFill patternType="solid">
          <fgColor rgb="FFEA9999"/>
          <bgColor rgb="FFEA9999"/>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5">
    <tableStyle name="1.Progress Detail-style" pivot="0" count="2" xr9:uid="{00000000-0011-0000-FFFF-FFFF00000000}">
      <tableStyleElement type="firstRowStripe" dxfId="44"/>
      <tableStyleElement type="secondRowStripe" dxfId="43"/>
    </tableStyle>
    <tableStyle name="2.Schedule Detail_MVP2-style" pivot="0" count="2" xr9:uid="{00000000-0011-0000-FFFF-FFFF01000000}">
      <tableStyleElement type="firstRowStripe" dxfId="42"/>
      <tableStyleElement type="secondRowStripe" dxfId="41"/>
    </tableStyle>
    <tableStyle name="2.Schedule Detail_MVP2-style 2" pivot="0" count="2" xr9:uid="{00000000-0011-0000-FFFF-FFFF02000000}">
      <tableStyleElement type="firstRowStripe" dxfId="40"/>
      <tableStyleElement type="secondRowStripe" dxfId="39"/>
    </tableStyle>
    <tableStyle name="2.Schedule Detail_MVP2-style 3" pivot="0" count="2" xr9:uid="{00000000-0011-0000-FFFF-FFFF03000000}">
      <tableStyleElement type="firstRowStripe" dxfId="38"/>
      <tableStyleElement type="secondRowStripe" dxfId="37"/>
    </tableStyle>
    <tableStyle name="2.Schedule Detail_MVP2-style 4" pivot="0" count="2" xr9:uid="{00000000-0011-0000-FFFF-FFFF04000000}">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466725</xdr:colOff>
      <xdr:row>354</xdr:row>
      <xdr:rowOff>0</xdr:rowOff>
    </xdr:from>
    <xdr:ext cx="152400" cy="0"/>
    <xdr:pic>
      <xdr:nvPicPr>
        <xdr:cNvPr id="2" name="image11.png">
          <a:extLst>
            <a:ext uri="{FF2B5EF4-FFF2-40B4-BE49-F238E27FC236}">
              <a16:creationId xmlns:a16="http://schemas.microsoft.com/office/drawing/2014/main" id="{00000000-0008-0000-5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3" name="image11.png">
          <a:extLst>
            <a:ext uri="{FF2B5EF4-FFF2-40B4-BE49-F238E27FC236}">
              <a16:creationId xmlns:a16="http://schemas.microsoft.com/office/drawing/2014/main" id="{00000000-0008-0000-5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4" name="image11.png">
          <a:extLst>
            <a:ext uri="{FF2B5EF4-FFF2-40B4-BE49-F238E27FC236}">
              <a16:creationId xmlns:a16="http://schemas.microsoft.com/office/drawing/2014/main" id="{00000000-0008-0000-5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5" name="image11.png">
          <a:extLst>
            <a:ext uri="{FF2B5EF4-FFF2-40B4-BE49-F238E27FC236}">
              <a16:creationId xmlns:a16="http://schemas.microsoft.com/office/drawing/2014/main" id="{00000000-0008-0000-5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354</xdr:row>
      <xdr:rowOff>0</xdr:rowOff>
    </xdr:from>
    <xdr:ext cx="152400" cy="0"/>
    <xdr:pic>
      <xdr:nvPicPr>
        <xdr:cNvPr id="6" name="image11.png">
          <a:extLst>
            <a:ext uri="{FF2B5EF4-FFF2-40B4-BE49-F238E27FC236}">
              <a16:creationId xmlns:a16="http://schemas.microsoft.com/office/drawing/2014/main" id="{00000000-0008-0000-5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7" name="image11.png">
          <a:extLst>
            <a:ext uri="{FF2B5EF4-FFF2-40B4-BE49-F238E27FC236}">
              <a16:creationId xmlns:a16="http://schemas.microsoft.com/office/drawing/2014/main" id="{00000000-0008-0000-52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8" name="image11.png">
          <a:extLst>
            <a:ext uri="{FF2B5EF4-FFF2-40B4-BE49-F238E27FC236}">
              <a16:creationId xmlns:a16="http://schemas.microsoft.com/office/drawing/2014/main" id="{00000000-0008-0000-52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9" name="image11.png">
          <a:extLst>
            <a:ext uri="{FF2B5EF4-FFF2-40B4-BE49-F238E27FC236}">
              <a16:creationId xmlns:a16="http://schemas.microsoft.com/office/drawing/2014/main" id="{00000000-0008-0000-52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354</xdr:row>
      <xdr:rowOff>0</xdr:rowOff>
    </xdr:from>
    <xdr:ext cx="0" cy="0"/>
    <xdr:pic>
      <xdr:nvPicPr>
        <xdr:cNvPr id="10" name="image5.png">
          <a:extLst>
            <a:ext uri="{FF2B5EF4-FFF2-40B4-BE49-F238E27FC236}">
              <a16:creationId xmlns:a16="http://schemas.microsoft.com/office/drawing/2014/main" id="{00000000-0008-0000-52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1" name="image11.png">
          <a:extLst>
            <a:ext uri="{FF2B5EF4-FFF2-40B4-BE49-F238E27FC236}">
              <a16:creationId xmlns:a16="http://schemas.microsoft.com/office/drawing/2014/main" id="{00000000-0008-0000-52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2" name="image11.png">
          <a:extLst>
            <a:ext uri="{FF2B5EF4-FFF2-40B4-BE49-F238E27FC236}">
              <a16:creationId xmlns:a16="http://schemas.microsoft.com/office/drawing/2014/main" id="{00000000-0008-0000-52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3" name="image11.png">
          <a:extLst>
            <a:ext uri="{FF2B5EF4-FFF2-40B4-BE49-F238E27FC236}">
              <a16:creationId xmlns:a16="http://schemas.microsoft.com/office/drawing/2014/main" id="{00000000-0008-0000-52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4" name="image11.png">
          <a:extLst>
            <a:ext uri="{FF2B5EF4-FFF2-40B4-BE49-F238E27FC236}">
              <a16:creationId xmlns:a16="http://schemas.microsoft.com/office/drawing/2014/main" id="{00000000-0008-0000-52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354</xdr:row>
      <xdr:rowOff>0</xdr:rowOff>
    </xdr:from>
    <xdr:ext cx="152400" cy="0"/>
    <xdr:pic>
      <xdr:nvPicPr>
        <xdr:cNvPr id="15" name="image11.png">
          <a:extLst>
            <a:ext uri="{FF2B5EF4-FFF2-40B4-BE49-F238E27FC236}">
              <a16:creationId xmlns:a16="http://schemas.microsoft.com/office/drawing/2014/main" id="{00000000-0008-0000-52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6" name="image11.png">
          <a:extLst>
            <a:ext uri="{FF2B5EF4-FFF2-40B4-BE49-F238E27FC236}">
              <a16:creationId xmlns:a16="http://schemas.microsoft.com/office/drawing/2014/main" id="{00000000-0008-0000-52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7" name="image11.png">
          <a:extLst>
            <a:ext uri="{FF2B5EF4-FFF2-40B4-BE49-F238E27FC236}">
              <a16:creationId xmlns:a16="http://schemas.microsoft.com/office/drawing/2014/main" id="{00000000-0008-0000-5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354</xdr:row>
      <xdr:rowOff>0</xdr:rowOff>
    </xdr:from>
    <xdr:ext cx="152400" cy="0"/>
    <xdr:pic>
      <xdr:nvPicPr>
        <xdr:cNvPr id="18" name="image11.png">
          <a:extLst>
            <a:ext uri="{FF2B5EF4-FFF2-40B4-BE49-F238E27FC236}">
              <a16:creationId xmlns:a16="http://schemas.microsoft.com/office/drawing/2014/main" id="{00000000-0008-0000-52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354</xdr:row>
      <xdr:rowOff>0</xdr:rowOff>
    </xdr:from>
    <xdr:ext cx="0" cy="0"/>
    <xdr:pic>
      <xdr:nvPicPr>
        <xdr:cNvPr id="19" name="image5.png">
          <a:extLst>
            <a:ext uri="{FF2B5EF4-FFF2-40B4-BE49-F238E27FC236}">
              <a16:creationId xmlns:a16="http://schemas.microsoft.com/office/drawing/2014/main" id="{00000000-0008-0000-52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104775</xdr:colOff>
      <xdr:row>0</xdr:row>
      <xdr:rowOff>57150</xdr:rowOff>
    </xdr:from>
    <xdr:ext cx="1733550" cy="542925"/>
    <xdr:pic>
      <xdr:nvPicPr>
        <xdr:cNvPr id="20" name="image12.png" title="Image">
          <a:extLst>
            <a:ext uri="{FF2B5EF4-FFF2-40B4-BE49-F238E27FC236}">
              <a16:creationId xmlns:a16="http://schemas.microsoft.com/office/drawing/2014/main" id="{00000000-0008-0000-5200-00001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466725</xdr:colOff>
      <xdr:row>172</xdr:row>
      <xdr:rowOff>0</xdr:rowOff>
    </xdr:from>
    <xdr:ext cx="152400" cy="0"/>
    <xdr:pic>
      <xdr:nvPicPr>
        <xdr:cNvPr id="2" name="image11.png">
          <a:extLst>
            <a:ext uri="{FF2B5EF4-FFF2-40B4-BE49-F238E27FC236}">
              <a16:creationId xmlns:a16="http://schemas.microsoft.com/office/drawing/2014/main" id="{00000000-0008-0000-5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3" name="image11.png">
          <a:extLst>
            <a:ext uri="{FF2B5EF4-FFF2-40B4-BE49-F238E27FC236}">
              <a16:creationId xmlns:a16="http://schemas.microsoft.com/office/drawing/2014/main" id="{00000000-0008-0000-5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4" name="image11.png">
          <a:extLst>
            <a:ext uri="{FF2B5EF4-FFF2-40B4-BE49-F238E27FC236}">
              <a16:creationId xmlns:a16="http://schemas.microsoft.com/office/drawing/2014/main" id="{00000000-0008-0000-5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5" name="image11.png">
          <a:extLst>
            <a:ext uri="{FF2B5EF4-FFF2-40B4-BE49-F238E27FC236}">
              <a16:creationId xmlns:a16="http://schemas.microsoft.com/office/drawing/2014/main" id="{00000000-0008-0000-53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172</xdr:row>
      <xdr:rowOff>0</xdr:rowOff>
    </xdr:from>
    <xdr:ext cx="152400" cy="0"/>
    <xdr:pic>
      <xdr:nvPicPr>
        <xdr:cNvPr id="6" name="image11.png">
          <a:extLst>
            <a:ext uri="{FF2B5EF4-FFF2-40B4-BE49-F238E27FC236}">
              <a16:creationId xmlns:a16="http://schemas.microsoft.com/office/drawing/2014/main" id="{00000000-0008-0000-53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7" name="image11.png">
          <a:extLst>
            <a:ext uri="{FF2B5EF4-FFF2-40B4-BE49-F238E27FC236}">
              <a16:creationId xmlns:a16="http://schemas.microsoft.com/office/drawing/2014/main" id="{00000000-0008-0000-53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8" name="image11.png">
          <a:extLst>
            <a:ext uri="{FF2B5EF4-FFF2-40B4-BE49-F238E27FC236}">
              <a16:creationId xmlns:a16="http://schemas.microsoft.com/office/drawing/2014/main" id="{00000000-0008-0000-53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9" name="image11.png">
          <a:extLst>
            <a:ext uri="{FF2B5EF4-FFF2-40B4-BE49-F238E27FC236}">
              <a16:creationId xmlns:a16="http://schemas.microsoft.com/office/drawing/2014/main" id="{00000000-0008-0000-53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172</xdr:row>
      <xdr:rowOff>0</xdr:rowOff>
    </xdr:from>
    <xdr:ext cx="0" cy="0"/>
    <xdr:pic>
      <xdr:nvPicPr>
        <xdr:cNvPr id="10" name="image5.png">
          <a:extLst>
            <a:ext uri="{FF2B5EF4-FFF2-40B4-BE49-F238E27FC236}">
              <a16:creationId xmlns:a16="http://schemas.microsoft.com/office/drawing/2014/main" id="{00000000-0008-0000-53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1" name="image11.png">
          <a:extLst>
            <a:ext uri="{FF2B5EF4-FFF2-40B4-BE49-F238E27FC236}">
              <a16:creationId xmlns:a16="http://schemas.microsoft.com/office/drawing/2014/main" id="{00000000-0008-0000-53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2" name="image11.png">
          <a:extLst>
            <a:ext uri="{FF2B5EF4-FFF2-40B4-BE49-F238E27FC236}">
              <a16:creationId xmlns:a16="http://schemas.microsoft.com/office/drawing/2014/main" id="{00000000-0008-0000-53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3" name="image11.png">
          <a:extLst>
            <a:ext uri="{FF2B5EF4-FFF2-40B4-BE49-F238E27FC236}">
              <a16:creationId xmlns:a16="http://schemas.microsoft.com/office/drawing/2014/main" id="{00000000-0008-0000-53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4" name="image11.png">
          <a:extLst>
            <a:ext uri="{FF2B5EF4-FFF2-40B4-BE49-F238E27FC236}">
              <a16:creationId xmlns:a16="http://schemas.microsoft.com/office/drawing/2014/main" id="{00000000-0008-0000-53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172</xdr:row>
      <xdr:rowOff>0</xdr:rowOff>
    </xdr:from>
    <xdr:ext cx="152400" cy="0"/>
    <xdr:pic>
      <xdr:nvPicPr>
        <xdr:cNvPr id="15" name="image11.png">
          <a:extLst>
            <a:ext uri="{FF2B5EF4-FFF2-40B4-BE49-F238E27FC236}">
              <a16:creationId xmlns:a16="http://schemas.microsoft.com/office/drawing/2014/main" id="{00000000-0008-0000-53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6" name="image11.png">
          <a:extLst>
            <a:ext uri="{FF2B5EF4-FFF2-40B4-BE49-F238E27FC236}">
              <a16:creationId xmlns:a16="http://schemas.microsoft.com/office/drawing/2014/main" id="{00000000-0008-0000-53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7" name="image11.png">
          <a:extLst>
            <a:ext uri="{FF2B5EF4-FFF2-40B4-BE49-F238E27FC236}">
              <a16:creationId xmlns:a16="http://schemas.microsoft.com/office/drawing/2014/main" id="{00000000-0008-0000-5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172</xdr:row>
      <xdr:rowOff>0</xdr:rowOff>
    </xdr:from>
    <xdr:ext cx="152400" cy="0"/>
    <xdr:pic>
      <xdr:nvPicPr>
        <xdr:cNvPr id="18" name="image11.png">
          <a:extLst>
            <a:ext uri="{FF2B5EF4-FFF2-40B4-BE49-F238E27FC236}">
              <a16:creationId xmlns:a16="http://schemas.microsoft.com/office/drawing/2014/main" id="{00000000-0008-0000-53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172</xdr:row>
      <xdr:rowOff>0</xdr:rowOff>
    </xdr:from>
    <xdr:ext cx="0" cy="0"/>
    <xdr:pic>
      <xdr:nvPicPr>
        <xdr:cNvPr id="19" name="image5.png">
          <a:extLst>
            <a:ext uri="{FF2B5EF4-FFF2-40B4-BE49-F238E27FC236}">
              <a16:creationId xmlns:a16="http://schemas.microsoft.com/office/drawing/2014/main" id="{00000000-0008-0000-53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95250</xdr:colOff>
      <xdr:row>0</xdr:row>
      <xdr:rowOff>0</xdr:rowOff>
    </xdr:from>
    <xdr:ext cx="1733550" cy="542925"/>
    <xdr:pic>
      <xdr:nvPicPr>
        <xdr:cNvPr id="20" name="image12.png" title="Image">
          <a:extLst>
            <a:ext uri="{FF2B5EF4-FFF2-40B4-BE49-F238E27FC236}">
              <a16:creationId xmlns:a16="http://schemas.microsoft.com/office/drawing/2014/main" id="{00000000-0008-0000-5300-00001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466725</xdr:colOff>
      <xdr:row>712</xdr:row>
      <xdr:rowOff>0</xdr:rowOff>
    </xdr:from>
    <xdr:ext cx="152400" cy="0"/>
    <xdr:pic>
      <xdr:nvPicPr>
        <xdr:cNvPr id="2" name="image11.png">
          <a:extLst>
            <a:ext uri="{FF2B5EF4-FFF2-40B4-BE49-F238E27FC236}">
              <a16:creationId xmlns:a16="http://schemas.microsoft.com/office/drawing/2014/main" id="{00000000-0008-0000-5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3" name="image11.png">
          <a:extLst>
            <a:ext uri="{FF2B5EF4-FFF2-40B4-BE49-F238E27FC236}">
              <a16:creationId xmlns:a16="http://schemas.microsoft.com/office/drawing/2014/main" id="{00000000-0008-0000-5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4" name="image11.png">
          <a:extLst>
            <a:ext uri="{FF2B5EF4-FFF2-40B4-BE49-F238E27FC236}">
              <a16:creationId xmlns:a16="http://schemas.microsoft.com/office/drawing/2014/main" id="{00000000-0008-0000-5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5" name="image11.png">
          <a:extLst>
            <a:ext uri="{FF2B5EF4-FFF2-40B4-BE49-F238E27FC236}">
              <a16:creationId xmlns:a16="http://schemas.microsoft.com/office/drawing/2014/main" id="{00000000-0008-0000-57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712</xdr:row>
      <xdr:rowOff>0</xdr:rowOff>
    </xdr:from>
    <xdr:ext cx="152400" cy="0"/>
    <xdr:pic>
      <xdr:nvPicPr>
        <xdr:cNvPr id="6" name="image11.png">
          <a:extLst>
            <a:ext uri="{FF2B5EF4-FFF2-40B4-BE49-F238E27FC236}">
              <a16:creationId xmlns:a16="http://schemas.microsoft.com/office/drawing/2014/main" id="{00000000-0008-0000-57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7" name="image11.png">
          <a:extLst>
            <a:ext uri="{FF2B5EF4-FFF2-40B4-BE49-F238E27FC236}">
              <a16:creationId xmlns:a16="http://schemas.microsoft.com/office/drawing/2014/main" id="{00000000-0008-0000-57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8" name="image11.png">
          <a:extLst>
            <a:ext uri="{FF2B5EF4-FFF2-40B4-BE49-F238E27FC236}">
              <a16:creationId xmlns:a16="http://schemas.microsoft.com/office/drawing/2014/main" id="{00000000-0008-0000-57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9" name="image11.png">
          <a:extLst>
            <a:ext uri="{FF2B5EF4-FFF2-40B4-BE49-F238E27FC236}">
              <a16:creationId xmlns:a16="http://schemas.microsoft.com/office/drawing/2014/main" id="{00000000-0008-0000-57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712</xdr:row>
      <xdr:rowOff>0</xdr:rowOff>
    </xdr:from>
    <xdr:ext cx="0" cy="0"/>
    <xdr:pic>
      <xdr:nvPicPr>
        <xdr:cNvPr id="10" name="image5.png">
          <a:extLst>
            <a:ext uri="{FF2B5EF4-FFF2-40B4-BE49-F238E27FC236}">
              <a16:creationId xmlns:a16="http://schemas.microsoft.com/office/drawing/2014/main" id="{00000000-0008-0000-57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1" name="image11.png">
          <a:extLst>
            <a:ext uri="{FF2B5EF4-FFF2-40B4-BE49-F238E27FC236}">
              <a16:creationId xmlns:a16="http://schemas.microsoft.com/office/drawing/2014/main" id="{00000000-0008-0000-57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2" name="image11.png">
          <a:extLst>
            <a:ext uri="{FF2B5EF4-FFF2-40B4-BE49-F238E27FC236}">
              <a16:creationId xmlns:a16="http://schemas.microsoft.com/office/drawing/2014/main" id="{00000000-0008-0000-57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3" name="image11.png">
          <a:extLst>
            <a:ext uri="{FF2B5EF4-FFF2-40B4-BE49-F238E27FC236}">
              <a16:creationId xmlns:a16="http://schemas.microsoft.com/office/drawing/2014/main" id="{00000000-0008-0000-57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4" name="image11.png">
          <a:extLst>
            <a:ext uri="{FF2B5EF4-FFF2-40B4-BE49-F238E27FC236}">
              <a16:creationId xmlns:a16="http://schemas.microsoft.com/office/drawing/2014/main" id="{00000000-0008-0000-57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712</xdr:row>
      <xdr:rowOff>0</xdr:rowOff>
    </xdr:from>
    <xdr:ext cx="152400" cy="0"/>
    <xdr:pic>
      <xdr:nvPicPr>
        <xdr:cNvPr id="15" name="image11.png">
          <a:extLst>
            <a:ext uri="{FF2B5EF4-FFF2-40B4-BE49-F238E27FC236}">
              <a16:creationId xmlns:a16="http://schemas.microsoft.com/office/drawing/2014/main" id="{00000000-0008-0000-57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6" name="image11.png">
          <a:extLst>
            <a:ext uri="{FF2B5EF4-FFF2-40B4-BE49-F238E27FC236}">
              <a16:creationId xmlns:a16="http://schemas.microsoft.com/office/drawing/2014/main" id="{00000000-0008-0000-57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7" name="image11.png">
          <a:extLst>
            <a:ext uri="{FF2B5EF4-FFF2-40B4-BE49-F238E27FC236}">
              <a16:creationId xmlns:a16="http://schemas.microsoft.com/office/drawing/2014/main" id="{00000000-0008-0000-57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712</xdr:row>
      <xdr:rowOff>0</xdr:rowOff>
    </xdr:from>
    <xdr:ext cx="152400" cy="0"/>
    <xdr:pic>
      <xdr:nvPicPr>
        <xdr:cNvPr id="18" name="image11.png">
          <a:extLst>
            <a:ext uri="{FF2B5EF4-FFF2-40B4-BE49-F238E27FC236}">
              <a16:creationId xmlns:a16="http://schemas.microsoft.com/office/drawing/2014/main" id="{00000000-0008-0000-57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712</xdr:row>
      <xdr:rowOff>0</xdr:rowOff>
    </xdr:from>
    <xdr:ext cx="0" cy="0"/>
    <xdr:pic>
      <xdr:nvPicPr>
        <xdr:cNvPr id="19" name="image5.png">
          <a:extLst>
            <a:ext uri="{FF2B5EF4-FFF2-40B4-BE49-F238E27FC236}">
              <a16:creationId xmlns:a16="http://schemas.microsoft.com/office/drawing/2014/main" id="{00000000-0008-0000-57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104775</xdr:colOff>
      <xdr:row>0</xdr:row>
      <xdr:rowOff>57150</xdr:rowOff>
    </xdr:from>
    <xdr:ext cx="1733550" cy="542925"/>
    <xdr:pic>
      <xdr:nvPicPr>
        <xdr:cNvPr id="20" name="image12.png" title="Image">
          <a:extLst>
            <a:ext uri="{FF2B5EF4-FFF2-40B4-BE49-F238E27FC236}">
              <a16:creationId xmlns:a16="http://schemas.microsoft.com/office/drawing/2014/main" id="{00000000-0008-0000-5700-00001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20</xdr:col>
      <xdr:colOff>180975</xdr:colOff>
      <xdr:row>4</xdr:row>
      <xdr:rowOff>142875</xdr:rowOff>
    </xdr:from>
    <xdr:ext cx="7410450" cy="1524000"/>
    <xdr:sp macro="" textlink="">
      <xdr:nvSpPr>
        <xdr:cNvPr id="12" name="Shape 12">
          <a:extLst>
            <a:ext uri="{FF2B5EF4-FFF2-40B4-BE49-F238E27FC236}">
              <a16:creationId xmlns:a16="http://schemas.microsoft.com/office/drawing/2014/main" id="{00000000-0008-0000-7700-00000C000000}"/>
            </a:ext>
          </a:extLst>
        </xdr:cNvPr>
        <xdr:cNvSpPr txBox="1"/>
      </xdr:nvSpPr>
      <xdr:spPr>
        <a:xfrm>
          <a:off x="4162100" y="3286525"/>
          <a:ext cx="5731800" cy="615600"/>
        </a:xfrm>
        <a:prstGeom prst="rect">
          <a:avLst/>
        </a:prstGeom>
        <a:solidFill>
          <a:srgbClr val="F4CCCC"/>
        </a:solid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CHÚ Ý VÀO FILE MASTER TEST KIT ĐỂ ĐỌC VÀ COPPY CÁC TESTCASE ĐÃ VIẾT SẴN ĐỂ NHANH VÀ KHÔNG SÓT CASE</a:t>
          </a:r>
          <a:endParaRPr sz="1400"/>
        </a:p>
      </xdr:txBody>
    </xdr:sp>
    <xdr:clientData fLocksWithSheet="0"/>
  </xdr:oneCellAnchor>
  <xdr:oneCellAnchor>
    <xdr:from>
      <xdr:col>4</xdr:col>
      <xdr:colOff>466725</xdr:colOff>
      <xdr:row>13</xdr:row>
      <xdr:rowOff>0</xdr:rowOff>
    </xdr:from>
    <xdr:ext cx="152400" cy="0"/>
    <xdr:pic>
      <xdr:nvPicPr>
        <xdr:cNvPr id="2" name="image11.png">
          <a:extLst>
            <a:ext uri="{FF2B5EF4-FFF2-40B4-BE49-F238E27FC236}">
              <a16:creationId xmlns:a16="http://schemas.microsoft.com/office/drawing/2014/main" id="{00000000-0008-0000-7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3" name="image11.png">
          <a:extLst>
            <a:ext uri="{FF2B5EF4-FFF2-40B4-BE49-F238E27FC236}">
              <a16:creationId xmlns:a16="http://schemas.microsoft.com/office/drawing/2014/main" id="{00000000-0008-0000-7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4" name="image11.png">
          <a:extLst>
            <a:ext uri="{FF2B5EF4-FFF2-40B4-BE49-F238E27FC236}">
              <a16:creationId xmlns:a16="http://schemas.microsoft.com/office/drawing/2014/main" id="{00000000-0008-0000-7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5" name="image11.png">
          <a:extLst>
            <a:ext uri="{FF2B5EF4-FFF2-40B4-BE49-F238E27FC236}">
              <a16:creationId xmlns:a16="http://schemas.microsoft.com/office/drawing/2014/main" id="{00000000-0008-0000-77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13</xdr:row>
      <xdr:rowOff>0</xdr:rowOff>
    </xdr:from>
    <xdr:ext cx="152400" cy="0"/>
    <xdr:pic>
      <xdr:nvPicPr>
        <xdr:cNvPr id="6" name="image11.png">
          <a:extLst>
            <a:ext uri="{FF2B5EF4-FFF2-40B4-BE49-F238E27FC236}">
              <a16:creationId xmlns:a16="http://schemas.microsoft.com/office/drawing/2014/main" id="{00000000-0008-0000-77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7" name="image11.png">
          <a:extLst>
            <a:ext uri="{FF2B5EF4-FFF2-40B4-BE49-F238E27FC236}">
              <a16:creationId xmlns:a16="http://schemas.microsoft.com/office/drawing/2014/main" id="{00000000-0008-0000-77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8" name="image11.png">
          <a:extLst>
            <a:ext uri="{FF2B5EF4-FFF2-40B4-BE49-F238E27FC236}">
              <a16:creationId xmlns:a16="http://schemas.microsoft.com/office/drawing/2014/main" id="{00000000-0008-0000-77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9" name="image11.png">
          <a:extLst>
            <a:ext uri="{FF2B5EF4-FFF2-40B4-BE49-F238E27FC236}">
              <a16:creationId xmlns:a16="http://schemas.microsoft.com/office/drawing/2014/main" id="{00000000-0008-0000-77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13</xdr:row>
      <xdr:rowOff>0</xdr:rowOff>
    </xdr:from>
    <xdr:ext cx="0" cy="0"/>
    <xdr:pic>
      <xdr:nvPicPr>
        <xdr:cNvPr id="10" name="image5.png">
          <a:extLst>
            <a:ext uri="{FF2B5EF4-FFF2-40B4-BE49-F238E27FC236}">
              <a16:creationId xmlns:a16="http://schemas.microsoft.com/office/drawing/2014/main" id="{00000000-0008-0000-77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1" name="image11.png">
          <a:extLst>
            <a:ext uri="{FF2B5EF4-FFF2-40B4-BE49-F238E27FC236}">
              <a16:creationId xmlns:a16="http://schemas.microsoft.com/office/drawing/2014/main" id="{00000000-0008-0000-77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3" name="image11.png">
          <a:extLst>
            <a:ext uri="{FF2B5EF4-FFF2-40B4-BE49-F238E27FC236}">
              <a16:creationId xmlns:a16="http://schemas.microsoft.com/office/drawing/2014/main" id="{00000000-0008-0000-77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4" name="image11.png">
          <a:extLst>
            <a:ext uri="{FF2B5EF4-FFF2-40B4-BE49-F238E27FC236}">
              <a16:creationId xmlns:a16="http://schemas.microsoft.com/office/drawing/2014/main" id="{00000000-0008-0000-77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5" name="image11.png">
          <a:extLst>
            <a:ext uri="{FF2B5EF4-FFF2-40B4-BE49-F238E27FC236}">
              <a16:creationId xmlns:a16="http://schemas.microsoft.com/office/drawing/2014/main" id="{00000000-0008-0000-77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13</xdr:row>
      <xdr:rowOff>0</xdr:rowOff>
    </xdr:from>
    <xdr:ext cx="152400" cy="0"/>
    <xdr:pic>
      <xdr:nvPicPr>
        <xdr:cNvPr id="16" name="image11.png">
          <a:extLst>
            <a:ext uri="{FF2B5EF4-FFF2-40B4-BE49-F238E27FC236}">
              <a16:creationId xmlns:a16="http://schemas.microsoft.com/office/drawing/2014/main" id="{00000000-0008-0000-77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7" name="image11.png">
          <a:extLst>
            <a:ext uri="{FF2B5EF4-FFF2-40B4-BE49-F238E27FC236}">
              <a16:creationId xmlns:a16="http://schemas.microsoft.com/office/drawing/2014/main" id="{00000000-0008-0000-77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8" name="image11.png">
          <a:extLst>
            <a:ext uri="{FF2B5EF4-FFF2-40B4-BE49-F238E27FC236}">
              <a16:creationId xmlns:a16="http://schemas.microsoft.com/office/drawing/2014/main" id="{00000000-0008-0000-77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13</xdr:row>
      <xdr:rowOff>0</xdr:rowOff>
    </xdr:from>
    <xdr:ext cx="152400" cy="0"/>
    <xdr:pic>
      <xdr:nvPicPr>
        <xdr:cNvPr id="19" name="image11.png">
          <a:extLst>
            <a:ext uri="{FF2B5EF4-FFF2-40B4-BE49-F238E27FC236}">
              <a16:creationId xmlns:a16="http://schemas.microsoft.com/office/drawing/2014/main" id="{00000000-0008-0000-77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13</xdr:row>
      <xdr:rowOff>0</xdr:rowOff>
    </xdr:from>
    <xdr:ext cx="0" cy="0"/>
    <xdr:pic>
      <xdr:nvPicPr>
        <xdr:cNvPr id="20" name="image5.png">
          <a:extLst>
            <a:ext uri="{FF2B5EF4-FFF2-40B4-BE49-F238E27FC236}">
              <a16:creationId xmlns:a16="http://schemas.microsoft.com/office/drawing/2014/main" id="{00000000-0008-0000-7700-00001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95250</xdr:colOff>
      <xdr:row>0</xdr:row>
      <xdr:rowOff>0</xdr:rowOff>
    </xdr:from>
    <xdr:ext cx="1733550" cy="542925"/>
    <xdr:pic>
      <xdr:nvPicPr>
        <xdr:cNvPr id="21" name="image12.png" title="Image">
          <a:extLst>
            <a:ext uri="{FF2B5EF4-FFF2-40B4-BE49-F238E27FC236}">
              <a16:creationId xmlns:a16="http://schemas.microsoft.com/office/drawing/2014/main" id="{00000000-0008-0000-7700-00001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466725</xdr:colOff>
      <xdr:row>20</xdr:row>
      <xdr:rowOff>0</xdr:rowOff>
    </xdr:from>
    <xdr:ext cx="152400" cy="0"/>
    <xdr:pic>
      <xdr:nvPicPr>
        <xdr:cNvPr id="2" name="image11.png">
          <a:extLst>
            <a:ext uri="{FF2B5EF4-FFF2-40B4-BE49-F238E27FC236}">
              <a16:creationId xmlns:a16="http://schemas.microsoft.com/office/drawing/2014/main" id="{00000000-0008-0000-7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3" name="image11.png">
          <a:extLst>
            <a:ext uri="{FF2B5EF4-FFF2-40B4-BE49-F238E27FC236}">
              <a16:creationId xmlns:a16="http://schemas.microsoft.com/office/drawing/2014/main" id="{00000000-0008-0000-7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4" name="image11.png">
          <a:extLst>
            <a:ext uri="{FF2B5EF4-FFF2-40B4-BE49-F238E27FC236}">
              <a16:creationId xmlns:a16="http://schemas.microsoft.com/office/drawing/2014/main" id="{00000000-0008-0000-79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5" name="image11.png">
          <a:extLst>
            <a:ext uri="{FF2B5EF4-FFF2-40B4-BE49-F238E27FC236}">
              <a16:creationId xmlns:a16="http://schemas.microsoft.com/office/drawing/2014/main" id="{00000000-0008-0000-79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20</xdr:row>
      <xdr:rowOff>0</xdr:rowOff>
    </xdr:from>
    <xdr:ext cx="152400" cy="0"/>
    <xdr:pic>
      <xdr:nvPicPr>
        <xdr:cNvPr id="6" name="image11.png">
          <a:extLst>
            <a:ext uri="{FF2B5EF4-FFF2-40B4-BE49-F238E27FC236}">
              <a16:creationId xmlns:a16="http://schemas.microsoft.com/office/drawing/2014/main" id="{00000000-0008-0000-79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7" name="image11.png">
          <a:extLst>
            <a:ext uri="{FF2B5EF4-FFF2-40B4-BE49-F238E27FC236}">
              <a16:creationId xmlns:a16="http://schemas.microsoft.com/office/drawing/2014/main" id="{00000000-0008-0000-79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8" name="image11.png">
          <a:extLst>
            <a:ext uri="{FF2B5EF4-FFF2-40B4-BE49-F238E27FC236}">
              <a16:creationId xmlns:a16="http://schemas.microsoft.com/office/drawing/2014/main" id="{00000000-0008-0000-79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9" name="image11.png">
          <a:extLst>
            <a:ext uri="{FF2B5EF4-FFF2-40B4-BE49-F238E27FC236}">
              <a16:creationId xmlns:a16="http://schemas.microsoft.com/office/drawing/2014/main" id="{00000000-0008-0000-79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20</xdr:row>
      <xdr:rowOff>0</xdr:rowOff>
    </xdr:from>
    <xdr:ext cx="0" cy="0"/>
    <xdr:pic>
      <xdr:nvPicPr>
        <xdr:cNvPr id="10" name="image5.png">
          <a:extLst>
            <a:ext uri="{FF2B5EF4-FFF2-40B4-BE49-F238E27FC236}">
              <a16:creationId xmlns:a16="http://schemas.microsoft.com/office/drawing/2014/main" id="{00000000-0008-0000-79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1" name="image11.png">
          <a:extLst>
            <a:ext uri="{FF2B5EF4-FFF2-40B4-BE49-F238E27FC236}">
              <a16:creationId xmlns:a16="http://schemas.microsoft.com/office/drawing/2014/main" id="{00000000-0008-0000-79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2" name="image11.png">
          <a:extLst>
            <a:ext uri="{FF2B5EF4-FFF2-40B4-BE49-F238E27FC236}">
              <a16:creationId xmlns:a16="http://schemas.microsoft.com/office/drawing/2014/main" id="{00000000-0008-0000-79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3" name="image11.png">
          <a:extLst>
            <a:ext uri="{FF2B5EF4-FFF2-40B4-BE49-F238E27FC236}">
              <a16:creationId xmlns:a16="http://schemas.microsoft.com/office/drawing/2014/main" id="{00000000-0008-0000-79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4" name="image11.png">
          <a:extLst>
            <a:ext uri="{FF2B5EF4-FFF2-40B4-BE49-F238E27FC236}">
              <a16:creationId xmlns:a16="http://schemas.microsoft.com/office/drawing/2014/main" id="{00000000-0008-0000-79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466725</xdr:colOff>
      <xdr:row>20</xdr:row>
      <xdr:rowOff>0</xdr:rowOff>
    </xdr:from>
    <xdr:ext cx="152400" cy="0"/>
    <xdr:pic>
      <xdr:nvPicPr>
        <xdr:cNvPr id="15" name="image11.png">
          <a:extLst>
            <a:ext uri="{FF2B5EF4-FFF2-40B4-BE49-F238E27FC236}">
              <a16:creationId xmlns:a16="http://schemas.microsoft.com/office/drawing/2014/main" id="{00000000-0008-0000-79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6" name="image11.png">
          <a:extLst>
            <a:ext uri="{FF2B5EF4-FFF2-40B4-BE49-F238E27FC236}">
              <a16:creationId xmlns:a16="http://schemas.microsoft.com/office/drawing/2014/main" id="{00000000-0008-0000-79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7" name="image11.png">
          <a:extLst>
            <a:ext uri="{FF2B5EF4-FFF2-40B4-BE49-F238E27FC236}">
              <a16:creationId xmlns:a16="http://schemas.microsoft.com/office/drawing/2014/main" id="{00000000-0008-0000-79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20</xdr:row>
      <xdr:rowOff>0</xdr:rowOff>
    </xdr:from>
    <xdr:ext cx="152400" cy="0"/>
    <xdr:pic>
      <xdr:nvPicPr>
        <xdr:cNvPr id="18" name="image11.png">
          <a:extLst>
            <a:ext uri="{FF2B5EF4-FFF2-40B4-BE49-F238E27FC236}">
              <a16:creationId xmlns:a16="http://schemas.microsoft.com/office/drawing/2014/main" id="{00000000-0008-0000-79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971550</xdr:colOff>
      <xdr:row>20</xdr:row>
      <xdr:rowOff>0</xdr:rowOff>
    </xdr:from>
    <xdr:ext cx="0" cy="0"/>
    <xdr:pic>
      <xdr:nvPicPr>
        <xdr:cNvPr id="19" name="image5.png">
          <a:extLst>
            <a:ext uri="{FF2B5EF4-FFF2-40B4-BE49-F238E27FC236}">
              <a16:creationId xmlns:a16="http://schemas.microsoft.com/office/drawing/2014/main" id="{00000000-0008-0000-79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95250</xdr:colOff>
      <xdr:row>0</xdr:row>
      <xdr:rowOff>0</xdr:rowOff>
    </xdr:from>
    <xdr:ext cx="1733550" cy="542925"/>
    <xdr:pic>
      <xdr:nvPicPr>
        <xdr:cNvPr id="20" name="image12.png" title="Image">
          <a:extLst>
            <a:ext uri="{FF2B5EF4-FFF2-40B4-BE49-F238E27FC236}">
              <a16:creationId xmlns:a16="http://schemas.microsoft.com/office/drawing/2014/main" id="{00000000-0008-0000-7900-00001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Do Dinh Si" id="{9F18B14A-A9CC-4A4F-8F0C-F5DD0B090603}" userId="" providerId="google-sheets"/>
  <person displayName="Do Thi Huong" id="{7546496C-8F8B-4095-91A7-CB1FD06ED441}" userId="" providerId="google-sheets"/>
  <person displayName="HT Rezil Team" id="{D58E3611-A3AA-4AE9-9956-9F6439CD326F}"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11" dT="2025-11-05T02:33:12.00" personId="{7546496C-8F8B-4095-91A7-CB1FD06ED441}" id="{81375CC9-EE06-4338-A825-C0ACA0094326}">
    <text>5: Rất tốt 
- Tài liệu đầy đủ, rõ ràng, logic và dễ hiểu.
- Bao quát toàn bộ yêu cầu nghiệp vụ và kỹ thuật.
- Có hình ảnh minh họa, flow, mockup giúp dễ hình dung.
- Không có lỗi chính tả, định dạng thống nhất.
- Các mục liên kết logic chặt chẽ (requirement ↔ design ↔ screen ↔ DB).
- Có cân nhắc cả exception, validation
- Có thể dùng trực tiếp để coding mà không cần hỏi thêm.
4: Tốt
- Tài liệu tương đối đầy đủ, rõ ràng.
- Đáp ứng phần lớn yêu cầu nghiệp vụ.
- Có một số điểm chưa rõ hoặc thiếu minor detail (nhưng không ảnh hưởng đến hiểu tổng thể).
- Có thể coding với ít câu hỏi bổ sung.
- Cấu trúc và format nhìn chung thống nhất.
3: Trung bình
- Tài liệu cơ bản đáp ứng yêu cầu nhưng chưa chi tiết.
- Một số phần chưa mô tả đầy đủ (ví dụ: xử lý lỗi, điều kiện rẽ nhánh, field definition chưa rõ).
- Còn lỗi định dạng hoặc logic nhỏ.
- Cần trao đổi thêm để coding chính xác.
2: Kém
- Nhiều phần thiếu hoặc sai so với requirement.
- Mô tả mơ hồ, không thể hiện rõ flow hoặc logic xử lý.
- Không thể coding nếu không hỏi lại nhiều.
- Nhiều lỗi chính tả, cấu trúc thiếu nhất quán.
- Không thể hiện mối liên hệ giữa các module / DB / màn hình.
1: Rất kém
- Tài liệu không thể sử dụng được cho coding.
- Thiếu nghiêm trọng nội dung, sai lệch với requirement.
- Không có cấu trúc, format lộn xộn.
- Không thể hiện được logic xử lý hoặc flow.
- Cần làm lại từ đầu.</text>
  </threadedComment>
  <threadedComment ref="U11" dT="2025-11-05T02:32:26.00" personId="{7546496C-8F8B-4095-91A7-CB1FD06ED441}" id="{1A1EEA5B-3A57-483B-8F7B-201F338ADA17}">
    <text>Do là code vẫn còn bug để dễ hiểu:
5: Hầu hết không có các lỗi nghiêm trọng như không giống BD.
4: Có vẻ outdated BD một vài nơi, nhưng không đáng kể.
3: Sai nhiều gần như đã lâu không đọc BD.
2: Gần như không test được, các nút dropdown không load được data, các logic branch ở các element không đủ, save thì tậm tịt.
1: Không thể test được, xử lý cẩu thả, nếu test tiếp phải log quá nhiều bug, đề nghị implement lại.</text>
  </threadedComment>
</ThreadedComments>
</file>

<file path=xl/threadedComments/threadedComment2.xml><?xml version="1.0" encoding="utf-8"?>
<ThreadedComments xmlns="http://schemas.microsoft.com/office/spreadsheetml/2018/threadedcomments" xmlns:x="http://schemas.openxmlformats.org/spreadsheetml/2006/main">
  <threadedComment ref="I74" dT="2026-02-03T09:42:26.00" personId="{D58E3611-A3AA-4AE9-9956-9F6439CD326F}" id="{ED4CBC35-A17A-4DD7-AA47-6BBD2BB2370F}" done="1">
    <text>entity name chỉ có "点検" theo BD</text>
  </threadedComment>
  <threadedComment ref="T387" dT="2026-02-05T08:45:01.00" personId="{D58E3611-A3AA-4AE9-9956-9F6439CD326F}" id="{1CA51F4A-EA30-4E70-BFF9-096C80BB341F}" done="1">
    <text>LoiDH: Lỗi do data, equiment đang thuộc 2 site khác nhau, đã điều chỉnh lại data và báo brse update sql thêm điều kiện equipment.site_id  = inspection.siteId</text>
  </threadedComment>
</ThreadedComments>
</file>

<file path=xl/threadedComments/threadedComment3.xml><?xml version="1.0" encoding="utf-8"?>
<ThreadedComments xmlns="http://schemas.microsoft.com/office/spreadsheetml/2018/threadedcomments" xmlns:x="http://schemas.openxmlformats.org/spreadsheetml/2006/main">
  <threadedComment ref="J20" dT="2026-03-08T07:31:14.00" personId="{D58E3611-A3AA-4AE9-9956-9F6439CD326F}" id="{69AE6AFD-FC42-4233-AAAE-20515213F096}" done="1">
    <text>phần này đã Q&amp;A chưa, phân quyền này khi nào làm</text>
  </threadedComment>
  <threadedComment ref="I27" dT="2026-02-24T01:30:37.00" personId="{D58E3611-A3AA-4AE9-9956-9F6439CD326F}" id="{B5DCEFEF-7734-4BAB-A399-2CDBCF092197}" done="1">
    <text>SiDD: SQL đã outdate, trong bd có thêm điều kiện join để lấy detected_inspection_id</text>
  </threadedComment>
  <threadedComment ref="D79" dT="2026-02-24T01:42:51.00" personId="{9F18B14A-A9CC-4A4F-8F0C-F5DD0B090603}" id="{3C1E5707-DFBE-40E6-8A7D-1F7E3DA1EF77}" done="1">
    <text>Chỗ này là title chứ nhỉ? Đâu phải date_repair_confirmed</text>
  </threadedComment>
  <threadedComment ref="M100" dT="2026-03-05T08:34:09.00" personId="{D58E3611-A3AA-4AE9-9956-9F6439CD326F}" id="{E5F7357A-9D01-4CDB-A7F2-C1015BC51DBA}" done="1">
    <text>NgocTTB: nhờ em lấy lại evidence nhé</text>
  </threadedComment>
  <threadedComment ref="D133" dT="2026-02-24T03:35:14.00" personId="{9F18B14A-A9CC-4A4F-8F0C-F5DD0B090603}" id="{652C54AF-41BB-4CEA-A945-92C09D6A875D}" done="1">
    <text>Case này là title chứ nhỉ?</text>
  </threadedComment>
  <threadedComment ref="I135" dT="2026-02-24T04:28:50.00" personId="{9F18B14A-A9CC-4A4F-8F0C-F5DD0B090603}" id="{84C6A0F1-8CEE-46C6-B6A8-5859C138A824}" done="1">
    <text>Chỗ này, theo BD thì đang có 2 case:
- Case đi vào từ bấm link tạo mới
- Case đi vào từ chọn template
=&gt; Cần tạo case riêng cho 2 trường hợp này. Nhờ SQA update lại TC
Link BD: https://docs.google.com/spreadsheets/d/15cDzvbNfkzFGCMNSGGeFc3lSmCai4iqh-TsnliCSUPU/edit?gid=1419243547#gid=1419243547&amp;range=AZ303:BV303</text>
    <extLst>
      <x:ext xmlns:xltc2="http://schemas.microsoft.com/office/spreadsheetml/2020/threadedcomments2" uri="{F7C98A9C-CBB3-438F-8F68-D28B6AF4A901}">
        <xltc2:checksum>342734349</xltc2:checksum>
        <xltc2:hyperlink startIndex="178" length="136" url="https://docs.google.com/spreadsheets/d/15cDzvbNfkzFGCMNSGGeFc3lSmCai4iqh-TsnliCSUPU/edit?gid=1419243547#gid=1419243547&amp;range=AZ303:BV303"/>
      </x:ext>
    </extLst>
  </threadedComment>
  <threadedComment ref="M189" dT="2026-03-05T08:33:29.00" personId="{D58E3611-A3AA-4AE9-9956-9F6439CD326F}" id="{8FA2A2CD-81EE-4BE5-958F-E401F729F586}" done="1">
    <text>NgocTTB: nhờ em chụp lại evidence</text>
  </threadedComment>
  <threadedComment ref="M232" dT="2026-03-05T08:35:21.00" personId="{D58E3611-A3AA-4AE9-9956-9F6439CD326F}" id="{41AF9495-09B9-4C05-BDC1-1A4703FE537C}" done="1">
    <text>Nhờ em lấy lại evidence nhé</text>
  </threadedComment>
  <threadedComment ref="M233" dT="2026-03-05T08:35:25.00" personId="{D58E3611-A3AA-4AE9-9956-9F6439CD326F}" id="{20EF7C02-FC4E-4326-8C69-B3701D1057AD}" done="1">
    <text>Nhờ em lấy lại evidence nhé</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rh_2FinFigZueymJWgqQC1Yo3brWMS2u/view?usp=drive_link" TargetMode="External"/><Relationship Id="rId299" Type="http://schemas.openxmlformats.org/officeDocument/2006/relationships/hyperlink" Target="https://drive.google.com/file/d/1Q6EVEhZqP8Uhon9sw5PWCJoA9upRrHjQ/view?usp=sharing" TargetMode="External"/><Relationship Id="rId303" Type="http://schemas.openxmlformats.org/officeDocument/2006/relationships/vmlDrawing" Target="../drawings/vmlDrawing2.vml"/><Relationship Id="rId21" Type="http://schemas.openxmlformats.org/officeDocument/2006/relationships/hyperlink" Target="https://drive.google.com/file/d/1RVwE5vknaPAXV0deBeew6v9kr9kberK1/view?usp=drive_link" TargetMode="External"/><Relationship Id="rId42" Type="http://schemas.openxmlformats.org/officeDocument/2006/relationships/hyperlink" Target="https://drive.google.com/file/d/1TwDb7W7Y0oAF7AHmrDnX9IIPgwjj4oy5/view?usp=drive_link" TargetMode="External"/><Relationship Id="rId63" Type="http://schemas.openxmlformats.org/officeDocument/2006/relationships/hyperlink" Target="https://drive.google.com/file/d/1Z-nwSr1gEEYgN5exxxH9gbpoJ2M3RsBk/view?usp=drive_link" TargetMode="External"/><Relationship Id="rId84" Type="http://schemas.openxmlformats.org/officeDocument/2006/relationships/hyperlink" Target="https://drive.google.com/file/d/14OhYEA4k6_K2N9kppORfYA2s6Vq5gCx6/view?usp=drive_link" TargetMode="External"/><Relationship Id="rId138" Type="http://schemas.openxmlformats.org/officeDocument/2006/relationships/hyperlink" Target="https://drive.google.com/file/d/1JuwtTIjtcdmVzflnHNx7SEJAcOhrLdYL/view?usp=drive_link" TargetMode="External"/><Relationship Id="rId159" Type="http://schemas.openxmlformats.org/officeDocument/2006/relationships/hyperlink" Target="https://www.figma.com/design/0nUR2v0mzjAhKLNU1UULQi/%E3%83%87%E3%82%B6%E3%82%A4%E3%83%B3?node-id=76-4223&amp;p=f" TargetMode="External"/><Relationship Id="rId170" Type="http://schemas.openxmlformats.org/officeDocument/2006/relationships/hyperlink" Target="https://drive.google.com/file/d/1ZGk0C-LvJ9irDOTioR8v3ZDuukTYEybZ/view?usp=sharing" TargetMode="External"/><Relationship Id="rId191" Type="http://schemas.openxmlformats.org/officeDocument/2006/relationships/hyperlink" Target="https://drive.google.com/file/d/1IYaCnR89jzM9yq2q8RQkDz5jrlLCdMQy/view?usp=drive_link" TargetMode="External"/><Relationship Id="rId205" Type="http://schemas.openxmlformats.org/officeDocument/2006/relationships/hyperlink" Target="https://drive.google.com/file/d/1R5AEbQ4BrbaScOAckdi_Ol1Ba-P5P_vt/view?usp=drive_link" TargetMode="External"/><Relationship Id="rId226" Type="http://schemas.openxmlformats.org/officeDocument/2006/relationships/hyperlink" Target="https://drive.google.com/file/d/1DqyhvtQgaVUrU5IpkY1PNQvrs4GzJBTf/view?usp=drive_link" TargetMode="External"/><Relationship Id="rId247" Type="http://schemas.openxmlformats.org/officeDocument/2006/relationships/hyperlink" Target="https://drive.google.com/file/d/1L5ohFLrKFyPx0z59XK4levWc9YTyzWbR/view?usp=drive_link" TargetMode="External"/><Relationship Id="rId107" Type="http://schemas.openxmlformats.org/officeDocument/2006/relationships/hyperlink" Target="https://drive.google.com/file/d/1sYG9qLbJmU2X0MjQlImaVDMTx_YRo8iS/view?usp=drive_link" TargetMode="External"/><Relationship Id="rId268" Type="http://schemas.openxmlformats.org/officeDocument/2006/relationships/hyperlink" Target="https://drive.google.com/file/d/1L9iWPvfW4yuGExEMLH0b6QauKJOfdCOW/view?usp=drive_link" TargetMode="External"/><Relationship Id="rId289" Type="http://schemas.openxmlformats.org/officeDocument/2006/relationships/hyperlink" Target="https://drive.google.com/file/d/1RdVlnne3DoyUjbEUdhdyWQglktxs3Irs/view?usp=drive_link" TargetMode="External"/><Relationship Id="rId11" Type="http://schemas.openxmlformats.org/officeDocument/2006/relationships/hyperlink" Target="https://rezil-electrical.atlassian.net/browse/REZIL-1020" TargetMode="External"/><Relationship Id="rId32" Type="http://schemas.openxmlformats.org/officeDocument/2006/relationships/hyperlink" Target="https://drive.google.com/file/d/1wKEd9Mrx1SFYlG-1TxOpo84fh-pN-3tu/view?usp=drive_link" TargetMode="External"/><Relationship Id="rId53" Type="http://schemas.openxmlformats.org/officeDocument/2006/relationships/hyperlink" Target="https://drive.google.com/file/d/1js7thtcI-ZVo88AsBk2qG_L5kzbMUFAt/view?usp=drive_link" TargetMode="External"/><Relationship Id="rId74" Type="http://schemas.openxmlformats.org/officeDocument/2006/relationships/hyperlink" Target="https://drive.google.com/file/d/1PM7Zm0t4o_8haq4Wv-SOgc8fUN7AUn3Y/view?usp=drive_link" TargetMode="External"/><Relationship Id="rId128" Type="http://schemas.openxmlformats.org/officeDocument/2006/relationships/hyperlink" Target="https://drive.google.com/file/d/1saODiWet2_z3o4k8EAdrzYoiAdYN4nYg/view?usp=sharing" TargetMode="External"/><Relationship Id="rId149" Type="http://schemas.openxmlformats.org/officeDocument/2006/relationships/hyperlink" Target="https://drive.google.com/file/d/1Or2gs9_6g6d5Hlrsc4EJkAz7DaNgzqiX/view?usp=drive_link" TargetMode="External"/><Relationship Id="rId5" Type="http://schemas.openxmlformats.org/officeDocument/2006/relationships/hyperlink" Target="https://drive.google.com/file/d/1LkrHd_ONVv0fMeLAe3gDDH7wnvhlvcxY/view?usp=sharing" TargetMode="External"/><Relationship Id="rId95" Type="http://schemas.openxmlformats.org/officeDocument/2006/relationships/hyperlink" Target="https://drive.google.com/file/d/1TQeU1tZXr8iXneOaNuEqhRIbMk1Q4W_I/view?usp=drive_link" TargetMode="External"/><Relationship Id="rId160" Type="http://schemas.openxmlformats.org/officeDocument/2006/relationships/hyperlink" Target="https://drive.google.com/file/d/1h9QM8aSfoz1o5JWBqjrERyG5JPlM9xQG/view?usp=drive_link" TargetMode="External"/><Relationship Id="rId181" Type="http://schemas.openxmlformats.org/officeDocument/2006/relationships/hyperlink" Target="https://drive.google.com/file/d/1sHZOkQyajcd0-c4qkGLsqo8RoTXrt1W_/view?usp=sharing" TargetMode="External"/><Relationship Id="rId216" Type="http://schemas.openxmlformats.org/officeDocument/2006/relationships/hyperlink" Target="https://drive.google.com/file/d/1nQS1x5kInks-OlxzzvPIL2XttKdBPMP1/view?usp=drive_link" TargetMode="External"/><Relationship Id="rId237" Type="http://schemas.openxmlformats.org/officeDocument/2006/relationships/hyperlink" Target="https://drive.google.com/file/d/1Dw40ishyWMmeJqFUW0kTmvzZCyw1BPBd/view?usp=drive_link" TargetMode="External"/><Relationship Id="rId258" Type="http://schemas.openxmlformats.org/officeDocument/2006/relationships/hyperlink" Target="https://drive.google.com/file/d/1ivgYMTlId2_SR2ZgPZvPxSQylXMh7j02/view?usp=drive_link" TargetMode="External"/><Relationship Id="rId279" Type="http://schemas.openxmlformats.org/officeDocument/2006/relationships/hyperlink" Target="https://drive.google.com/file/d/1MbL8cjtCwxcsyk8Fr8eKUEW-2ZLGyG2H/view?usp=drive_link" TargetMode="External"/><Relationship Id="rId22" Type="http://schemas.openxmlformats.org/officeDocument/2006/relationships/hyperlink" Target="http://site_location.name/" TargetMode="External"/><Relationship Id="rId43" Type="http://schemas.openxmlformats.org/officeDocument/2006/relationships/hyperlink" Target="https://drive.google.com/file/d/1TwDb7W7Y0oAF7AHmrDnX9IIPgwjj4oy5/view?usp=drive_link" TargetMode="External"/><Relationship Id="rId64" Type="http://schemas.openxmlformats.org/officeDocument/2006/relationships/hyperlink" Target="https://drive.google.com/file/d/1fVcS-uOLi8AA_0fxQMzCy4Hc1lJi57jM/view?usp=drive_link" TargetMode="External"/><Relationship Id="rId118" Type="http://schemas.openxmlformats.org/officeDocument/2006/relationships/hyperlink" Target="https://drive.google.com/file/d/1QmKQ5fOG2VPqAWFlO7h46FFqxiCndG9x/view?usp=drive_link" TargetMode="External"/><Relationship Id="rId139" Type="http://schemas.openxmlformats.org/officeDocument/2006/relationships/hyperlink" Target="https://drive.google.com/file/d/1Ovt_gzTHmzUjjRe53MmgGyEeb0CfYhph/view?usp=drive_link" TargetMode="External"/><Relationship Id="rId290" Type="http://schemas.openxmlformats.org/officeDocument/2006/relationships/hyperlink" Target="https://drive.google.com/file/d/1XWFqmRhYNE6Yhd70JnpZ15mijVzIJpCl/view?usp=drive_link" TargetMode="External"/><Relationship Id="rId304" Type="http://schemas.openxmlformats.org/officeDocument/2006/relationships/comments" Target="../comments2.xml"/><Relationship Id="rId85" Type="http://schemas.openxmlformats.org/officeDocument/2006/relationships/hyperlink" Target="https://drive.google.com/file/d/19YX7LfNKYFYLnl0EeHLB1H29gAKc2N_b/view?usp=drive_link" TargetMode="External"/><Relationship Id="rId150" Type="http://schemas.openxmlformats.org/officeDocument/2006/relationships/hyperlink" Target="https://drive.google.com/file/d/1PRYcQnNuZxCOGfvIxyB7fQpfJ5KJTf2O/view?usp=drive_link" TargetMode="External"/><Relationship Id="rId171" Type="http://schemas.openxmlformats.org/officeDocument/2006/relationships/hyperlink" Target="https://drive.google.com/file/d/1pVMRhneSGqeCVAAJA-5UIsY4PdMWvJRx/view?usp=sharing" TargetMode="External"/><Relationship Id="rId192" Type="http://schemas.openxmlformats.org/officeDocument/2006/relationships/hyperlink" Target="https://drive.google.com/file/d/1RpOqsKyrzmv6TCRlVr3oSp0Mw0ePXwLq/view?usp=drive_link" TargetMode="External"/><Relationship Id="rId206" Type="http://schemas.openxmlformats.org/officeDocument/2006/relationships/hyperlink" Target="https://drive.google.com/file/d/16XKWFEUufv6cYcLDmw2AxQSmRzTE8P-q/view?usp=drive_link" TargetMode="External"/><Relationship Id="rId227" Type="http://schemas.openxmlformats.org/officeDocument/2006/relationships/hyperlink" Target="https://drive.google.com/file/d/1hF-KeGzzldcrs8E4cWJoDGdiQa0oXi7Z/view?usp=drive_link" TargetMode="External"/><Relationship Id="rId248" Type="http://schemas.openxmlformats.org/officeDocument/2006/relationships/hyperlink" Target="https://drive.google.com/file/d/1I5pB8xzxtALaW5VeSJAfCI_x23Pn84yA/view?usp=drive_link" TargetMode="External"/><Relationship Id="rId269" Type="http://schemas.openxmlformats.org/officeDocument/2006/relationships/hyperlink" Target="https://drive.google.com/file/d/1K5hbAfZyF0sj-XLsZfQHgqjvbvbKr7mK/view?usp=drive_link" TargetMode="External"/><Relationship Id="rId12" Type="http://schemas.openxmlformats.org/officeDocument/2006/relationships/hyperlink" Target="https://drive.google.com/file/d/1oGM9732GOvrqbmiGu6764EvjMQ3FbpY-/view?usp=drive_link" TargetMode="External"/><Relationship Id="rId33" Type="http://schemas.openxmlformats.org/officeDocument/2006/relationships/hyperlink" Target="https://drive.google.com/file/d/1dKou1HtYUTSu2wLovblnW8L2sHoXQ09W/view?usp=sharing" TargetMode="External"/><Relationship Id="rId108" Type="http://schemas.openxmlformats.org/officeDocument/2006/relationships/hyperlink" Target="https://drive.google.com/file/d/1lTQerrt3Kdff0AD96gyMdCC7YZc4tgkS/view?usp=drive_link" TargetMode="External"/><Relationship Id="rId129" Type="http://schemas.openxmlformats.org/officeDocument/2006/relationships/hyperlink" Target="https://drive.google.com/file/d/1iXAWWQKHQp2gPjszGtNYQO8LwjW2zbUQ/view?usp=drive_link" TargetMode="External"/><Relationship Id="rId280" Type="http://schemas.openxmlformats.org/officeDocument/2006/relationships/hyperlink" Target="https://drive.google.com/file/d/1p2HrhOtkC316eV89TeH2_2kvUStTBlqn/view?usp=drive_link" TargetMode="External"/><Relationship Id="rId54" Type="http://schemas.openxmlformats.org/officeDocument/2006/relationships/hyperlink" Target="https://drive.google.com/file/d/1fq5fFPOcb1rUPnZVkoGYZaVpGKqySbPn/view?usp=sharing" TargetMode="External"/><Relationship Id="rId75" Type="http://schemas.openxmlformats.org/officeDocument/2006/relationships/hyperlink" Target="https://drive.google.com/file/d/1-dbFfYxpouDeSjpPDk0QgchZJ1M0vOQt/view?usp=drive_link" TargetMode="External"/><Relationship Id="rId96" Type="http://schemas.openxmlformats.org/officeDocument/2006/relationships/hyperlink" Target="https://drive.google.com/file/d/1KDM-IUNBotY18bi8XvRJjcRiLT1rC7QY/view?usp=drive_link" TargetMode="External"/><Relationship Id="rId140" Type="http://schemas.openxmlformats.org/officeDocument/2006/relationships/hyperlink" Target="https://drive.google.com/file/d/1_I4bxUbsvCE0OjOYjf8EjZUZ26AEJ0sc/view?usp=drive_link" TargetMode="External"/><Relationship Id="rId161" Type="http://schemas.openxmlformats.org/officeDocument/2006/relationships/hyperlink" Target="http://equipment.name/" TargetMode="External"/><Relationship Id="rId182" Type="http://schemas.openxmlformats.org/officeDocument/2006/relationships/hyperlink" Target="https://drive.google.com/file/d/1pWMSCqIMCZ1KJxb04m2tzsIEQiLv0kCP/view?usp=drive_link" TargetMode="External"/><Relationship Id="rId217" Type="http://schemas.openxmlformats.org/officeDocument/2006/relationships/hyperlink" Target="https://drive.google.com/file/d/1RvBPRpXlkQEhBcTXKVrruAOhGDISh5Ie/view?usp=drive_link" TargetMode="External"/><Relationship Id="rId6" Type="http://schemas.openxmlformats.org/officeDocument/2006/relationships/hyperlink" Target="https://drive.google.com/file/d/1F9G6Z8cTz88QrGF72N5PO83Rv79P9Bfw/view?usp=sharing" TargetMode="External"/><Relationship Id="rId238" Type="http://schemas.openxmlformats.org/officeDocument/2006/relationships/hyperlink" Target="https://drive.google.com/file/d/1EKlyV-uXqJp7KMycE-BqqPlJmNJcQWgc/view?usp=drive_link" TargetMode="External"/><Relationship Id="rId259" Type="http://schemas.openxmlformats.org/officeDocument/2006/relationships/hyperlink" Target="https://drive.google.com/file/d/1y4BaRPh-RMPGKRjhCz2cCZu0Sm7u1cNz/view?usp=sharing" TargetMode="External"/><Relationship Id="rId23" Type="http://schemas.openxmlformats.org/officeDocument/2006/relationships/hyperlink" Target="https://drive.google.com/file/d/1JlNdkT54SXOHRd62RnJjVvg33e3YuoX5/view?usp=sharing" TargetMode="External"/><Relationship Id="rId119" Type="http://schemas.openxmlformats.org/officeDocument/2006/relationships/hyperlink" Target="https://drive.google.com/file/d/14ke-Q3gJ39lKAwwe7duqZG0690inD-mB/view?usp=drive_link" TargetMode="External"/><Relationship Id="rId270" Type="http://schemas.openxmlformats.org/officeDocument/2006/relationships/hyperlink" Target="https://drive.google.com/file/d/1pA78vvGBhWue98afM3HbVjhe_PpQGJjX/view?usp=drive_link" TargetMode="External"/><Relationship Id="rId291" Type="http://schemas.openxmlformats.org/officeDocument/2006/relationships/hyperlink" Target="https://drive.google.com/file/d/1a4opZhh8wCTmM6Gdct6O4kKdn9oYFI1D/view?usp=drive_link" TargetMode="External"/><Relationship Id="rId305" Type="http://schemas.microsoft.com/office/2017/10/relationships/threadedComment" Target="../threadedComments/threadedComment2.xml"/><Relationship Id="rId44" Type="http://schemas.openxmlformats.org/officeDocument/2006/relationships/hyperlink" Target="https://drive.google.com/file/d/1z8KIDsCT5rhaYjDIPXPStLfdfmTU_Irs/view?usp=drive_link" TargetMode="External"/><Relationship Id="rId65" Type="http://schemas.openxmlformats.org/officeDocument/2006/relationships/hyperlink" Target="https://drive.google.com/file/d/1F9BTY1qOuV000Y-6NtJBBKkagTkJIYiM/view?usp=drive_link" TargetMode="External"/><Relationship Id="rId86" Type="http://schemas.openxmlformats.org/officeDocument/2006/relationships/hyperlink" Target="https://drive.google.com/file/d/1aSqMYgww9lAMn7-2VKsBSsA6SxkA4Hf-/view?usp=drive_link" TargetMode="External"/><Relationship Id="rId130" Type="http://schemas.openxmlformats.org/officeDocument/2006/relationships/hyperlink" Target="https://drive.google.com/file/d/19l0dght2ycgj-ViYVHkSzjiiYBXJZscF/view?usp=drive_link" TargetMode="External"/><Relationship Id="rId151" Type="http://schemas.openxmlformats.org/officeDocument/2006/relationships/hyperlink" Target="https://drive.google.com/file/d/1r8u9RB3LJ1a9n2X49GGr9ZFy-8YJC2dD/view?usp=drive_link" TargetMode="External"/><Relationship Id="rId172" Type="http://schemas.openxmlformats.org/officeDocument/2006/relationships/hyperlink" Target="https://drive.google.com/file/d/1CL3Irj9YfwZHULnJOHNKWycCbmu85mBG/view?usp=drive_link" TargetMode="External"/><Relationship Id="rId193" Type="http://schemas.openxmlformats.org/officeDocument/2006/relationships/hyperlink" Target="https://drive.google.com/file/d/1ovUt03zNRIdhEClMSVMZkNnlapaoWW8k/view?usp=drive_link" TargetMode="External"/><Relationship Id="rId207" Type="http://schemas.openxmlformats.org/officeDocument/2006/relationships/hyperlink" Target="https://drive.google.com/file/d/1kkpj_VzBz9QEpHF8AKHaWHXmYLMIgW_V/view?usp=drive_link" TargetMode="External"/><Relationship Id="rId228" Type="http://schemas.openxmlformats.org/officeDocument/2006/relationships/hyperlink" Target="https://drive.google.com/file/d/1B8zy7OSIjTHkBJLKn4JSYJXBbc8xytRp/view?usp=drive_link" TargetMode="External"/><Relationship Id="rId249" Type="http://schemas.openxmlformats.org/officeDocument/2006/relationships/hyperlink" Target="https://drive.google.com/file/d/18ky9bO0_xZjRB9yIKnBuNFRD1RtbgA7m/view?usp=drive_link" TargetMode="External"/><Relationship Id="rId13" Type="http://schemas.openxmlformats.org/officeDocument/2006/relationships/hyperlink" Target="https://drive.google.com/file/d/1BKFeBdX1CRvVrvBNZtr6w3VlKfMVYHe6/view?usp=drive_link" TargetMode="External"/><Relationship Id="rId109" Type="http://schemas.openxmlformats.org/officeDocument/2006/relationships/hyperlink" Target="https://www.figma.com/design/0nUR2v0mzjAhKLNU1UULQi/%E3%83%87%E3%82%B6%E3%82%A4%E3%83%B3?node-id=216-8596&amp;t=p6hcbF0w1lB07i11-0" TargetMode="External"/><Relationship Id="rId260" Type="http://schemas.openxmlformats.org/officeDocument/2006/relationships/hyperlink" Target="https://drive.google.com/file/d/1maODPi3HcSMrmKRTc4W0fLXn0ksskpBW/view?usp=sharing" TargetMode="External"/><Relationship Id="rId281" Type="http://schemas.openxmlformats.org/officeDocument/2006/relationships/hyperlink" Target="https://drive.google.com/file/d/1Qha1gUqxPvQPH2FwH_q0LCf35b_lu5IK/view?usp=drive_link" TargetMode="External"/><Relationship Id="rId34" Type="http://schemas.openxmlformats.org/officeDocument/2006/relationships/hyperlink" Target="https://drive.google.com/file/d/1fv4Os9q1tsOW3mtz5Qw1TuAgFW5BoljC/view?usp=sharing" TargetMode="External"/><Relationship Id="rId55" Type="http://schemas.openxmlformats.org/officeDocument/2006/relationships/hyperlink" Target="https://drive.google.com/file/d/1j1usXo_-VYyfxFBseehTRq5EkAEsuna6/view?usp=sharing" TargetMode="External"/><Relationship Id="rId76" Type="http://schemas.openxmlformats.org/officeDocument/2006/relationships/hyperlink" Target="https://drive.google.com/file/d/1oy5vkpfzw9oaZ6mqYkFQR8xBvS-Rluhp/view?usp=drive_link" TargetMode="External"/><Relationship Id="rId97" Type="http://schemas.openxmlformats.org/officeDocument/2006/relationships/hyperlink" Target="https://drive.google.com/file/d/1271cctFwb92OSl6Ui652r0aNr-4NpAVA/view?usp=drive_link" TargetMode="External"/><Relationship Id="rId120" Type="http://schemas.openxmlformats.org/officeDocument/2006/relationships/hyperlink" Target="https://drive.google.com/file/d/1YTdWxaY_6jwuPBPC3SyY0FeRFt5FYCjC/view?usp=drive_link" TargetMode="External"/><Relationship Id="rId141" Type="http://schemas.openxmlformats.org/officeDocument/2006/relationships/hyperlink" Target="https://drive.google.com/file/d/16gGbTe_4i5Fe-7Vost9BgcE_kopaby-E/view?usp=drive_link" TargetMode="External"/><Relationship Id="rId7" Type="http://schemas.openxmlformats.org/officeDocument/2006/relationships/hyperlink" Target="https://rezil-electrical.atlassian.net/browse/REZIL-1020" TargetMode="External"/><Relationship Id="rId162" Type="http://schemas.openxmlformats.org/officeDocument/2006/relationships/hyperlink" Target="http://equipment.name/" TargetMode="External"/><Relationship Id="rId183" Type="http://schemas.openxmlformats.org/officeDocument/2006/relationships/hyperlink" Target="https://drive.google.com/file/d/1FarLG4s9dDGZJvH3roROgN193L230_T7/view?usp=sharing" TargetMode="External"/><Relationship Id="rId218" Type="http://schemas.openxmlformats.org/officeDocument/2006/relationships/hyperlink" Target="https://drive.google.com/file/d/10HeGHqbJ23QqB66-wzu6JLzk4cfVUMJY/view?usp=drive_link" TargetMode="External"/><Relationship Id="rId239" Type="http://schemas.openxmlformats.org/officeDocument/2006/relationships/hyperlink" Target="https://drive.google.com/file/d/1HYFQg99IS187hv2gSWofXFEYmbUSPa34/view?usp=drive_link" TargetMode="External"/><Relationship Id="rId2" Type="http://schemas.openxmlformats.org/officeDocument/2006/relationships/hyperlink" Target="https://drive.google.com/file/d/18F_paOKoSYwqUXmnODInQDAYv4TOgn36/view?usp=drive_link" TargetMode="External"/><Relationship Id="rId29" Type="http://schemas.openxmlformats.org/officeDocument/2006/relationships/hyperlink" Target="https://drive.google.com/file/d/1W2Rs1gZbDcpWdezqIOWPZLeiB6t7kqC9/view?usp=drive_link" TargetMode="External"/><Relationship Id="rId250" Type="http://schemas.openxmlformats.org/officeDocument/2006/relationships/hyperlink" Target="http://em.id/" TargetMode="External"/><Relationship Id="rId255" Type="http://schemas.openxmlformats.org/officeDocument/2006/relationships/hyperlink" Target="https://drive.google.com/file/d/1NEW1g_qjGQS6iB6g5aUrjTAeaAVHFujP/view?usp=drive_link" TargetMode="External"/><Relationship Id="rId271" Type="http://schemas.openxmlformats.org/officeDocument/2006/relationships/hyperlink" Target="https://drive.google.com/file/d/1XlBS2jt0yP8ohNTk3wUou0zSbQJqot6a/view?usp=drive_link" TargetMode="External"/><Relationship Id="rId276" Type="http://schemas.openxmlformats.org/officeDocument/2006/relationships/hyperlink" Target="https://drive.google.com/file/d/1K2eK9eehybfeD1IVvJYBTHldGgXBcLgw/view?usp=drive_link" TargetMode="External"/><Relationship Id="rId292" Type="http://schemas.openxmlformats.org/officeDocument/2006/relationships/hyperlink" Target="https://drive.google.com/file/d/19wys95X4zlBHG8YUY0MJLOl1ehJxrQOC/view?usp=drive_link" TargetMode="External"/><Relationship Id="rId297" Type="http://schemas.openxmlformats.org/officeDocument/2006/relationships/hyperlink" Target="https://drive.google.com/file/d/1mL07KWNg-rW3B8DpK7Zlib_d90h-nzlO/view?usp=drive_link" TargetMode="External"/><Relationship Id="rId24" Type="http://schemas.openxmlformats.org/officeDocument/2006/relationships/hyperlink" Target="https://drive.google.com/file/d/1BUdBxfgPqXqD7Z-YltyQPaRyhpdqibRM/view?usp=sharing" TargetMode="External"/><Relationship Id="rId40" Type="http://schemas.openxmlformats.org/officeDocument/2006/relationships/hyperlink" Target="https://drive.google.com/file/d/1TwDb7W7Y0oAF7AHmrDnX9IIPgwjj4oy5/view?usp=drive_link" TargetMode="External"/><Relationship Id="rId45" Type="http://schemas.openxmlformats.org/officeDocument/2006/relationships/hyperlink" Target="https://drive.google.com/file/d/1e2Th-QvQD5XuaM4GiFJ0ZfAJtx1u-mfx/view?usp=drive_link" TargetMode="External"/><Relationship Id="rId66" Type="http://schemas.openxmlformats.org/officeDocument/2006/relationships/hyperlink" Target="https://drive.google.com/file/d/1PP0-eMik21LsXWfvMaqjYbbuWf-Jr7sZ/view?usp=drive_link" TargetMode="External"/><Relationship Id="rId87" Type="http://schemas.openxmlformats.org/officeDocument/2006/relationships/hyperlink" Target="https://drive.google.com/file/d/1FUY-WV3tUGAhXBaAP1cd1axX58uJMvi4/view?usp=drive_link" TargetMode="External"/><Relationship Id="rId110" Type="http://schemas.openxmlformats.org/officeDocument/2006/relationships/hyperlink" Target="https://drive.google.com/file/d/1ne1sUgx8_emCK20gZLojyIIqRyuAAf6y/view?usp=drive_link" TargetMode="External"/><Relationship Id="rId115" Type="http://schemas.openxmlformats.org/officeDocument/2006/relationships/hyperlink" Target="https://drive.google.com/file/d/1_GpkIiwKhdD6PmPk9Oj4ZvOSdYtvPSyu/view?usp=drive_link" TargetMode="External"/><Relationship Id="rId131" Type="http://schemas.openxmlformats.org/officeDocument/2006/relationships/hyperlink" Target="https://drive.google.com/file/d/12hJ3KhQGQswhcbirSY0yXkc_4UdHbqEJ/view?usp=drive_link" TargetMode="External"/><Relationship Id="rId136" Type="http://schemas.openxmlformats.org/officeDocument/2006/relationships/hyperlink" Target="https://drive.google.com/file/d/1mcJuuV3MMTGCKhq7qYleEU_0FQp1n8Wp/view?usp=drive_link" TargetMode="External"/><Relationship Id="rId157" Type="http://schemas.openxmlformats.org/officeDocument/2006/relationships/hyperlink" Target="https://drive.google.com/file/d/1ZtNU5L0oRr2BlabeOtVknoERO0Fw8YWT/view?usp=drive_link" TargetMode="External"/><Relationship Id="rId178" Type="http://schemas.openxmlformats.org/officeDocument/2006/relationships/hyperlink" Target="https://drive.google.com/file/d/1A0lBVj-1ozsDM4lLkPwvqdUFTM5HkL33/view?usp=sharing" TargetMode="External"/><Relationship Id="rId301" Type="http://schemas.openxmlformats.org/officeDocument/2006/relationships/hyperlink" Target="https://drive.google.com/file/d/1ILr7hcHBe89Qgk01J4fWo4KV7J1ZiR93/view?usp=sharing" TargetMode="External"/><Relationship Id="rId61" Type="http://schemas.openxmlformats.org/officeDocument/2006/relationships/hyperlink" Target="https://drive.google.com/file/d/1jTp1LDMpZwgWeKAUShkNvjMiE81Yt_LN/view?usp=sharing" TargetMode="External"/><Relationship Id="rId82" Type="http://schemas.openxmlformats.org/officeDocument/2006/relationships/hyperlink" Target="https://drive.google.com/file/d/1ul52o9ICICb7KhXIVG2DK3Np1RfRvKvU/view?usp=drive_link" TargetMode="External"/><Relationship Id="rId152" Type="http://schemas.openxmlformats.org/officeDocument/2006/relationships/hyperlink" Target="https://drive.google.com/file/d/1PnUo1-ScKRPgYtkoDa72-Ypec_K-a3aS/view?usp=drive_link" TargetMode="External"/><Relationship Id="rId173" Type="http://schemas.openxmlformats.org/officeDocument/2006/relationships/hyperlink" Target="https://drive.google.com/file/d/1Yh-zfSaxXv_0aNgaKMi1FXBxty2ZC3ys/view?usp=drive_link" TargetMode="External"/><Relationship Id="rId194" Type="http://schemas.openxmlformats.org/officeDocument/2006/relationships/hyperlink" Target="https://drive.google.com/file/d/1eX8zW1nocfZ21GAokJkt_Ysn4kw1RKtH/view?usp=drive_link" TargetMode="External"/><Relationship Id="rId199" Type="http://schemas.openxmlformats.org/officeDocument/2006/relationships/hyperlink" Target="https://drive.google.com/file/d/1lskdGNiVEmC-AvjoCZy2ZyPbAb12qire/view?usp=drive_link" TargetMode="External"/><Relationship Id="rId203" Type="http://schemas.openxmlformats.org/officeDocument/2006/relationships/hyperlink" Target="https://drive.google.com/file/d/10vypJj4y_Qbsy8nFuQcb9GrXX7pZfSCG/view?usp=drive_link" TargetMode="External"/><Relationship Id="rId208" Type="http://schemas.openxmlformats.org/officeDocument/2006/relationships/hyperlink" Target="https://drive.google.com/file/d/1_zpcR8NCDm8upXJmlnNDlFs6zGdh4J2y/view?usp=drive_link" TargetMode="External"/><Relationship Id="rId229" Type="http://schemas.openxmlformats.org/officeDocument/2006/relationships/hyperlink" Target="https://drive.google.com/file/d/1KIJQI97WFXYyrd9jneUvT5QvgIfi5wMd/view?usp=drive_link" TargetMode="External"/><Relationship Id="rId19" Type="http://schemas.openxmlformats.org/officeDocument/2006/relationships/hyperlink" Target="https://drive.google.com/file/d/1Xd6qBqeOABHaR1_ACgTnUZRuRASiXf-D/view?usp=sharing" TargetMode="External"/><Relationship Id="rId224" Type="http://schemas.openxmlformats.org/officeDocument/2006/relationships/hyperlink" Target="https://drive.google.com/file/d/114zkEJeQK-Prs_VGYyTODncnCIYwRUg4/view?usp=drive_link" TargetMode="External"/><Relationship Id="rId240" Type="http://schemas.openxmlformats.org/officeDocument/2006/relationships/hyperlink" Target="https://drive.google.com/file/d/1GO13Stin9w0GEBMnXea72bNY7NcVwaYa/view?usp=drive_link" TargetMode="External"/><Relationship Id="rId245" Type="http://schemas.openxmlformats.org/officeDocument/2006/relationships/hyperlink" Target="https://drive.google.com/file/d/1zFOGzWIKon6AdhothpL7qNbNwEtmT056/view?usp=drive_link" TargetMode="External"/><Relationship Id="rId261" Type="http://schemas.openxmlformats.org/officeDocument/2006/relationships/hyperlink" Target="https://drive.google.com/file/d/1fPLurtvWe0ZCsngxSt18Ol2Twljwr8W6/view?usp=sharing" TargetMode="External"/><Relationship Id="rId266" Type="http://schemas.openxmlformats.org/officeDocument/2006/relationships/hyperlink" Target="https://drive.google.com/file/d/1OM4vLLtHYkqkTXZMmGGLqZy-FMRKE00u/view?usp=drive_link" TargetMode="External"/><Relationship Id="rId287" Type="http://schemas.openxmlformats.org/officeDocument/2006/relationships/hyperlink" Target="https://drive.google.com/file/d/1rOg1YY9yHQyarAkem9_jivOD2n6MVnTm/view?usp=drive_link" TargetMode="External"/><Relationship Id="rId14" Type="http://schemas.openxmlformats.org/officeDocument/2006/relationships/hyperlink" Target="https://drive.google.com/file/d/157kbfZFYgrAqCMIyPVEHWUtHH6oFbkdt/view?usp=drive_link" TargetMode="External"/><Relationship Id="rId30" Type="http://schemas.openxmlformats.org/officeDocument/2006/relationships/hyperlink" Target="https://drive.google.com/file/d/1ZG7ZayWO4X5VHHsvxi7p61j3OZ0aRxu5/view?usp=drive_link" TargetMode="External"/><Relationship Id="rId35" Type="http://schemas.openxmlformats.org/officeDocument/2006/relationships/hyperlink" Target="https://drive.google.com/file/d/1hz-3tnVuUfigRzy2gk5wb1p6JI8mVu5W/view?usp=sharing" TargetMode="External"/><Relationship Id="rId56" Type="http://schemas.openxmlformats.org/officeDocument/2006/relationships/hyperlink" Target="https://drive.google.com/file/d/1yibL_mul2VQnXttoZ9li-UwEG_1C0zFV/view?usp=drive_link" TargetMode="External"/><Relationship Id="rId77" Type="http://schemas.openxmlformats.org/officeDocument/2006/relationships/hyperlink" Target="https://drive.google.com/file/d/1O90kGtJAGkJ-by6JHXJHjXt_KvgoTmEY/view?usp=drive_link" TargetMode="External"/><Relationship Id="rId100" Type="http://schemas.openxmlformats.org/officeDocument/2006/relationships/hyperlink" Target="https://drive.google.com/file/d/1brrb0auP-PlYjsiIZy8YQAWKV8y5sjxn/view?usp=drive_link" TargetMode="External"/><Relationship Id="rId105" Type="http://schemas.openxmlformats.org/officeDocument/2006/relationships/hyperlink" Target="https://drive.google.com/file/d/18dn_8JC-N7OzCzUsBTG18Fb_Fymp6Uvx/view?usp=drive_link" TargetMode="External"/><Relationship Id="rId126" Type="http://schemas.openxmlformats.org/officeDocument/2006/relationships/hyperlink" Target="https://drive.google.com/file/d/1PxSwbraCc6xXGoJTuN3LOhgcSOeCiaAD/view?usp=drive_link" TargetMode="External"/><Relationship Id="rId147" Type="http://schemas.openxmlformats.org/officeDocument/2006/relationships/hyperlink" Target="https://drive.google.com/file/d/1yIB-fqu8vXmxm84jDnbjUEQYJMy0J0Mo/view?usp=drive_link" TargetMode="External"/><Relationship Id="rId168" Type="http://schemas.openxmlformats.org/officeDocument/2006/relationships/hyperlink" Target="https://drive.google.com/file/d/1O7q9A21yBSB1Shtx_r0csQyOEwImhKnu/view?usp=sharing" TargetMode="External"/><Relationship Id="rId282" Type="http://schemas.openxmlformats.org/officeDocument/2006/relationships/hyperlink" Target="https://drive.google.com/file/d/1Nt6I2THj-LDYvf02O88dWQLBrCK2ii2N/view?usp=drive_link" TargetMode="External"/><Relationship Id="rId8" Type="http://schemas.openxmlformats.org/officeDocument/2006/relationships/hyperlink" Target="https://drive.google.com/file/d/1Tyn0USExEDY6sUGyWUKU_WQtkA837RxP/view?usp=sharing" TargetMode="External"/><Relationship Id="rId51" Type="http://schemas.openxmlformats.org/officeDocument/2006/relationships/hyperlink" Target="https://drive.google.com/file/d/1CMgH9-HCEk4esQBEpqjJCyDpZwcRKI71/view?usp=drive_link" TargetMode="External"/><Relationship Id="rId72" Type="http://schemas.openxmlformats.org/officeDocument/2006/relationships/hyperlink" Target="https://drive.google.com/file/d/1Y5HER2PkvFpXkFuU1px4rAEZmCo7kt2J/view?usp=drive_link" TargetMode="External"/><Relationship Id="rId93" Type="http://schemas.openxmlformats.org/officeDocument/2006/relationships/hyperlink" Target="https://drive.google.com/file/d/1HCCreHA_JQPb1UukvxCrbI50XqusTiV7/view?usp=drive_link" TargetMode="External"/><Relationship Id="rId98" Type="http://schemas.openxmlformats.org/officeDocument/2006/relationships/hyperlink" Target="https://drive.google.com/file/d/1zJw3CH91lyrgsZrN3mIUMcz9tGLDjFMe/view?usp=drive_link" TargetMode="External"/><Relationship Id="rId121" Type="http://schemas.openxmlformats.org/officeDocument/2006/relationships/hyperlink" Target="https://drive.google.com/file/d/1tjNyM1DNykGnLtWyWwtyA3LV0Efswa8C/view?usp=drive_link" TargetMode="External"/><Relationship Id="rId142" Type="http://schemas.openxmlformats.org/officeDocument/2006/relationships/hyperlink" Target="https://drive.google.com/file/d/1WIChv4_o4O-zqbG3ha6DmN9b4caP3WcO/view?usp=drive_link" TargetMode="External"/><Relationship Id="rId163" Type="http://schemas.openxmlformats.org/officeDocument/2006/relationships/hyperlink" Target="https://drive.google.com/file/d/1-B4-3BbStluhKaeKlZMdNgAa0Rq3c76L/view?usp=sharing" TargetMode="External"/><Relationship Id="rId184" Type="http://schemas.openxmlformats.org/officeDocument/2006/relationships/hyperlink" Target="https://drive.google.com/file/d/1zu719chPx9-FVp8vxohOHFyuGqVKrqlC/view?usp=drive_link" TargetMode="External"/><Relationship Id="rId189" Type="http://schemas.openxmlformats.org/officeDocument/2006/relationships/hyperlink" Target="https://drive.google.com/file/d/1nMJC-cJDoykO_hSPAlHBKjMgaCrGiQx-/view?usp=drive_link" TargetMode="External"/><Relationship Id="rId219" Type="http://schemas.openxmlformats.org/officeDocument/2006/relationships/hyperlink" Target="https://drive.google.com/file/d/1RyY09SHUEeABCwaSkFYEndGCPvFjOeCT/view?usp=drive_link" TargetMode="External"/><Relationship Id="rId3" Type="http://schemas.openxmlformats.org/officeDocument/2006/relationships/hyperlink" Target="https://drive.google.com/file/d/1Gx7FGZdv6oTygK-GnOoaS0YZhwC9a8Kt/view?usp=drive_link" TargetMode="External"/><Relationship Id="rId214" Type="http://schemas.openxmlformats.org/officeDocument/2006/relationships/hyperlink" Target="https://drive.google.com/file/d/1STyUATqKEEQN1wLTA3s7DHjQUCOLB0RY/view?usp=drive_link" TargetMode="External"/><Relationship Id="rId230" Type="http://schemas.openxmlformats.org/officeDocument/2006/relationships/hyperlink" Target="https://drive.google.com/file/d/1TzX9Yv8R6dlMtvBfgWmtwGo9tC2ay3AM/view?usp=drive_link" TargetMode="External"/><Relationship Id="rId235" Type="http://schemas.openxmlformats.org/officeDocument/2006/relationships/hyperlink" Target="https://drive.google.com/file/d/1HIl89gTe5-RHGtgom43jRK6Wq67rIWC3/view?usp=drive_link" TargetMode="External"/><Relationship Id="rId251" Type="http://schemas.openxmlformats.org/officeDocument/2006/relationships/hyperlink" Target="https://drive.google.com/file/d/1oVCrx2PGIVdnnfjChK8hxh-2z5pDvoD4/view?usp=drive_link" TargetMode="External"/><Relationship Id="rId256" Type="http://schemas.openxmlformats.org/officeDocument/2006/relationships/hyperlink" Target="https://drive.google.com/file/d/15thNCjUtiA2cXHbEiPbT7EVBYmGdkkEq/view?usp=drive_link" TargetMode="External"/><Relationship Id="rId277" Type="http://schemas.openxmlformats.org/officeDocument/2006/relationships/hyperlink" Target="https://drive.google.com/file/d/1ojIAQ_jG4S04LBateARvXx2zo44IoUN4/view?usp=drive_link" TargetMode="External"/><Relationship Id="rId298" Type="http://schemas.openxmlformats.org/officeDocument/2006/relationships/hyperlink" Target="https://drive.google.com/file/d/109yVuseFfcjHQL6bWkaRMs60rKRhp2d6/view?usp=sharing" TargetMode="External"/><Relationship Id="rId25" Type="http://schemas.openxmlformats.org/officeDocument/2006/relationships/hyperlink" Target="https://drive.google.com/file/d/1n8hTcka49b4ZO9FAzfnvPVhO3xipJwqL/view?usp=drive_link" TargetMode="External"/><Relationship Id="rId46" Type="http://schemas.openxmlformats.org/officeDocument/2006/relationships/hyperlink" Target="https://drive.google.com/file/d/1zyNUUmha85HHCwbAb5x3Zioz7FGE7htv/view?usp=drive_link" TargetMode="External"/><Relationship Id="rId67" Type="http://schemas.openxmlformats.org/officeDocument/2006/relationships/hyperlink" Target="https://drive.google.com/file/d/16j-8GA2w7O_CHhLXGUIsp7G5Iz18QA1E/view?usp=sharing" TargetMode="External"/><Relationship Id="rId116" Type="http://schemas.openxmlformats.org/officeDocument/2006/relationships/hyperlink" Target="https://drive.google.com/file/d/1bpTAZJyhylOKFHYqOqgmuYdEkV-Tdm29/view?usp=drive_link" TargetMode="External"/><Relationship Id="rId137" Type="http://schemas.openxmlformats.org/officeDocument/2006/relationships/hyperlink" Target="https://drive.google.com/file/d/1BW3IPgnGXvsgPEM0CyHuSAiqDU16RLFK/view?usp=drive_link" TargetMode="External"/><Relationship Id="rId158" Type="http://schemas.openxmlformats.org/officeDocument/2006/relationships/hyperlink" Target="https://drive.google.com/file/d/1qwNOLg_GPLMD8CoGHLfqJoHOpAJ1Pr1q/view?usp=drive_link" TargetMode="External"/><Relationship Id="rId272" Type="http://schemas.openxmlformats.org/officeDocument/2006/relationships/hyperlink" Target="https://drive.google.com/file/d/1oO8bU13E-GhYxzzalMr8R-KBKNXVqraR/view?usp=drive_link" TargetMode="External"/><Relationship Id="rId293" Type="http://schemas.openxmlformats.org/officeDocument/2006/relationships/hyperlink" Target="https://drive.google.com/file/d/1EqdkGX-sEkPIWNVyuCmVo009PJC1s5Ts/view?usp=drive_link" TargetMode="External"/><Relationship Id="rId302" Type="http://schemas.openxmlformats.org/officeDocument/2006/relationships/drawing" Target="../drawings/drawing1.xml"/><Relationship Id="rId20" Type="http://schemas.openxmlformats.org/officeDocument/2006/relationships/hyperlink" Target="https://drive.google.com/file/d/1GBS8FYRK_NpdVGh2o9MnoMzxr20jtG0q/view?usp=sharing" TargetMode="External"/><Relationship Id="rId41" Type="http://schemas.openxmlformats.org/officeDocument/2006/relationships/hyperlink" Target="https://drive.google.com/file/d/1TwDb7W7Y0oAF7AHmrDnX9IIPgwjj4oy5/view?usp=drive_link" TargetMode="External"/><Relationship Id="rId62" Type="http://schemas.openxmlformats.org/officeDocument/2006/relationships/hyperlink" Target="https://drive.google.com/file/d/1D5vYxvuT_IhiZnutuYD8So3Oi46VR4b9/view?usp=sharing" TargetMode="External"/><Relationship Id="rId83" Type="http://schemas.openxmlformats.org/officeDocument/2006/relationships/hyperlink" Target="https://drive.google.com/file/d/1Is8uB91t3GisD_pXO2lF9c0MkwWEo4EN/view?usp=drive_link" TargetMode="External"/><Relationship Id="rId88" Type="http://schemas.openxmlformats.org/officeDocument/2006/relationships/hyperlink" Target="https://drive.google.com/file/d/1fk3XuapExlThyNerySZcM1hZhoCXx3ar/view?usp=drive_link" TargetMode="External"/><Relationship Id="rId111" Type="http://schemas.openxmlformats.org/officeDocument/2006/relationships/hyperlink" Target="https://drive.google.com/file/d/1yGGMYYNJTSE5XVWOGgDNBFfH3ZW9gB3K/view?usp=drive_link" TargetMode="External"/><Relationship Id="rId132" Type="http://schemas.openxmlformats.org/officeDocument/2006/relationships/hyperlink" Target="https://drive.google.com/file/d/1xOlEqAFQZU41KD9RyWeQrL5u3KjFHWDo/view?usp=drive_link" TargetMode="External"/><Relationship Id="rId153" Type="http://schemas.openxmlformats.org/officeDocument/2006/relationships/hyperlink" Target="https://drive.google.com/file/d/1PRYcQnNuZxCOGfvIxyB7fQpfJ5KJTf2O/view?usp=drive_link" TargetMode="External"/><Relationship Id="rId174" Type="http://schemas.openxmlformats.org/officeDocument/2006/relationships/hyperlink" Target="https://drive.google.com/file/d/1nhYftHWdpGen-KY2saHF5h1xad29eH_d/view?usp=drive_link" TargetMode="External"/><Relationship Id="rId179" Type="http://schemas.openxmlformats.org/officeDocument/2006/relationships/hyperlink" Target="https://drive.google.com/file/d/1qzHI5-zKaFPG740I5uwTy4U_7NaOWk-G/view?usp=sharing" TargetMode="External"/><Relationship Id="rId195" Type="http://schemas.openxmlformats.org/officeDocument/2006/relationships/hyperlink" Target="https://drive.google.com/file/d/1zddxf-YU8-L3GO-hZv4kb3_TdldvK1gl/view?usp=drive_link" TargetMode="External"/><Relationship Id="rId209" Type="http://schemas.openxmlformats.org/officeDocument/2006/relationships/hyperlink" Target="https://drive.google.com/file/d/1FMEGQKTqedx-oPaDYRHhNdFc6CxNBXND/view?usp=drive_link" TargetMode="External"/><Relationship Id="rId190" Type="http://schemas.openxmlformats.org/officeDocument/2006/relationships/hyperlink" Target="https://drive.google.com/file/d/11ceegGX8kCjlFrK7aZl8fTzjRUJE-izE/view?usp=drive_link" TargetMode="External"/><Relationship Id="rId204" Type="http://schemas.openxmlformats.org/officeDocument/2006/relationships/hyperlink" Target="https://drive.google.com/file/d/1hFhDO1tRfQVPSt4ZOCL-_RWIliNz3uUw/view?usp=drive_link" TargetMode="External"/><Relationship Id="rId220" Type="http://schemas.openxmlformats.org/officeDocument/2006/relationships/hyperlink" Target="https://drive.google.com/file/d/1JPFUcU-TfJoJ7K_yLb0-tt5P87pc1Wbk/view?usp=drive_link" TargetMode="External"/><Relationship Id="rId225" Type="http://schemas.openxmlformats.org/officeDocument/2006/relationships/hyperlink" Target="https://drive.google.com/file/d/1GciTkPTvfDxIXekn9mi8fAvyxFdmD5qE/view?usp=drive_link" TargetMode="External"/><Relationship Id="rId241" Type="http://schemas.openxmlformats.org/officeDocument/2006/relationships/hyperlink" Target="https://drive.google.com/file/d/1KwuEdAYE2WvbP_GpjYutbmUa6X-uai4G/view?usp=drive_link" TargetMode="External"/><Relationship Id="rId246" Type="http://schemas.openxmlformats.org/officeDocument/2006/relationships/hyperlink" Target="https://drive.google.com/file/d/1jHzuBR59Lk2_500LCkzEH0sZSMpkue5l/view?usp=sharing" TargetMode="External"/><Relationship Id="rId267" Type="http://schemas.openxmlformats.org/officeDocument/2006/relationships/hyperlink" Target="https://drive.google.com/file/d/1GJlTtQr9QBjVmp2-OogZ9AcBwU4dZ3OL/view?usp=drive_link" TargetMode="External"/><Relationship Id="rId288" Type="http://schemas.openxmlformats.org/officeDocument/2006/relationships/hyperlink" Target="https://drive.google.com/file/d/1oX4DS7COJIFNCuEPCFfsnmbGuEZjgqup/view?usp=drive_link" TargetMode="External"/><Relationship Id="rId15" Type="http://schemas.openxmlformats.org/officeDocument/2006/relationships/hyperlink" Target="https://drive.google.com/file/d/1ogkzE9M1zhWWbqAFAlay0ST8IatgVB9A/view?usp=drive_link" TargetMode="External"/><Relationship Id="rId36" Type="http://schemas.openxmlformats.org/officeDocument/2006/relationships/hyperlink" Target="https://drive.google.com/file/d/1GxYChGsJ0WjkdWIHz-dUroTMhGzM_jOA/view?usp=sharing" TargetMode="External"/><Relationship Id="rId57" Type="http://schemas.openxmlformats.org/officeDocument/2006/relationships/hyperlink" Target="https://drive.google.com/file/d/1yibL_mul2VQnXttoZ9li-UwEG_1C0zFV/view?usp=drive_link" TargetMode="External"/><Relationship Id="rId106" Type="http://schemas.openxmlformats.org/officeDocument/2006/relationships/hyperlink" Target="https://drive.google.com/file/d/1NkDHJDXhjGpf43BAeEhM7psJR_byjXlS/view?usp=drive_link" TargetMode="External"/><Relationship Id="rId127" Type="http://schemas.openxmlformats.org/officeDocument/2006/relationships/hyperlink" Target="https://drive.google.com/file/d/1LgyhVPVWY_G1JF5NGrHQsQpYf_-u5Smk/view?usp=drive_link" TargetMode="External"/><Relationship Id="rId262" Type="http://schemas.openxmlformats.org/officeDocument/2006/relationships/hyperlink" Target="https://drive.google.com/file/d/10etADHX6sI6aY9G_wvBiEPK_vERid7F2/view?usp=sharing" TargetMode="External"/><Relationship Id="rId283" Type="http://schemas.openxmlformats.org/officeDocument/2006/relationships/hyperlink" Target="https://drive.google.com/file/d/1rT4RYaTNdouOcHTiUWZ_UXhk2ak2SoIn/view?usp=sharing" TargetMode="External"/><Relationship Id="rId10" Type="http://schemas.openxmlformats.org/officeDocument/2006/relationships/hyperlink" Target="https://drive.google.com/file/d/1cMCLyXa_aQ17h6ZLNGEvLuJfAUYpgZ54/view?usp=sharing" TargetMode="External"/><Relationship Id="rId31" Type="http://schemas.openxmlformats.org/officeDocument/2006/relationships/hyperlink" Target="https://drive.google.com/file/d/1x-KTM_-8gzV_PBQbp6gteho115a17DY8/view?usp=drive_link" TargetMode="External"/><Relationship Id="rId52" Type="http://schemas.openxmlformats.org/officeDocument/2006/relationships/hyperlink" Target="https://drive.google.com/file/d/1938U1aQg7rXkL3W7BZgFROWTmbQsVySg/view?usp=drive_link" TargetMode="External"/><Relationship Id="rId73" Type="http://schemas.openxmlformats.org/officeDocument/2006/relationships/hyperlink" Target="https://drive.google.com/file/d/19EFn6VrMLzWBT4iijJXcMPYqwRDhAnG_/view?usp=drive_link" TargetMode="External"/><Relationship Id="rId78" Type="http://schemas.openxmlformats.org/officeDocument/2006/relationships/hyperlink" Target="https://drive.google.com/file/d/1iUWfj9lA36PlAuwNvCc-6cEBmmRTq7Da/view?usp=drive_link" TargetMode="External"/><Relationship Id="rId94" Type="http://schemas.openxmlformats.org/officeDocument/2006/relationships/hyperlink" Target="https://drive.google.com/file/d/1XgKBIjZ-LjwsF-XMyY00D4DRSHXbII_O/view?usp=drive_link" TargetMode="External"/><Relationship Id="rId99" Type="http://schemas.openxmlformats.org/officeDocument/2006/relationships/hyperlink" Target="https://drive.google.com/file/d/1sVdw4k51uzvdK58DmmXQBMFMRUiWloHM/view?usp=drive_link" TargetMode="External"/><Relationship Id="rId101" Type="http://schemas.openxmlformats.org/officeDocument/2006/relationships/hyperlink" Target="https://drive.google.com/file/d/1jqIAIwAZKI8-LY5YoThLrn3qrmfdBbGq/view?usp=drive_link" TargetMode="External"/><Relationship Id="rId122" Type="http://schemas.openxmlformats.org/officeDocument/2006/relationships/hyperlink" Target="https://drive.google.com/file/d/1jFcuan-0hvC-zQAJPNFYZhSr40v3wPGj/view?usp=drive_link" TargetMode="External"/><Relationship Id="rId143" Type="http://schemas.openxmlformats.org/officeDocument/2006/relationships/hyperlink" Target="https://drive.google.com/file/d/140ZlPhMS-Mpi46R2-GjRmyDli7cGZrP8/view?usp=drive_link" TargetMode="External"/><Relationship Id="rId148" Type="http://schemas.openxmlformats.org/officeDocument/2006/relationships/hyperlink" Target="https://drive.google.com/file/d/1wUCaZ5VOB1xWZD0AFiNdCbf_hrNrYzZB/view?usp=drive_link" TargetMode="External"/><Relationship Id="rId164" Type="http://schemas.openxmlformats.org/officeDocument/2006/relationships/hyperlink" Target="https://drive.google.com/file/d/1k7jOY-A0EOSztn149J6E45lUsLiSSpFD/view?usp=sharing" TargetMode="External"/><Relationship Id="rId169" Type="http://schemas.openxmlformats.org/officeDocument/2006/relationships/hyperlink" Target="https://drive.google.com/file/d/1DN2zGjNpti4joq53GvA20xeh5h_fzf09/view?usp=sharing" TargetMode="External"/><Relationship Id="rId185" Type="http://schemas.openxmlformats.org/officeDocument/2006/relationships/hyperlink" Target="https://drive.google.com/file/d/1zFuvqqRxrgeSi312dfI2-JuaAod5Il3q/view?usp=drive_link" TargetMode="External"/><Relationship Id="rId4" Type="http://schemas.openxmlformats.org/officeDocument/2006/relationships/hyperlink" Target="https://drive.google.com/file/d/1MLTqVSPzqAGpGQh3QaKHbRRUTXzQo_kl/view?usp=sharing" TargetMode="External"/><Relationship Id="rId9" Type="http://schemas.openxmlformats.org/officeDocument/2006/relationships/hyperlink" Target="https://rezil-electrical.atlassian.net/browse/REZIL-1020" TargetMode="External"/><Relationship Id="rId180" Type="http://schemas.openxmlformats.org/officeDocument/2006/relationships/hyperlink" Target="https://drive.google.com/file/d/1pxUkUyLtdi7LouvGAwS4vzxfIERGPJbg/view?usp=sharing" TargetMode="External"/><Relationship Id="rId210" Type="http://schemas.openxmlformats.org/officeDocument/2006/relationships/hyperlink" Target="https://drive.google.com/file/d/1XGZRQElTxNSiiHON2KuzWcgvrzt-d6u6/view?usp=drive_link" TargetMode="External"/><Relationship Id="rId215" Type="http://schemas.openxmlformats.org/officeDocument/2006/relationships/hyperlink" Target="https://drive.google.com/file/d/1tvktuCdFOn86w1DQa66nGD__MKc_60o8/view?usp=drive_link" TargetMode="External"/><Relationship Id="rId236" Type="http://schemas.openxmlformats.org/officeDocument/2006/relationships/hyperlink" Target="https://drive.google.com/file/d/1B8JYu1PbSXXJOA013xsvWbWW5zf1wHp4/view?usp=drive_link" TargetMode="External"/><Relationship Id="rId257" Type="http://schemas.openxmlformats.org/officeDocument/2006/relationships/hyperlink" Target="https://drive.google.com/file/d/1KXIEn-b1SRlFAZtmE3aTxVI65JMaTJ14/view?usp=drive_link" TargetMode="External"/><Relationship Id="rId278" Type="http://schemas.openxmlformats.org/officeDocument/2006/relationships/hyperlink" Target="https://drive.google.com/file/d/1SGB-PD7NXEmyWOJTPA-a7_xNMD1uuH14/view?usp=drive_link" TargetMode="External"/><Relationship Id="rId26" Type="http://schemas.openxmlformats.org/officeDocument/2006/relationships/hyperlink" Target="https://drive.google.com/file/d/1n8hTcka49b4ZO9FAzfnvPVhO3xipJwqL/view?usp=drive_link" TargetMode="External"/><Relationship Id="rId231" Type="http://schemas.openxmlformats.org/officeDocument/2006/relationships/hyperlink" Target="https://drive.google.com/file/d/1-XagNRsL9rlPtnHt0M0NEvo_HUTzUEoP/view?usp=drive_link" TargetMode="External"/><Relationship Id="rId252" Type="http://schemas.openxmlformats.org/officeDocument/2006/relationships/hyperlink" Target="https://drive.google.com/file/d/1Nx2EZMz9gzH59GyYM1sNFVYpP6Q6GH6u/view?usp=sharing" TargetMode="External"/><Relationship Id="rId273" Type="http://schemas.openxmlformats.org/officeDocument/2006/relationships/hyperlink" Target="https://drive.google.com/file/d/11hy-K30sP9bLqdtdFgFWQ6gkcXD7AfXK/view?usp=drive_link" TargetMode="External"/><Relationship Id="rId294" Type="http://schemas.openxmlformats.org/officeDocument/2006/relationships/hyperlink" Target="https://drive.google.com/file/d/1gDzlzh2Jd2HfWOMvJqFvZIgHPVEzDbbo/view?usp=drive_link" TargetMode="External"/><Relationship Id="rId47" Type="http://schemas.openxmlformats.org/officeDocument/2006/relationships/hyperlink" Target="https://drive.google.com/file/d/1IWRLt2JJB0mi31kwkFWFhX3V4H3crLL8/view?usp=drive_link" TargetMode="External"/><Relationship Id="rId68" Type="http://schemas.openxmlformats.org/officeDocument/2006/relationships/hyperlink" Target="https://drive.google.com/file/d/1332mrfxS9-lelqoC33lTwk-WobJCNlqA/view?usp=sharing" TargetMode="External"/><Relationship Id="rId89" Type="http://schemas.openxmlformats.org/officeDocument/2006/relationships/hyperlink" Target="https://drive.google.com/file/d/1I2KEc8ieGxLT6sF9iR7gC6cXSTZ7AFc7/view?usp=drive_link" TargetMode="External"/><Relationship Id="rId112" Type="http://schemas.openxmlformats.org/officeDocument/2006/relationships/hyperlink" Target="https://drive.google.com/file/d/1EBLaCCi7gy65Oa41Zu30yNHhsTeTyQoe/view?usp=drive_link" TargetMode="External"/><Relationship Id="rId133" Type="http://schemas.openxmlformats.org/officeDocument/2006/relationships/hyperlink" Target="https://drive.google.com/file/d/1wLdgLnt3W5gcBKz0IfHCFy2pY16Vk1Ol/view?usp=drive_link" TargetMode="External"/><Relationship Id="rId154" Type="http://schemas.openxmlformats.org/officeDocument/2006/relationships/hyperlink" Target="https://drive.google.com/file/d/1H_vLHgX9hN0i68wfZWk9MNNLkeYRQoEk/view?usp=drive_link" TargetMode="External"/><Relationship Id="rId175" Type="http://schemas.openxmlformats.org/officeDocument/2006/relationships/hyperlink" Target="https://drive.google.com/file/d/1EenwyvsnlHG5hBUOnv_czrIzdWlVCEWd/view?usp=drive_link" TargetMode="External"/><Relationship Id="rId196" Type="http://schemas.openxmlformats.org/officeDocument/2006/relationships/hyperlink" Target="https://drive.google.com/file/d/1UZRv9V4Yql6wZ_Vb8D41RfM46bGYW26m/view?usp=drive_link" TargetMode="External"/><Relationship Id="rId200" Type="http://schemas.openxmlformats.org/officeDocument/2006/relationships/hyperlink" Target="https://drive.google.com/file/d/1l47j9tNNOKyWeKYYEqaqi_H1witvDvq3/view?usp=sharing" TargetMode="External"/><Relationship Id="rId16" Type="http://schemas.openxmlformats.org/officeDocument/2006/relationships/hyperlink" Target="https://drive.google.com/file/d/15iCma8kzy5XjmhCVARQ7QjHJXuFc6SsW/view?usp=drive_link" TargetMode="External"/><Relationship Id="rId221" Type="http://schemas.openxmlformats.org/officeDocument/2006/relationships/hyperlink" Target="https://drive.google.com/file/d/1JKqfbA1O_WlMgZwPblZSV3m4F9NmktuS/view?usp=drive_link" TargetMode="External"/><Relationship Id="rId242" Type="http://schemas.openxmlformats.org/officeDocument/2006/relationships/hyperlink" Target="https://drive.google.com/file/d/1vhaIMfcqU2zIA_Cy1nxbMJ2HC3b-8J06/view?usp=drive_link" TargetMode="External"/><Relationship Id="rId263" Type="http://schemas.openxmlformats.org/officeDocument/2006/relationships/hyperlink" Target="https://drive.google.com/file/d/1NPMiFRL_8S8aR2pSfbP2GT7GR91nwJ3s/view?usp=drive_link" TargetMode="External"/><Relationship Id="rId284" Type="http://schemas.openxmlformats.org/officeDocument/2006/relationships/hyperlink" Target="https://drive.google.com/file/d/1FITMjN_1KfyBUUqJadPsU-CaIsWvm-m0/view?usp=drive_link" TargetMode="External"/><Relationship Id="rId37" Type="http://schemas.openxmlformats.org/officeDocument/2006/relationships/hyperlink" Target="https://drive.google.com/file/d/11GRSdYhk3N174L0diBKQxTGKLQ-Ns7od/view?usp=sharing" TargetMode="External"/><Relationship Id="rId58" Type="http://schemas.openxmlformats.org/officeDocument/2006/relationships/hyperlink" Target="https://drive.google.com/file/d/1-bxqnSXh5twKrROhjVOwCtfDZD3fvMAv/view?usp=sharing" TargetMode="External"/><Relationship Id="rId79" Type="http://schemas.openxmlformats.org/officeDocument/2006/relationships/hyperlink" Target="https://drive.google.com/file/d/1BcQ26_FUWaDa21b6RwsZpZmdTMXs1nC1/view?usp=drive_link" TargetMode="External"/><Relationship Id="rId102" Type="http://schemas.openxmlformats.org/officeDocument/2006/relationships/hyperlink" Target="https://drive.google.com/file/d/1EyMBBMn3w6W_CYNP5q2-ayd33dwot6vg/view?usp=drive_link" TargetMode="External"/><Relationship Id="rId123" Type="http://schemas.openxmlformats.org/officeDocument/2006/relationships/hyperlink" Target="https://drive.google.com/file/d/1N5j-3sPoZ5prIhiGqf5H0Ml8HZiAQBdQ/view?usp=drive_link" TargetMode="External"/><Relationship Id="rId144" Type="http://schemas.openxmlformats.org/officeDocument/2006/relationships/hyperlink" Target="https://drive.google.com/file/d/1imjweIF0mNT4JhjbuADKN9KZo-9RwdT1/view?usp=drive_link" TargetMode="External"/><Relationship Id="rId90" Type="http://schemas.openxmlformats.org/officeDocument/2006/relationships/hyperlink" Target="https://drive.google.com/file/d/1hHP9lal81QEQVfS8peJGA0EzmGlfBgsd/view?usp=drive_link" TargetMode="External"/><Relationship Id="rId165" Type="http://schemas.openxmlformats.org/officeDocument/2006/relationships/hyperlink" Target="https://drive.google.com/file/d/1dWwFBcvTW0wjPGj7sHMnXmzk2cdfOfQV/view?usp=drive_link" TargetMode="External"/><Relationship Id="rId186" Type="http://schemas.openxmlformats.org/officeDocument/2006/relationships/hyperlink" Target="https://drive.google.com/file/d/1mFtcW-d8Tl5bubbiCpHGqajSLAFX4Z3B/view?usp=sharing" TargetMode="External"/><Relationship Id="rId211" Type="http://schemas.openxmlformats.org/officeDocument/2006/relationships/hyperlink" Target="https://drive.google.com/file/d/1RoxgskpxPyDKSXgz9hY4DEWm4IfxT6-6/view?usp=drive_link" TargetMode="External"/><Relationship Id="rId232" Type="http://schemas.openxmlformats.org/officeDocument/2006/relationships/hyperlink" Target="https://drive.google.com/file/d/1s52aDKyb-PORAxo2FjUIUvGsLplc5b6G/view?usp=drive_link" TargetMode="External"/><Relationship Id="rId253" Type="http://schemas.openxmlformats.org/officeDocument/2006/relationships/hyperlink" Target="https://drive.google.com/file/d/1OXrP1kfl9XYzmGBUVxen1SArKnk4h9j6/view?usp=sharing" TargetMode="External"/><Relationship Id="rId274" Type="http://schemas.openxmlformats.org/officeDocument/2006/relationships/hyperlink" Target="https://drive.google.com/file/d/1D9cgutBQHL3-2Q_Dtl6bYMAt5vp0TvcK/view?usp=drive_link" TargetMode="External"/><Relationship Id="rId295" Type="http://schemas.openxmlformats.org/officeDocument/2006/relationships/hyperlink" Target="https://drive.google.com/file/d/1IfQYgNS7JzfmCcu43yxb8lYf4qWkHBGN/view?usp=drive_link" TargetMode="External"/><Relationship Id="rId27" Type="http://schemas.openxmlformats.org/officeDocument/2006/relationships/hyperlink" Target="https://drive.google.com/file/d/1n8hTcka49b4ZO9FAzfnvPVhO3xipJwqL/view?usp=drive_link" TargetMode="External"/><Relationship Id="rId48" Type="http://schemas.openxmlformats.org/officeDocument/2006/relationships/hyperlink" Target="https://drive.google.com/file/d/1lsbcCex8kEnMh0t1HAEpyWpgWYLSxKkR/view?usp=sharing" TargetMode="External"/><Relationship Id="rId69" Type="http://schemas.openxmlformats.org/officeDocument/2006/relationships/hyperlink" Target="https://drive.google.com/file/d/1L5gLbgp9BkRjLSnUtdri6PccKBMr5--T/view?usp=drive_link" TargetMode="External"/><Relationship Id="rId113" Type="http://schemas.openxmlformats.org/officeDocument/2006/relationships/hyperlink" Target="http://imd.id/" TargetMode="External"/><Relationship Id="rId134" Type="http://schemas.openxmlformats.org/officeDocument/2006/relationships/hyperlink" Target="https://drive.google.com/file/d/19APgu_eFN-eWjxRJL4ZPBAC8HqYyPske/view?usp=drive_link" TargetMode="External"/><Relationship Id="rId80" Type="http://schemas.openxmlformats.org/officeDocument/2006/relationships/hyperlink" Target="https://drive.google.com/file/d/1SPTSZdAcJVzHFUqM3E_mCX6OnaHZ51IM/view?usp=drive_link" TargetMode="External"/><Relationship Id="rId155" Type="http://schemas.openxmlformats.org/officeDocument/2006/relationships/hyperlink" Target="https://drive.google.com/file/d/1MxJplI5Ra-kHa2rZQMGpO-2T8lrMB-18/view?usp=drive_link" TargetMode="External"/><Relationship Id="rId176" Type="http://schemas.openxmlformats.org/officeDocument/2006/relationships/hyperlink" Target="https://drive.google.com/file/d/1DoqG5M4tACY_72rVZjPyDwH4a_VJc4Bx/view?usp=sharing" TargetMode="External"/><Relationship Id="rId197" Type="http://schemas.openxmlformats.org/officeDocument/2006/relationships/hyperlink" Target="https://drive.google.com/file/d/1qE-qZ-GZUI3rHn5_O3xOQthPFjRc2Dzt/view?usp=drive_link" TargetMode="External"/><Relationship Id="rId201" Type="http://schemas.openxmlformats.org/officeDocument/2006/relationships/hyperlink" Target="https://drive.google.com/file/d/1Wlt8m0y8Fne8IpNPSADbzNsz40qF8CKx/view?usp=sharing" TargetMode="External"/><Relationship Id="rId222" Type="http://schemas.openxmlformats.org/officeDocument/2006/relationships/hyperlink" Target="https://drive.google.com/file/d/1e4ljiMtIFrhRWLX0VflDIbD4uzdDmUlz/view?usp=drive_link" TargetMode="External"/><Relationship Id="rId243" Type="http://schemas.openxmlformats.org/officeDocument/2006/relationships/hyperlink" Target="https://drive.google.com/file/d/1nrfKQ_D7SoFTItLKmFWeUYWZSs0l3fUK/view?usp=drive_link" TargetMode="External"/><Relationship Id="rId264" Type="http://schemas.openxmlformats.org/officeDocument/2006/relationships/hyperlink" Target="https://drive.google.com/file/d/1qQ2i_2tM9Kndy-X2PpVH7TFA7Bxc04c6/view?usp=drive_link" TargetMode="External"/><Relationship Id="rId285" Type="http://schemas.openxmlformats.org/officeDocument/2006/relationships/hyperlink" Target="https://drive.google.com/file/d/1sWBIkjJsptb2AA_ZPiHoLFPVOWpjC0lW/view?usp=drive_link" TargetMode="External"/><Relationship Id="rId17" Type="http://schemas.openxmlformats.org/officeDocument/2006/relationships/hyperlink" Target="https://drive.google.com/file/d/1xdiXjxBEfR1NgBSTIGXparOVw1F3Oe50/view?usp=drive_link" TargetMode="External"/><Relationship Id="rId38" Type="http://schemas.openxmlformats.org/officeDocument/2006/relationships/hyperlink" Target="https://www.figma.com/design/0nUR2v0mzjAhKLNU1UULQi/%E3%83%87%E3%82%B6%E3%82%A4%E3%83%B3?node-id=76-4223&amp;p=f" TargetMode="External"/><Relationship Id="rId59" Type="http://schemas.openxmlformats.org/officeDocument/2006/relationships/hyperlink" Target="https://drive.google.com/file/d/11SejWDe3Q2sBn4kkkvHY638ePHSHBOuQ/view?usp=drive_link" TargetMode="External"/><Relationship Id="rId103" Type="http://schemas.openxmlformats.org/officeDocument/2006/relationships/hyperlink" Target="https://drive.google.com/file/d/1X2feXc5EoGaR2OBHRyM5zurFAFnjaPxs/view?usp=drive_link" TargetMode="External"/><Relationship Id="rId124" Type="http://schemas.openxmlformats.org/officeDocument/2006/relationships/hyperlink" Target="https://drive.google.com/file/d/1Fq2tkO7zNGdemLk-_sjYlwsF4NFPP4vj/view?usp=drive_link" TargetMode="External"/><Relationship Id="rId70" Type="http://schemas.openxmlformats.org/officeDocument/2006/relationships/hyperlink" Target="https://drive.google.com/file/d/1KVntf2yFT95tcJjGuoVtFmN_sYnLPf7x/view?usp=drive_link" TargetMode="External"/><Relationship Id="rId91" Type="http://schemas.openxmlformats.org/officeDocument/2006/relationships/hyperlink" Target="https://drive.google.com/file/d/112nfCak9oi3LpTswxhkZzyZiYnjGuT-o/view?usp=drive_link" TargetMode="External"/><Relationship Id="rId145" Type="http://schemas.openxmlformats.org/officeDocument/2006/relationships/hyperlink" Target="https://drive.google.com/file/d/1ePcmlOzwDi1HNynJZs7uSjhdH6uaCsq4/view?usp=drive_link" TargetMode="External"/><Relationship Id="rId166" Type="http://schemas.openxmlformats.org/officeDocument/2006/relationships/hyperlink" Target="https://drive.google.com/file/d/1JErMMO0Z7IDhTqVpz3ZFc_EWvfvthjeu/view?usp=sharing" TargetMode="External"/><Relationship Id="rId187" Type="http://schemas.openxmlformats.org/officeDocument/2006/relationships/hyperlink" Target="https://drive.google.com/file/d/1lS4L-dMwcLFeyGxwKbWSc_2QR5s6Uhns/view?usp=drive_link" TargetMode="External"/><Relationship Id="rId1" Type="http://schemas.openxmlformats.org/officeDocument/2006/relationships/hyperlink" Target="https://drive.google.com/file/d/1m8AKsPdXUtANALiqR1NiZrOlRPAMW07l/view?usp=drive_link" TargetMode="External"/><Relationship Id="rId212" Type="http://schemas.openxmlformats.org/officeDocument/2006/relationships/hyperlink" Target="https://drive.google.com/file/d/1PWynFiMu0z2iY7Riwf4SgcUC0Fey_g8-/view?usp=drive_link" TargetMode="External"/><Relationship Id="rId233" Type="http://schemas.openxmlformats.org/officeDocument/2006/relationships/hyperlink" Target="https://drive.google.com/file/d/17Zf32D9xmVNLzgCe7AGeJnIQ4P1nfWbO/view?usp=drive_link" TargetMode="External"/><Relationship Id="rId254" Type="http://schemas.openxmlformats.org/officeDocument/2006/relationships/hyperlink" Target="https://drive.google.com/file/d/183FGQf2k_tzq13eFuGt7C_FrcuJOfgij/view?usp=sharing" TargetMode="External"/><Relationship Id="rId28" Type="http://schemas.openxmlformats.org/officeDocument/2006/relationships/hyperlink" Target="https://drive.google.com/file/d/1n8hTcka49b4ZO9FAzfnvPVhO3xipJwqL/view?usp=drive_link" TargetMode="External"/><Relationship Id="rId49" Type="http://schemas.openxmlformats.org/officeDocument/2006/relationships/hyperlink" Target="https://drive.google.com/file/d/1luT7cizQl-I97a0D_eCa9Tl9-kqDNGs9/view?usp=drive_link" TargetMode="External"/><Relationship Id="rId114" Type="http://schemas.openxmlformats.org/officeDocument/2006/relationships/hyperlink" Target="https://drive.google.com/file/d/1uPQ5z6gi5RQKSTt8bQTQTyej_4fimoCt/view?usp=drive_link" TargetMode="External"/><Relationship Id="rId275" Type="http://schemas.openxmlformats.org/officeDocument/2006/relationships/hyperlink" Target="https://drive.google.com/file/d/1GGqGzLvLU437KVB3zWy4c0GEL4zqBwDH/view?usp=drive_link" TargetMode="External"/><Relationship Id="rId296" Type="http://schemas.openxmlformats.org/officeDocument/2006/relationships/hyperlink" Target="https://drive.google.com/file/d/1wedJRKl8Ms3go35LHkLOkvB2_Iml6v1N/view?usp=drive_link" TargetMode="External"/><Relationship Id="rId300" Type="http://schemas.openxmlformats.org/officeDocument/2006/relationships/hyperlink" Target="https://drive.google.com/file/d/1uz2aN2IL-fYwrJkl_y8VHXcWjQUQzRlH/view?usp=sharing" TargetMode="External"/><Relationship Id="rId60" Type="http://schemas.openxmlformats.org/officeDocument/2006/relationships/hyperlink" Target="https://drive.google.com/file/d/1vRuptPzPhC-GaQNpWOO3RSzZ9VRwI6tp/view?usp=sharing" TargetMode="External"/><Relationship Id="rId81" Type="http://schemas.openxmlformats.org/officeDocument/2006/relationships/hyperlink" Target="https://drive.google.com/file/d/1T18qtEUkKC9oihdGU-5Z9bgfyXqzydHk/view?usp=drive_link" TargetMode="External"/><Relationship Id="rId135" Type="http://schemas.openxmlformats.org/officeDocument/2006/relationships/hyperlink" Target="https://drive.google.com/file/d/13Dgs-TMWgcuD0mp-kIPIMlU7b5l2DsAb/view?usp=drive_link" TargetMode="External"/><Relationship Id="rId156" Type="http://schemas.openxmlformats.org/officeDocument/2006/relationships/hyperlink" Target="https://drive.google.com/file/d/1WkQSGYw-9xNrBv8kxNK4qBwLw5PH9e2j/view?usp=drive_link" TargetMode="External"/><Relationship Id="rId177" Type="http://schemas.openxmlformats.org/officeDocument/2006/relationships/hyperlink" Target="https://drive.google.com/file/d/1b_tCPmFFPAE8xhpNxdiRGM__30pkfB_o/view?usp=sharing" TargetMode="External"/><Relationship Id="rId198" Type="http://schemas.openxmlformats.org/officeDocument/2006/relationships/hyperlink" Target="https://drive.google.com/file/d/1dBnK6qww1RKiEtK4UW8ZqTdTuzvU7C52/view?usp=drive_link" TargetMode="External"/><Relationship Id="rId202" Type="http://schemas.openxmlformats.org/officeDocument/2006/relationships/hyperlink" Target="https://drive.google.com/file/d/14S1Kv2s7-_ooQvawF1z3HFIAbxLoyciX/view?usp=sharing" TargetMode="External"/><Relationship Id="rId223" Type="http://schemas.openxmlformats.org/officeDocument/2006/relationships/hyperlink" Target="https://drive.google.com/file/d/1FjXYdB4d42Fe_zHJmmjjGN_0yA_FZoh3/view?usp=drive_link" TargetMode="External"/><Relationship Id="rId244" Type="http://schemas.openxmlformats.org/officeDocument/2006/relationships/hyperlink" Target="https://drive.google.com/file/d/1FVhqoZwRnVLcVag92ddXWj49bax1-55j/view?usp=drive_link" TargetMode="External"/><Relationship Id="rId18" Type="http://schemas.openxmlformats.org/officeDocument/2006/relationships/hyperlink" Target="https://drive.google.com/file/d/1U0PjkPR34EnaXE81Cj5Dlh-Yorz0xU0_/view?usp=sharing" TargetMode="External"/><Relationship Id="rId39" Type="http://schemas.openxmlformats.org/officeDocument/2006/relationships/hyperlink" Target="https://drive.google.com/file/d/13Qq8FADNV3-JXu-WydLaOqHs2WO1FzrD/view?usp=drive_link" TargetMode="External"/><Relationship Id="rId265" Type="http://schemas.openxmlformats.org/officeDocument/2006/relationships/hyperlink" Target="https://drive.google.com/file/d/1LA-sHwE8kGBNJfkCPva4kWA9S6JK-3DN/view?usp=drive_link" TargetMode="External"/><Relationship Id="rId286" Type="http://schemas.openxmlformats.org/officeDocument/2006/relationships/hyperlink" Target="https://drive.google.com/file/d/1ct5qszQsqhbme1WilACWMsvaq9KvHfRp/view?usp=sharing" TargetMode="External"/><Relationship Id="rId50" Type="http://schemas.openxmlformats.org/officeDocument/2006/relationships/hyperlink" Target="https://drive.google.com/file/d/1hfzCKDRKL7HeDNF3fpz9iEfg1rRInP4A/view?usp=drive_link" TargetMode="External"/><Relationship Id="rId104" Type="http://schemas.openxmlformats.org/officeDocument/2006/relationships/hyperlink" Target="https://drive.google.com/file/d/1MlBBoHu65r25zp4wZ5v3L_5z9YpXRgLh/view?usp=drive_link" TargetMode="External"/><Relationship Id="rId125" Type="http://schemas.openxmlformats.org/officeDocument/2006/relationships/hyperlink" Target="https://drive.google.com/file/d/1FarLG4s9dDGZJvH3roROgN193L230_T7/view?usp=sharing" TargetMode="External"/><Relationship Id="rId146" Type="http://schemas.openxmlformats.org/officeDocument/2006/relationships/hyperlink" Target="https://drive.google.com/file/d/1HJ77xzp0-swVzjPrh5H58_MkgmydKWAW/view?usp=drive_link" TargetMode="External"/><Relationship Id="rId167" Type="http://schemas.openxmlformats.org/officeDocument/2006/relationships/hyperlink" Target="https://drive.google.com/file/d/1HcRlzaz-teHr30nCjrMKPtLVdi6Puiit/view?usp=sharing" TargetMode="External"/><Relationship Id="rId188" Type="http://schemas.openxmlformats.org/officeDocument/2006/relationships/hyperlink" Target="https://drive.google.com/file/d/1IIWYhtQmaY9G6upTdlA_Zm-QuWdkWNrK/view?usp=sharing" TargetMode="External"/><Relationship Id="rId71" Type="http://schemas.openxmlformats.org/officeDocument/2006/relationships/hyperlink" Target="https://drive.google.com/file/d/17OL4UUJ8rIZ4ukXikdC-v-6yB1M50ogb/view?usp=drive_link" TargetMode="External"/><Relationship Id="rId92" Type="http://schemas.openxmlformats.org/officeDocument/2006/relationships/hyperlink" Target="https://drive.google.com/file/d/17woOr__1rHiLk1_3Dnzq0z6pt_6U36zv/view?usp=drive_link" TargetMode="External"/><Relationship Id="rId213" Type="http://schemas.openxmlformats.org/officeDocument/2006/relationships/hyperlink" Target="https://drive.google.com/file/d/1vUxkEujI0QsmaXwxnyyXaqBDxOgj7u5m/view?usp=drive_link" TargetMode="External"/><Relationship Id="rId234" Type="http://schemas.openxmlformats.org/officeDocument/2006/relationships/hyperlink" Target="https://drive.google.com/file/d/12dRDQHX2gm0Su2Y6yOkkQej52lzOQtuS/view?usp=drive_lin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oqAQTuOhRNxopHhh296rnQR_HTbm5Shg/view?usp=drive_link" TargetMode="External"/><Relationship Id="rId21" Type="http://schemas.openxmlformats.org/officeDocument/2006/relationships/hyperlink" Target="https://drive.google.com/file/d/1aIM_9hJCRDq3qYMOUlEmwHChXj5Rgi4c/view?usp=drive_link" TargetMode="External"/><Relationship Id="rId42" Type="http://schemas.openxmlformats.org/officeDocument/2006/relationships/hyperlink" Target="https://docs.google.com/spreadsheets/d/1cG3GlJAgWOVOu9aE_nAw0_Gv80A-PvlnFSwDbwV14Xw/edit?gid=0" TargetMode="External"/><Relationship Id="rId63" Type="http://schemas.openxmlformats.org/officeDocument/2006/relationships/hyperlink" Target="https://www.figma.com/design/0nUR2v0mzjAhKLNU1UULQi/%E3%83%87%E3%82%B6%E3%82%A4%E3%83%B3?node-id=216-10734&amp;t=dtgcb97OYCMboEpD-0" TargetMode="External"/><Relationship Id="rId84" Type="http://schemas.openxmlformats.org/officeDocument/2006/relationships/hyperlink" Target="https://drive.google.com/file/d/1PLXU8bRgEWCYH4TYVAeBEInps_Caa8kv/view?usp=drive_link" TargetMode="External"/><Relationship Id="rId138" Type="http://schemas.openxmlformats.org/officeDocument/2006/relationships/hyperlink" Target="https://drive.google.com/file/d/1L2DZkBgVTEgURTb_aGo03ZTiSCaFDPeU/view?usp=drive_link" TargetMode="External"/><Relationship Id="rId159" Type="http://schemas.openxmlformats.org/officeDocument/2006/relationships/hyperlink" Target="https://drive.google.com/file/d/1BK0xknTetQNqQ44vAuxM1NuKbvSzowFe/view?usp=drive_link" TargetMode="External"/><Relationship Id="rId170" Type="http://schemas.openxmlformats.org/officeDocument/2006/relationships/hyperlink" Target="https://drive.google.com/file/d/1XbqeG0Gu3qH_95YKtWaYujntk-5a-N0J/view?usp=drive_link" TargetMode="External"/><Relationship Id="rId191" Type="http://schemas.openxmlformats.org/officeDocument/2006/relationships/hyperlink" Target="https://drive.google.com/file/d/1uRjso4lk5ohImWNe0V20DdOOgacaJMi9/view?usp=drive_link" TargetMode="External"/><Relationship Id="rId205" Type="http://schemas.openxmlformats.org/officeDocument/2006/relationships/hyperlink" Target="https://drive.google.com/file/d/1VRSv-5hM4lnYk1Ubh0Pu1lMHrUCHWzc_/view?usp=drive_link" TargetMode="External"/><Relationship Id="rId226" Type="http://schemas.openxmlformats.org/officeDocument/2006/relationships/hyperlink" Target="https://drive.google.com/file/d/1HTEhsKAhCNLdMROgmLRDliLnMhXH7gnR/view?usp=drive_link" TargetMode="External"/><Relationship Id="rId247" Type="http://schemas.openxmlformats.org/officeDocument/2006/relationships/hyperlink" Target="https://drive.google.com/file/d/1SQzuqJZrmJcbtVdtZqrXuVxSNtOgtkzq/view?usp=drive_link" TargetMode="External"/><Relationship Id="rId107" Type="http://schemas.openxmlformats.org/officeDocument/2006/relationships/hyperlink" Target="https://drive.google.com/file/d/1TiB09D-dRBgoIMXlajwekv8lx6WS6kGK/view?usp=drive_link" TargetMode="External"/><Relationship Id="rId268" Type="http://schemas.openxmlformats.org/officeDocument/2006/relationships/hyperlink" Target="https://drive.google.com/file/d/15RtbAUVeZcXAeU9DNmSLCd1eHGCL3BuU/view?usp=drive_link" TargetMode="External"/><Relationship Id="rId11" Type="http://schemas.openxmlformats.org/officeDocument/2006/relationships/hyperlink" Target="https://drive.google.com/file/d/14SRw0Dr8KFuNGkyYVBcHnGhAp9DHpkDP/view?usp=drive_link" TargetMode="External"/><Relationship Id="rId32" Type="http://schemas.openxmlformats.org/officeDocument/2006/relationships/hyperlink" Target="https://drive.google.com/file/d/1y7ilaG5ZfZYxWHxSbH2xc-zkyyqrhtqP/view?usp=drive_link" TargetMode="External"/><Relationship Id="rId53" Type="http://schemas.openxmlformats.org/officeDocument/2006/relationships/hyperlink" Target="https://drive.google.com/file/d/1yBluVDr5_VZPSpcwboV8-omLHt8bFPH3/view?usp=drive_link" TargetMode="External"/><Relationship Id="rId74" Type="http://schemas.openxmlformats.org/officeDocument/2006/relationships/hyperlink" Target="https://drive.google.com/file/d/1AAFptr5N75u7-QppRPziuLJlXgNeF6hm/view?usp=drive_link" TargetMode="External"/><Relationship Id="rId128" Type="http://schemas.openxmlformats.org/officeDocument/2006/relationships/hyperlink" Target="https://drive.google.com/file/d/1RSjY7vwAdnsD_1hBXaIIg81PnD-rzoaf/view?usp=drive_link" TargetMode="External"/><Relationship Id="rId149" Type="http://schemas.openxmlformats.org/officeDocument/2006/relationships/hyperlink" Target="https://drive.google.com/file/d/1_haVAFJ7xRYevxmsfO7TwDdCyjZ5cmBo/view?usp=drive_link" TargetMode="External"/><Relationship Id="rId5" Type="http://schemas.openxmlformats.org/officeDocument/2006/relationships/hyperlink" Target="https://drive.google.com/file/d/1gjmAdGJduAwsnsQGcV8enLIy761FzUSl/view?usp=drive_link" TargetMode="External"/><Relationship Id="rId95" Type="http://schemas.openxmlformats.org/officeDocument/2006/relationships/hyperlink" Target="https://drive.google.com/file/d/15SJ5zEg-mjt9rt-I5p_-_rd-ke1XI6q-/view?usp=drive_link" TargetMode="External"/><Relationship Id="rId160" Type="http://schemas.openxmlformats.org/officeDocument/2006/relationships/hyperlink" Target="https://drive.google.com/file/d/1THiRDVAcDHCG3wSaF2q6z3CrySgCtWya/view?usp=drive_link" TargetMode="External"/><Relationship Id="rId181" Type="http://schemas.openxmlformats.org/officeDocument/2006/relationships/hyperlink" Target="https://drive.google.com/file/d/1ht5NaWErDVQ_eSE4RbYIJoX0om7rK0jz/view?usp=drive_link" TargetMode="External"/><Relationship Id="rId216" Type="http://schemas.openxmlformats.org/officeDocument/2006/relationships/hyperlink" Target="https://drive.google.com/file/d/1k4MzcEgNvRkdusPsWYSL5YkGCmYetztM/view?usp=drive_link" TargetMode="External"/><Relationship Id="rId237" Type="http://schemas.openxmlformats.org/officeDocument/2006/relationships/hyperlink" Target="https://drive.google.com/file/d/1Kt7nVYnCRED6oQrVaL4k4DvMYKcSxx1C/view?usp=drive_link" TargetMode="External"/><Relationship Id="rId258" Type="http://schemas.openxmlformats.org/officeDocument/2006/relationships/hyperlink" Target="https://drive.google.com/file/d/1m5S7HIQsyyNHHZGQkZ_o26He4BAX6YxW/view?usp=drive_link" TargetMode="External"/><Relationship Id="rId279" Type="http://schemas.openxmlformats.org/officeDocument/2006/relationships/hyperlink" Target="https://drive.google.com/file/d/1ZDa87gkwurYjHs-wPy9Dpex8NEE5c-kB/view?usp=drive_link" TargetMode="External"/><Relationship Id="rId22" Type="http://schemas.openxmlformats.org/officeDocument/2006/relationships/hyperlink" Target="https://rezil-electrical.atlassian.net/browse/REZIL-1248" TargetMode="External"/><Relationship Id="rId43" Type="http://schemas.openxmlformats.org/officeDocument/2006/relationships/hyperlink" Target="https://drive.google.com/file/d/1c9o_jbCJjucgr1Og3p2e2Z-uM9fF8_SF/view?usp=drive_link" TargetMode="External"/><Relationship Id="rId64" Type="http://schemas.openxmlformats.org/officeDocument/2006/relationships/hyperlink" Target="https://drive.google.com/file/d/14PQz5IpXMHrAwLM7jnvhFUaXe-9Fep93/view?usp=drive_link" TargetMode="External"/><Relationship Id="rId118" Type="http://schemas.openxmlformats.org/officeDocument/2006/relationships/hyperlink" Target="https://drive.google.com/file/d/13-HhOkls-L-TprmPFAlIYL9CsPS6Ac-X/view?usp=drive_link" TargetMode="External"/><Relationship Id="rId139" Type="http://schemas.openxmlformats.org/officeDocument/2006/relationships/hyperlink" Target="https://drive.google.com/file/d/1YXtOqEC7jcRKDMl2vCE-58kiScB4MqK6/view?usp=drive_link" TargetMode="External"/><Relationship Id="rId85" Type="http://schemas.openxmlformats.org/officeDocument/2006/relationships/hyperlink" Target="https://drive.google.com/file/d/1bGxdCmIabr-oX3FuUpQaW8AcWX0CT-WS/view?usp=drive_link" TargetMode="External"/><Relationship Id="rId150" Type="http://schemas.openxmlformats.org/officeDocument/2006/relationships/hyperlink" Target="https://drive.google.com/file/d/1THiRDVAcDHCG3wSaF2q6z3CrySgCtWya/view?usp=drive_link" TargetMode="External"/><Relationship Id="rId171" Type="http://schemas.openxmlformats.org/officeDocument/2006/relationships/hyperlink" Target="https://drive.google.com/file/d/14FZjvF2BQVJyO3bvLCqxnMHKQoLIETd6/view?usp=drive_link" TargetMode="External"/><Relationship Id="rId192" Type="http://schemas.openxmlformats.org/officeDocument/2006/relationships/hyperlink" Target="https://drive.google.com/file/d/1LuoVLpcNcA4zivm5f_umkcQWNOWPV9Va/view?usp=drive_link" TargetMode="External"/><Relationship Id="rId206" Type="http://schemas.openxmlformats.org/officeDocument/2006/relationships/hyperlink" Target="https://drive.google.com/file/d/10ekTmYsyDlhWo6uYZJMgYCLtw_aac8TH/view?usp=drive_link" TargetMode="External"/><Relationship Id="rId227" Type="http://schemas.openxmlformats.org/officeDocument/2006/relationships/hyperlink" Target="https://drive.google.com/file/d/132TBG7Qe3azIXc1Af9CzmgD0i9X3dYjD/view?usp=drive_link" TargetMode="External"/><Relationship Id="rId248" Type="http://schemas.openxmlformats.org/officeDocument/2006/relationships/hyperlink" Target="https://drive.google.com/file/d/1tS7_qzdFYRWtY4jEWs5FcNyi38SlDTfw/view?usp=drive_link" TargetMode="External"/><Relationship Id="rId269" Type="http://schemas.openxmlformats.org/officeDocument/2006/relationships/hyperlink" Target="https://drive.google.com/file/d/1xsUmBaBLDvxGT3l_eC19wd6FrQxBCkfX/view?usp=drive_link" TargetMode="External"/><Relationship Id="rId12" Type="http://schemas.openxmlformats.org/officeDocument/2006/relationships/hyperlink" Target="https://drive.google.com/file/d/16iTGE3fkhQXzR1LuWCMpUSNNbEZZEkm9/view?usp=drive_link" TargetMode="External"/><Relationship Id="rId33" Type="http://schemas.openxmlformats.org/officeDocument/2006/relationships/hyperlink" Target="https://www.figma.com/design/0nUR2v0mzjAhKLNU1UULQi/%E3%83%87%E3%82%B6%E3%82%A4%E3%83%B3?node-id=2287-28435&amp;t=JM0ku91fFXsM3e2t-4" TargetMode="External"/><Relationship Id="rId108" Type="http://schemas.openxmlformats.org/officeDocument/2006/relationships/hyperlink" Target="https://drive.google.com/file/d/19YkeL8QfHyTEsptBgm8hFPI0Uhytw9W-/view?usp=drive_link" TargetMode="External"/><Relationship Id="rId129" Type="http://schemas.openxmlformats.org/officeDocument/2006/relationships/hyperlink" Target="https://drive.google.com/file/d/1Ys5MKpgQZf3UK996lo8PLtH1YWwHwNWX/view?usp=drive_link" TargetMode="External"/><Relationship Id="rId280" Type="http://schemas.openxmlformats.org/officeDocument/2006/relationships/hyperlink" Target="https://drive.google.com/file/d/1oIJhuY4_7OYY9Ni3vsdc19TEdLoi53Af/view?usp=drive_link" TargetMode="External"/><Relationship Id="rId54" Type="http://schemas.openxmlformats.org/officeDocument/2006/relationships/hyperlink" Target="https://drive.google.com/file/d/1hjt0eV8PC5qEY8-QQqMG1Ckp3cU-Gb8L/view?usp=drive_link" TargetMode="External"/><Relationship Id="rId75" Type="http://schemas.openxmlformats.org/officeDocument/2006/relationships/hyperlink" Target="https://drive.google.com/file/d/1Q-UXbl8yagQ45E0cW0sgEurOgBS7bE99/view?usp=drive_link" TargetMode="External"/><Relationship Id="rId96" Type="http://schemas.openxmlformats.org/officeDocument/2006/relationships/hyperlink" Target="https://drive.google.com/file/d/1pysEzKooUzBL-eyoIpL-ZV64uqhG4NmC/view?usp=drive_link" TargetMode="External"/><Relationship Id="rId140" Type="http://schemas.openxmlformats.org/officeDocument/2006/relationships/hyperlink" Target="https://drive.google.com/file/d/1KhMy0Ry5kQ1g6LQ2Zu4DQi3BmrCojw-M/view?usp=drive_link" TargetMode="External"/><Relationship Id="rId161" Type="http://schemas.openxmlformats.org/officeDocument/2006/relationships/hyperlink" Target="https://drive.google.com/file/d/12TLH0fAb77_cW4CfPHKLeC7sFYl8RJx_/view?usp=drive_link" TargetMode="External"/><Relationship Id="rId182" Type="http://schemas.openxmlformats.org/officeDocument/2006/relationships/hyperlink" Target="https://drive.google.com/file/d/15xLGjE222nCVw0oBluk14q-RsV6dazrH/view?usp=sharing" TargetMode="External"/><Relationship Id="rId217" Type="http://schemas.openxmlformats.org/officeDocument/2006/relationships/hyperlink" Target="https://drive.google.com/file/d/1j71LKyXdJErzPq8chaFTS0f_F99gcMFM/view?usp=drive_link" TargetMode="External"/><Relationship Id="rId6" Type="http://schemas.openxmlformats.org/officeDocument/2006/relationships/hyperlink" Target="https://drive.google.com/file/d/1zSuznjUjP2PM5bphqafJXDoeOgsmM2YJ/view?usp=drive_link" TargetMode="External"/><Relationship Id="rId238" Type="http://schemas.openxmlformats.org/officeDocument/2006/relationships/hyperlink" Target="http://current_inspection.id/" TargetMode="External"/><Relationship Id="rId259" Type="http://schemas.openxmlformats.org/officeDocument/2006/relationships/hyperlink" Target="https://drive.google.com/file/d/1Tbl_7lVb_7NffUuI2DbIVsmgytZrwpcE/view?usp=drive_link" TargetMode="External"/><Relationship Id="rId23" Type="http://schemas.openxmlformats.org/officeDocument/2006/relationships/hyperlink" Target="https://drive.google.com/file/d/1qRJI60dWnZwW2BNBFp1VM8dQiXj26Dta/view?usp=drive_link" TargetMode="External"/><Relationship Id="rId119" Type="http://schemas.openxmlformats.org/officeDocument/2006/relationships/hyperlink" Target="https://drive.google.com/file/d/1tD0kHCXdPWL5E-7GD6iK9rODf9DyIoDi/view?usp=drive_link" TargetMode="External"/><Relationship Id="rId270" Type="http://schemas.openxmlformats.org/officeDocument/2006/relationships/hyperlink" Target="https://drive.google.com/file/d/1NiH8KvlpXgcbbkovTF_RJF2E3KWap2Au/view?usp=drive_link" TargetMode="External"/><Relationship Id="rId44" Type="http://schemas.openxmlformats.org/officeDocument/2006/relationships/hyperlink" Target="https://drive.google.com/file/d/1G7v39w-O3QqPhGxF4_aEHVzsGi9VyeeY/view?usp=drive_link" TargetMode="External"/><Relationship Id="rId65" Type="http://schemas.openxmlformats.org/officeDocument/2006/relationships/hyperlink" Target="https://drive.google.com/file/d/1lMflIrDEudlfEOfjuEEk213smkWpLqrb/view?usp=drive_link" TargetMode="External"/><Relationship Id="rId86" Type="http://schemas.openxmlformats.org/officeDocument/2006/relationships/hyperlink" Target="https://drive.google.com/file/d/1wyNUiIvI-1zDNlfTpnTvkoB8NuF5i8xV/view?usp=drive_link" TargetMode="External"/><Relationship Id="rId130" Type="http://schemas.openxmlformats.org/officeDocument/2006/relationships/hyperlink" Target="https://drive.google.com/file/d/1THiRDVAcDHCG3wSaF2q6z3CrySgCtWya/view?usp=drive_link" TargetMode="External"/><Relationship Id="rId151" Type="http://schemas.openxmlformats.org/officeDocument/2006/relationships/hyperlink" Target="https://drive.google.com/file/d/1PhoESwe-tnBXNe_l40UE12M5ecxVn1Pc/view?usp=drive_link" TargetMode="External"/><Relationship Id="rId172" Type="http://schemas.openxmlformats.org/officeDocument/2006/relationships/hyperlink" Target="https://drive.google.com/file/d/1Jw_Q6D0TROujLasduIE70eGCu38l0nJt/view?usp=drive_link" TargetMode="External"/><Relationship Id="rId193" Type="http://schemas.openxmlformats.org/officeDocument/2006/relationships/hyperlink" Target="https://drive.google.com/file/d/16_0ZFW3Rh6yh73sbL7f8LHE_6ORhUqrF/view?usp=drive_link" TargetMode="External"/><Relationship Id="rId207" Type="http://schemas.openxmlformats.org/officeDocument/2006/relationships/hyperlink" Target="https://drive.google.com/file/d/1qGVvI9EeXg5Tpx_VeYIwN_2qCC5yC3SH/view?usp=drive_link" TargetMode="External"/><Relationship Id="rId228" Type="http://schemas.openxmlformats.org/officeDocument/2006/relationships/hyperlink" Target="https://drive.google.com/file/d/18cpCfEr9SyU2qz8sXrm9NrkvBYU6GfDF/view?usp=drive_link" TargetMode="External"/><Relationship Id="rId249" Type="http://schemas.openxmlformats.org/officeDocument/2006/relationships/hyperlink" Target="https://drive.google.com/file/d/1BmrLP06rubA0r1cW2LYqh2IvdAfewHXt/view?usp=drive_link" TargetMode="External"/><Relationship Id="rId13" Type="http://schemas.openxmlformats.org/officeDocument/2006/relationships/hyperlink" Target="https://drive.google.com/file/d/1oi2bnYG07ho1qXwS4hSfxi2uNeQLdgt1/view?usp=drive_link" TargetMode="External"/><Relationship Id="rId18" Type="http://schemas.openxmlformats.org/officeDocument/2006/relationships/hyperlink" Target="https://drive.google.com/file/d/1bKESsLCZJjC6Qm-Cdd9z8_JRhw73oHPZ/view?usp=drive_link" TargetMode="External"/><Relationship Id="rId39" Type="http://schemas.openxmlformats.org/officeDocument/2006/relationships/hyperlink" Target="https://drive.google.com/file/d/1wx8RDaQ_MsP7KLwE80dXlD-sf-VW_tTO/view?usp=drive_link" TargetMode="External"/><Relationship Id="rId109" Type="http://schemas.openxmlformats.org/officeDocument/2006/relationships/hyperlink" Target="https://docs.google.com/spreadsheets/d/1cG3GlJAgWOVOu9aE_nAw0_Gv80A-PvlnFSwDbwV14Xw/edit?gid=0" TargetMode="External"/><Relationship Id="rId260" Type="http://schemas.openxmlformats.org/officeDocument/2006/relationships/hyperlink" Target="https://drive.google.com/file/d/1bvSDRwSttdXfCnmackZNSIemtAKPC-SZ/view?usp=drive_link" TargetMode="External"/><Relationship Id="rId265" Type="http://schemas.openxmlformats.org/officeDocument/2006/relationships/hyperlink" Target="https://drive.google.com/file/d/1SSPCgM3HP6TioxfHfMpH46KjEK78bbnW/view?usp=drive_link" TargetMode="External"/><Relationship Id="rId281" Type="http://schemas.openxmlformats.org/officeDocument/2006/relationships/hyperlink" Target="https://drive.google.com/file/d/1t_4wc6qsvMaeOUP6f5aVbGrLxW3T9FVW/view?usp=drive_link" TargetMode="External"/><Relationship Id="rId286" Type="http://schemas.openxmlformats.org/officeDocument/2006/relationships/comments" Target="../comments3.xml"/><Relationship Id="rId34" Type="http://schemas.openxmlformats.org/officeDocument/2006/relationships/hyperlink" Target="https://drive.google.com/file/d/1lkdKPxFBgW_ab24RlhUdDEKZFXVX0zhA/view?usp=drive_link" TargetMode="External"/><Relationship Id="rId50" Type="http://schemas.openxmlformats.org/officeDocument/2006/relationships/hyperlink" Target="https://drive.google.com/file/d/1gzvwQ6rXwgjrziTIW3cUBWu7tCL4FkMm/view?usp=drive_link" TargetMode="External"/><Relationship Id="rId55" Type="http://schemas.openxmlformats.org/officeDocument/2006/relationships/hyperlink" Target="https://drive.google.com/file/d/11frHn2NvwrEhOH2XV3Fbex9zesXe1w_S/view?usp=drive_link" TargetMode="External"/><Relationship Id="rId76" Type="http://schemas.openxmlformats.org/officeDocument/2006/relationships/hyperlink" Target="https://drive.google.com/file/d/1JXf6T6c-m7_IW0kFTng84n8vDXXFRAGh/view?usp=drive_link" TargetMode="External"/><Relationship Id="rId97" Type="http://schemas.openxmlformats.org/officeDocument/2006/relationships/hyperlink" Target="https://drive.google.com/file/d/1uHtbn0lSVVMjJwty-vL3mMimL6O02wlj/view?usp=drive_link" TargetMode="External"/><Relationship Id="rId104" Type="http://schemas.openxmlformats.org/officeDocument/2006/relationships/hyperlink" Target="https://drive.google.com/file/d/1W-GjvDlVMKiUNlBsUVem8E19hRJQnOK2/view?usp=drive_link" TargetMode="External"/><Relationship Id="rId120" Type="http://schemas.openxmlformats.org/officeDocument/2006/relationships/hyperlink" Target="https://drive.google.com/file/d/1WEUG3XbfBH6pKDEo8hPUuL8PyDKNdJ_A/view?usp=drive_link" TargetMode="External"/><Relationship Id="rId125" Type="http://schemas.openxmlformats.org/officeDocument/2006/relationships/hyperlink" Target="https://drive.google.com/file/d/1A8t1mhF2Img91B7PvUqgGm2y4rRMqM2f/view?usp=drive_link" TargetMode="External"/><Relationship Id="rId141" Type="http://schemas.openxmlformats.org/officeDocument/2006/relationships/hyperlink" Target="https://drive.google.com/file/d/1THiRDVAcDHCG3wSaF2q6z3CrySgCtWya/view?usp=drive_link" TargetMode="External"/><Relationship Id="rId146" Type="http://schemas.openxmlformats.org/officeDocument/2006/relationships/hyperlink" Target="https://drive.google.com/file/d/1IxogbWuZSeUvPhMPoNlLYgcpfgwmz9Gs/view?usp=drive_link" TargetMode="External"/><Relationship Id="rId167" Type="http://schemas.openxmlformats.org/officeDocument/2006/relationships/hyperlink" Target="https://drive.google.com/file/d/1vj-7TDtd_9NiJTg-PD0CHfAgVHmZcxNk/view?usp=drive_link" TargetMode="External"/><Relationship Id="rId188" Type="http://schemas.openxmlformats.org/officeDocument/2006/relationships/hyperlink" Target="https://drive.google.com/file/d/1LejDy51W7chj4cSmGwkJ5lkQh3OyCxBf/view?usp=sharing" TargetMode="External"/><Relationship Id="rId7" Type="http://schemas.openxmlformats.org/officeDocument/2006/relationships/hyperlink" Target="https://www.figma.com/design/0nUR2v0mzjAhKLNU1UULQi/%E3%83%87%E3%82%B6%E3%82%A4%E3%83%B3?node-id=216-10734&amp;t=dtgcb97OYCMboEpD-0" TargetMode="External"/><Relationship Id="rId71" Type="http://schemas.openxmlformats.org/officeDocument/2006/relationships/hyperlink" Target="https://drive.google.com/file/d/1zoUANbz-mpk8y5Gv6N8M_E0ebP5w2BYY/view?usp=drive_link" TargetMode="External"/><Relationship Id="rId92" Type="http://schemas.openxmlformats.org/officeDocument/2006/relationships/hyperlink" Target="https://drive.google.com/file/d/1BdtpKPtX57h3blmllzH9ZSrSH-5m7AUY/view?usp=drive_link" TargetMode="External"/><Relationship Id="rId162" Type="http://schemas.openxmlformats.org/officeDocument/2006/relationships/hyperlink" Target="https://drive.google.com/file/d/1TcUd4PaNVnSojkRP99LqvoEtMwqsENIp/view?usp=drive_link" TargetMode="External"/><Relationship Id="rId183" Type="http://schemas.openxmlformats.org/officeDocument/2006/relationships/hyperlink" Target="https://drive.google.com/file/d/142jpMLc_vNfTFNGRhqEe6s0qd0WJhoZs/view?usp=drive_link" TargetMode="External"/><Relationship Id="rId213" Type="http://schemas.openxmlformats.org/officeDocument/2006/relationships/hyperlink" Target="https://drive.google.com/file/d/1mGAdwm2TaqW4U238qZviOI-Meg5qlsV4/view?usp=drive_link" TargetMode="External"/><Relationship Id="rId218" Type="http://schemas.openxmlformats.org/officeDocument/2006/relationships/hyperlink" Target="https://drive.google.com/file/d/17Hrt-kymsnZEenwMCIE1WPfKAHYH5bkg/view?usp=drive_link" TargetMode="External"/><Relationship Id="rId234" Type="http://schemas.openxmlformats.org/officeDocument/2006/relationships/hyperlink" Target="https://drive.google.com/file/d/1cUNL6yTGoCKYDe9BP6isYdZt-hvQS_aB/view?usp=drive_link" TargetMode="External"/><Relationship Id="rId239" Type="http://schemas.openxmlformats.org/officeDocument/2006/relationships/hyperlink" Target="https://drive.google.com/file/d/105TTjsZjCBJCWUbCgVQEGbv0snR0ZJce/view?usp=drive_link" TargetMode="External"/><Relationship Id="rId2" Type="http://schemas.openxmlformats.org/officeDocument/2006/relationships/hyperlink" Target="https://drive.google.com/file/d/1Np-0xXFv07wjcW5b0Ya_PLoDpMiPbXEw/view?usp=drive_link" TargetMode="External"/><Relationship Id="rId29" Type="http://schemas.openxmlformats.org/officeDocument/2006/relationships/hyperlink" Target="https://drive.google.com/file/d/1wmHpztkPLRSCUX_6xLv_Tem7fArFEy5h/view?usp=drive_link" TargetMode="External"/><Relationship Id="rId250" Type="http://schemas.openxmlformats.org/officeDocument/2006/relationships/hyperlink" Target="https://drive.google.com/file/d/1FO-Av9YK8Y_LvcRFEHdZWk7dqaVAUuby/view?usp=drive_link" TargetMode="External"/><Relationship Id="rId255" Type="http://schemas.openxmlformats.org/officeDocument/2006/relationships/hyperlink" Target="https://drive.google.com/file/d/1NVF17ssAUCGQipWJHRvfi1HaHKG4oCYB/view?usp=drive_link" TargetMode="External"/><Relationship Id="rId271" Type="http://schemas.openxmlformats.org/officeDocument/2006/relationships/hyperlink" Target="https://drive.google.com/file/d/1Xie4UT2-V4eeq7cfJircJ0NMKebDeegK/view?usp=drive_link" TargetMode="External"/><Relationship Id="rId276" Type="http://schemas.openxmlformats.org/officeDocument/2006/relationships/hyperlink" Target="https://drive.google.com/file/d/161Cle3Uw8bPB9rca6ZBoDWQshJTkKml9/view?usp=drive_link" TargetMode="External"/><Relationship Id="rId24" Type="http://schemas.openxmlformats.org/officeDocument/2006/relationships/hyperlink" Target="https://drive.google.com/file/d/1ZHvpnOqJeQCrZRdWnMhoasSz4mb8FOLg/view?usp=drive_link" TargetMode="External"/><Relationship Id="rId40" Type="http://schemas.openxmlformats.org/officeDocument/2006/relationships/hyperlink" Target="https://drive.google.com/file/d/1BxB6EYS5oZqtE8_tXPwoLtV9XT7Sr6cV/view?usp=drive_link" TargetMode="External"/><Relationship Id="rId45" Type="http://schemas.openxmlformats.org/officeDocument/2006/relationships/hyperlink" Target="https://docs.google.com/spreadsheets/d/1cG3GlJAgWOVOu9aE_nAw0_Gv80A-PvlnFSwDbwV14Xw/edit?gid=0" TargetMode="External"/><Relationship Id="rId66" Type="http://schemas.openxmlformats.org/officeDocument/2006/relationships/hyperlink" Target="https://drive.google.com/file/d/1ndgZUW7flP2kpMpGHW0VM2AAQVGiXTtr/view?usp=drive_link" TargetMode="External"/><Relationship Id="rId87" Type="http://schemas.openxmlformats.org/officeDocument/2006/relationships/hyperlink" Target="https://drive.google.com/file/d/1XpVUDnK4kId3aaaxzQ7uKC2jukoxkG1N/view?usp=drive_link" TargetMode="External"/><Relationship Id="rId110" Type="http://schemas.openxmlformats.org/officeDocument/2006/relationships/hyperlink" Target="https://drive.google.com/file/d/14EErziD8dBW8AxBVRTFB8F2WbWZ2jEzw/view?usp=drive_link" TargetMode="External"/><Relationship Id="rId115" Type="http://schemas.openxmlformats.org/officeDocument/2006/relationships/hyperlink" Target="https://drive.google.com/file/d/1x_zz9d1gySWGIZz7vWZQrBv-UL8qnPYM/view?usp=drive_link" TargetMode="External"/><Relationship Id="rId131" Type="http://schemas.openxmlformats.org/officeDocument/2006/relationships/hyperlink" Target="https://drive.google.com/file/d/1818S-lmZCKa3fvXIooOPiA8Ccey6yJsA/view?usp=drive_link" TargetMode="External"/><Relationship Id="rId136" Type="http://schemas.openxmlformats.org/officeDocument/2006/relationships/hyperlink" Target="https://drive.google.com/file/d/1juRcFAXpjw7syKDsIlylAAlAWE-EDTmk/view?usp=drive_link" TargetMode="External"/><Relationship Id="rId157" Type="http://schemas.openxmlformats.org/officeDocument/2006/relationships/hyperlink" Target="https://drive.google.com/file/d/1SIfk91sGp0yG7YOicIp0l60XopiSWf8e/view?usp=drive_link" TargetMode="External"/><Relationship Id="rId178" Type="http://schemas.openxmlformats.org/officeDocument/2006/relationships/hyperlink" Target="https://drive.google.com/file/d/1qQvK_tf52PvuMCNJZKB7ERosf5CkE4tb/view?usp=drive_link" TargetMode="External"/><Relationship Id="rId61" Type="http://schemas.openxmlformats.org/officeDocument/2006/relationships/hyperlink" Target="https://drive.google.com/file/d/1PjvhK7_xfCGHwTLNFpTrCet2Lc7PSvRh/view?usp=drive_link" TargetMode="External"/><Relationship Id="rId82" Type="http://schemas.openxmlformats.org/officeDocument/2006/relationships/hyperlink" Target="https://drive.google.com/file/d/13StfB5u2bf8c0giEQn-soH50j0x9c2b0/view?usp=drive_link" TargetMode="External"/><Relationship Id="rId152" Type="http://schemas.openxmlformats.org/officeDocument/2006/relationships/hyperlink" Target="https://drive.google.com/file/d/1THiRDVAcDHCG3wSaF2q6z3CrySgCtWya/view?usp=drive_link" TargetMode="External"/><Relationship Id="rId173" Type="http://schemas.openxmlformats.org/officeDocument/2006/relationships/hyperlink" Target="https://drive.google.com/file/d/1fmHSQpflzPCxnRD4UhXagD0OfrJFCQWs/view?usp=drive_link" TargetMode="External"/><Relationship Id="rId194" Type="http://schemas.openxmlformats.org/officeDocument/2006/relationships/hyperlink" Target="https://drive.google.com/file/d/1BAfnJyimJ6MrqLxsAM1j4iDbddywHXqm/view?usp=drive_link" TargetMode="External"/><Relationship Id="rId199" Type="http://schemas.openxmlformats.org/officeDocument/2006/relationships/hyperlink" Target="https://drive.google.com/file/d/1DwG6NwEcHo335_5zqCL9H1JP821yza89/view?usp=drive_link" TargetMode="External"/><Relationship Id="rId203" Type="http://schemas.openxmlformats.org/officeDocument/2006/relationships/hyperlink" Target="http://selected_site_location.id/" TargetMode="External"/><Relationship Id="rId208" Type="http://schemas.openxmlformats.org/officeDocument/2006/relationships/hyperlink" Target="https://drive.google.com/file/d/1QaSc-cEEG5nG_uxgGXXNjFkSt9nPY320/view?usp=drive_link" TargetMode="External"/><Relationship Id="rId229" Type="http://schemas.openxmlformats.org/officeDocument/2006/relationships/hyperlink" Target="https://drive.google.com/file/d/1nv_ZJsndGgpgdMOuvePF84tc_YQdt2gb/view?usp=drive_link" TargetMode="External"/><Relationship Id="rId19" Type="http://schemas.openxmlformats.org/officeDocument/2006/relationships/hyperlink" Target="https://drive.google.com/file/d/13Cq2otiQin5yaiDSwV4M1WylWX30_Ka9/view?usp=drive_link" TargetMode="External"/><Relationship Id="rId224" Type="http://schemas.openxmlformats.org/officeDocument/2006/relationships/hyperlink" Target="https://drive.google.com/file/d/1HEiyj3M7wrsoOpio1NZ2AaWJpJLBzQEt/view?usp=drive_link" TargetMode="External"/><Relationship Id="rId240" Type="http://schemas.openxmlformats.org/officeDocument/2006/relationships/hyperlink" Target="https://drive.google.com/file/d/1VqyUErOIdouR3Y21FM350MGe1zAHUk2w/view?usp=drive_link" TargetMode="External"/><Relationship Id="rId245" Type="http://schemas.openxmlformats.org/officeDocument/2006/relationships/hyperlink" Target="https://drive.google.com/file/d/1uGKSzuo7r1uPXNWlM1fCCD8BLMaUrgSH/view?usp=drive_link" TargetMode="External"/><Relationship Id="rId261" Type="http://schemas.openxmlformats.org/officeDocument/2006/relationships/hyperlink" Target="https://drive.google.com/file/d/1k0m--EyZ6no-7kXxiS8C_RF0MyHDCIEw/view?usp=drive_link" TargetMode="External"/><Relationship Id="rId266" Type="http://schemas.openxmlformats.org/officeDocument/2006/relationships/hyperlink" Target="https://drive.google.com/file/d/1Wv806XDBEggnlgEEV-FTTnf4dUoPaw0D/view?usp=drive_link" TargetMode="External"/><Relationship Id="rId287" Type="http://schemas.microsoft.com/office/2017/10/relationships/threadedComment" Target="../threadedComments/threadedComment3.xml"/><Relationship Id="rId14" Type="http://schemas.openxmlformats.org/officeDocument/2006/relationships/hyperlink" Target="https://drive.google.com/file/d/1Rf22swL-61XeElYWoLkJ9Nj-_PCvYDzH/view?usp=drive_link" TargetMode="External"/><Relationship Id="rId30" Type="http://schemas.openxmlformats.org/officeDocument/2006/relationships/hyperlink" Target="https://drive.google.com/file/d/1MgsMi7a9HtUFJ2yX_vFIM8vzC6TgXaRP/view?usp=drive_link" TargetMode="External"/><Relationship Id="rId35" Type="http://schemas.openxmlformats.org/officeDocument/2006/relationships/hyperlink" Target="http://issue.site_location.name/" TargetMode="External"/><Relationship Id="rId56" Type="http://schemas.openxmlformats.org/officeDocument/2006/relationships/hyperlink" Target="https://drive.google.com/file/d/18Bcd9nNdrkKhFlhLs1UAlV51-MbmfLoa/view?usp=drive_link" TargetMode="External"/><Relationship Id="rId77" Type="http://schemas.openxmlformats.org/officeDocument/2006/relationships/hyperlink" Target="https://drive.google.com/file/d/1u53bMnrjcDSe1uDkYZtctDGKZAEG8gOx/view?usp=drive_link" TargetMode="External"/><Relationship Id="rId100" Type="http://schemas.openxmlformats.org/officeDocument/2006/relationships/hyperlink" Target="https://drive.google.com/file/d/11JctO0p9xlse1jJovhdkjMrcF_ckFoKv/view?usp=drive_link" TargetMode="External"/><Relationship Id="rId105" Type="http://schemas.openxmlformats.org/officeDocument/2006/relationships/hyperlink" Target="https://drive.google.com/file/d/1SQkPeCS9iM8XHfa3OYg53Ox5lBJDT5Bj/view?usp=drive_link" TargetMode="External"/><Relationship Id="rId126" Type="http://schemas.openxmlformats.org/officeDocument/2006/relationships/hyperlink" Target="https://drive.google.com/file/d/1QA3tufQ6g-IQKOV68AfH_xtbLgCUZ2TR/view?usp=drive_link" TargetMode="External"/><Relationship Id="rId147" Type="http://schemas.openxmlformats.org/officeDocument/2006/relationships/hyperlink" Target="https://drive.google.com/file/d/1THiRDVAcDHCG3wSaF2q6z3CrySgCtWya/view?usp=drive_link" TargetMode="External"/><Relationship Id="rId168" Type="http://schemas.openxmlformats.org/officeDocument/2006/relationships/hyperlink" Target="https://drive.google.com/file/d/1vB1OofEJVBY39xCBwZc8j7h1fCWT5JK-/view?usp=drive_link" TargetMode="External"/><Relationship Id="rId282" Type="http://schemas.openxmlformats.org/officeDocument/2006/relationships/hyperlink" Target="https://drive.google.com/file/d/1XB5nf4Igs7Po57gdZSYxYfIZEijjisf3/view?usp=drive_link" TargetMode="External"/><Relationship Id="rId8" Type="http://schemas.openxmlformats.org/officeDocument/2006/relationships/hyperlink" Target="https://drive.google.com/file/d/1CcSFc-ZXhtODfRHjVRdxr5gej1Owjb4l/view?usp=drive_link" TargetMode="External"/><Relationship Id="rId51" Type="http://schemas.openxmlformats.org/officeDocument/2006/relationships/hyperlink" Target="https://drive.google.com/file/d/130jsF92A5ssqcZ0-Bugk_b5P3cDjr5uI/view?usp=drive_link" TargetMode="External"/><Relationship Id="rId72" Type="http://schemas.openxmlformats.org/officeDocument/2006/relationships/hyperlink" Target="https://drive.google.com/file/d/1x_LsCvN21LxEJ_7mWOOwMyReq6-HwWue/view?usp=drive_link" TargetMode="External"/><Relationship Id="rId93" Type="http://schemas.openxmlformats.org/officeDocument/2006/relationships/hyperlink" Target="https://drive.google.com/file/d/12ERtVHkxMFNynVRCk8172btxysiUYZmi/view?usp=drive_link" TargetMode="External"/><Relationship Id="rId98" Type="http://schemas.openxmlformats.org/officeDocument/2006/relationships/hyperlink" Target="https://drive.google.com/file/d/1okCIxO6QrmiEIvUAE01qv8qyVLNWoS7Y/view?usp=drive_link" TargetMode="External"/><Relationship Id="rId121" Type="http://schemas.openxmlformats.org/officeDocument/2006/relationships/hyperlink" Target="https://drive.google.com/file/d/1_-OXmQ4a4LXqb_ckxYpRoDkM1TTbEqY5/view?usp=drive_link" TargetMode="External"/><Relationship Id="rId142" Type="http://schemas.openxmlformats.org/officeDocument/2006/relationships/hyperlink" Target="https://drive.google.com/file/d/1K6_3Dv3hILV8E7DUbf_7qzzuCS4ZGfCG/view?usp=drive_link" TargetMode="External"/><Relationship Id="rId163" Type="http://schemas.openxmlformats.org/officeDocument/2006/relationships/hyperlink" Target="https://drive.google.com/file/d/1Q8-ppYs_j-T-yKfwg-cxCiY0sRQ3j7SA/view?usp=drive_link" TargetMode="External"/><Relationship Id="rId184" Type="http://schemas.openxmlformats.org/officeDocument/2006/relationships/hyperlink" Target="https://drive.google.com/file/d/1HLSiSVF2xz4SbupwWCJjsQQ7w7T5XgtL/view?usp=drive_link" TargetMode="External"/><Relationship Id="rId189" Type="http://schemas.openxmlformats.org/officeDocument/2006/relationships/hyperlink" Target="https://drive.google.com/file/d/1X9eUVbraJzYr4K6PPzC9i8R5WbMlURGy/view?usp=drive_link" TargetMode="External"/><Relationship Id="rId219" Type="http://schemas.openxmlformats.org/officeDocument/2006/relationships/hyperlink" Target="https://drive.google.com/file/d/1se82EPL7HsdFEfOfcN2KX4js3Z5_Jqhq/view?usp=drive_link" TargetMode="External"/><Relationship Id="rId3" Type="http://schemas.openxmlformats.org/officeDocument/2006/relationships/hyperlink" Target="https://drive.google.com/file/d/1wSsauSHYemIKbZYWWReifDbL284OsUR9/view?usp=drive_link" TargetMode="External"/><Relationship Id="rId214" Type="http://schemas.openxmlformats.org/officeDocument/2006/relationships/hyperlink" Target="https://drive.google.com/file/d/1_lSSIei36X7IrpMr27sYhgp-v5FI4NRm/view?usp=drive_link" TargetMode="External"/><Relationship Id="rId230" Type="http://schemas.openxmlformats.org/officeDocument/2006/relationships/hyperlink" Target="https://drive.google.com/file/d/1TMA294-vHPN-f1mdbGVTQyp_q16OnNGy/view?usp=drive_link" TargetMode="External"/><Relationship Id="rId235" Type="http://schemas.openxmlformats.org/officeDocument/2006/relationships/hyperlink" Target="https://drive.google.com/file/d/1xc24AfEFZSbG-pOKDZMijmqC8jXdfiPe/view?usp=drive_link" TargetMode="External"/><Relationship Id="rId251" Type="http://schemas.openxmlformats.org/officeDocument/2006/relationships/hyperlink" Target="https://drive.google.com/file/d/1kajuBvcZYgNkblRjMbO6-06tRQ9Qc5xL/view?usp=drive_link" TargetMode="External"/><Relationship Id="rId256" Type="http://schemas.openxmlformats.org/officeDocument/2006/relationships/hyperlink" Target="https://drive.google.com/file/d/10nOZn43Qfh0_Ovk0GfWLzL10qLghtrMz/view?usp=drive_link" TargetMode="External"/><Relationship Id="rId277" Type="http://schemas.openxmlformats.org/officeDocument/2006/relationships/hyperlink" Target="https://drive.google.com/file/d/1jg0kNXe9D7WIdtYv0svl-wCHm6ywux3c/view?usp=drive_link" TargetMode="External"/><Relationship Id="rId25" Type="http://schemas.openxmlformats.org/officeDocument/2006/relationships/hyperlink" Target="https://drive.google.com/file/d/1yjne8XJdHtmmwkWtxR14DXC1P_277EDz/view?usp=drive_link" TargetMode="External"/><Relationship Id="rId46" Type="http://schemas.openxmlformats.org/officeDocument/2006/relationships/hyperlink" Target="https://drive.google.com/file/d/1tC5Vqmwtd1vhRyh0uCWQa19vt0IZ_qPR/view?usp=drive_link" TargetMode="External"/><Relationship Id="rId67" Type="http://schemas.openxmlformats.org/officeDocument/2006/relationships/hyperlink" Target="https://rezil-electrical.atlassian.net/browse/REZIL-1245" TargetMode="External"/><Relationship Id="rId116" Type="http://schemas.openxmlformats.org/officeDocument/2006/relationships/hyperlink" Target="https://drive.google.com/file/d/1BmnDac6KpWdy_-n1n5iarDLc39GxjOzP/view?usp=drive_link" TargetMode="External"/><Relationship Id="rId137" Type="http://schemas.openxmlformats.org/officeDocument/2006/relationships/hyperlink" Target="https://drive.google.com/file/d/1MKKB8-qr7WniaK9ZaWOoTABhczzHpvkM/view?usp=drive_link" TargetMode="External"/><Relationship Id="rId158" Type="http://schemas.openxmlformats.org/officeDocument/2006/relationships/hyperlink" Target="https://drive.google.com/file/d/1-oiY65mWnl_MxkmqNvzmKWsRSgeyL06o/view?usp=drive_link" TargetMode="External"/><Relationship Id="rId272" Type="http://schemas.openxmlformats.org/officeDocument/2006/relationships/hyperlink" Target="https://www.figma.com/design/0nUR2v0mzjAhKLNU1UULQi/%E3%83%87%E3%82%B6%E3%82%A4%E3%83%B3?node-id=3261-41725&amp;t=JM0ku91fFXsM3e2t-4" TargetMode="External"/><Relationship Id="rId20" Type="http://schemas.openxmlformats.org/officeDocument/2006/relationships/hyperlink" Target="https://drive.google.com/file/d/1WG8-Z7jcywFHKsOLcdA2BNVK4n3m2GWq/view?usp=drive_link" TargetMode="External"/><Relationship Id="rId41" Type="http://schemas.openxmlformats.org/officeDocument/2006/relationships/hyperlink" Target="https://drive.google.com/file/d/1luvBNCAwiOVqzlicYIR83QsDUJ8yetRI/view?usp=drive_link" TargetMode="External"/><Relationship Id="rId62" Type="http://schemas.openxmlformats.org/officeDocument/2006/relationships/hyperlink" Target="https://drive.google.com/file/d/1sGTb2FM0ZeYCHs7auVUv7yHDZIRQea_-/view?usp=drive_link" TargetMode="External"/><Relationship Id="rId83" Type="http://schemas.openxmlformats.org/officeDocument/2006/relationships/hyperlink" Target="https://drive.google.com/file/d/1T1kQYNMDqia25rDB34Qh9bOEFAhBao2H/view?usp=drive_link" TargetMode="External"/><Relationship Id="rId88" Type="http://schemas.openxmlformats.org/officeDocument/2006/relationships/hyperlink" Target="https://drive.google.com/file/d/1qKRqEgFs_C-wP0sk6Adl_aM0sM6pbXTl/view?usp=drive_link" TargetMode="External"/><Relationship Id="rId111" Type="http://schemas.openxmlformats.org/officeDocument/2006/relationships/hyperlink" Target="https://drive.google.com/file/d/1wz0ACZicW7mDRFQ_rnplR_7KZWF1Yv8S/view?usp=drive_link" TargetMode="External"/><Relationship Id="rId132" Type="http://schemas.openxmlformats.org/officeDocument/2006/relationships/hyperlink" Target="https://drive.google.com/file/d/1DfccJySkaXFS2oQAbVmtraH9q0wDRabh/view?usp=drive_link" TargetMode="External"/><Relationship Id="rId153" Type="http://schemas.openxmlformats.org/officeDocument/2006/relationships/hyperlink" Target="https://drive.google.com/file/d/1me35Ty12FrPGaWiRJxOUM8d0eVxI2BEw/view?usp=drive_link" TargetMode="External"/><Relationship Id="rId174" Type="http://schemas.openxmlformats.org/officeDocument/2006/relationships/hyperlink" Target="https://drive.google.com/file/d/1oU8uNN3KKeDwkH5eiTnnOT5CEp0tie5T/view?usp=drive_link" TargetMode="External"/><Relationship Id="rId179" Type="http://schemas.openxmlformats.org/officeDocument/2006/relationships/hyperlink" Target="https://drive.google.com/file/d/1HcYv7DTHiVgDmg_DFRSe_mTBt7KYf2aS/view?usp=drive_link" TargetMode="External"/><Relationship Id="rId195" Type="http://schemas.openxmlformats.org/officeDocument/2006/relationships/hyperlink" Target="https://drive.google.com/file/d/1erlFXecr0o-Gw9AE2muHwak68ujkfSs0/view?usp=drive_link" TargetMode="External"/><Relationship Id="rId209" Type="http://schemas.openxmlformats.org/officeDocument/2006/relationships/hyperlink" Target="https://drive.google.com/file/d/1jMwX_IxQnZeo1FM8v5hvzLg_TY4x9KG7/view?usp=drive_link" TargetMode="External"/><Relationship Id="rId190" Type="http://schemas.openxmlformats.org/officeDocument/2006/relationships/hyperlink" Target="https://www.figma.com/design/0nUR2v0mzjAhKLNU1UULQi/%E3%83%87%E3%82%B6%E3%82%A4%E3%83%B3?node-id=216-10734&amp;t=dtgcb97OYCMboEpD-0" TargetMode="External"/><Relationship Id="rId204" Type="http://schemas.openxmlformats.org/officeDocument/2006/relationships/hyperlink" Target="https://drive.google.com/file/d/1y0bWM5ywWnRKrBleasE-RwpiiEmJ1tLL/view?usp=drive_link" TargetMode="External"/><Relationship Id="rId220" Type="http://schemas.openxmlformats.org/officeDocument/2006/relationships/hyperlink" Target="https://drive.google.com/file/d/1_FXVgScXLsdJencpHHuWd4ZuVUsdQ2Uy/view?usp=drive_link" TargetMode="External"/><Relationship Id="rId225" Type="http://schemas.openxmlformats.org/officeDocument/2006/relationships/hyperlink" Target="https://drive.google.com/file/d/15xWj5cvtKSJUU7CvJUVY_nDtS4rTUnPo/view?usp=drive_link" TargetMode="External"/><Relationship Id="rId241" Type="http://schemas.openxmlformats.org/officeDocument/2006/relationships/hyperlink" Target="https://drive.google.com/file/d/1mGYTua_NdR5R8nUX3xEYKXpGCj1YfR9o/view?usp=drive_link" TargetMode="External"/><Relationship Id="rId246" Type="http://schemas.openxmlformats.org/officeDocument/2006/relationships/hyperlink" Target="https://drive.google.com/file/d/12oxXaSKlexfH1ILx_L2AnW-eTHkoyaat/view?usp=drive_link" TargetMode="External"/><Relationship Id="rId267" Type="http://schemas.openxmlformats.org/officeDocument/2006/relationships/hyperlink" Target="https://drive.google.com/file/d/1zMK-8iOkd5VZ943eNroMO21K7fs1gSi1/view?usp=drive_link" TargetMode="External"/><Relationship Id="rId15" Type="http://schemas.openxmlformats.org/officeDocument/2006/relationships/hyperlink" Target="https://drive.google.com/file/d/1NXZekc_XseYetDDPBAGdrAx-U9AeZbWj/view?usp=drive_link" TargetMode="External"/><Relationship Id="rId36" Type="http://schemas.openxmlformats.org/officeDocument/2006/relationships/hyperlink" Target="https://drive.google.com/file/d/1kXS6XCJ_LlIEG2pMfEHYYd9kKHn52o47/view?usp=drive_link" TargetMode="External"/><Relationship Id="rId57" Type="http://schemas.openxmlformats.org/officeDocument/2006/relationships/hyperlink" Target="https://drive.google.com/file/d/1LHqrZe-fLCDCodHAA10e6Dehe6iqf38x/view?usp=drive_link" TargetMode="External"/><Relationship Id="rId106" Type="http://schemas.openxmlformats.org/officeDocument/2006/relationships/hyperlink" Target="https://docs.google.com/spreadsheets/d/1cG3GlJAgWOVOu9aE_nAw0_Gv80A-PvlnFSwDbwV14Xw/edit?gid=0" TargetMode="External"/><Relationship Id="rId127" Type="http://schemas.openxmlformats.org/officeDocument/2006/relationships/hyperlink" Target="https://drive.google.com/file/d/1Mybp_YX-u5BStDrQTBUBGSifgG9cUOuR/view?usp=drive_link" TargetMode="External"/><Relationship Id="rId262" Type="http://schemas.openxmlformats.org/officeDocument/2006/relationships/hyperlink" Target="https://drive.google.com/file/d/1YkE19t8DnM2X0jqt0zcwckmsk5dcW3u0/view?usp=drive_link" TargetMode="External"/><Relationship Id="rId283" Type="http://schemas.openxmlformats.org/officeDocument/2006/relationships/hyperlink" Target="https://drive.google.com/file/d/1DPMmgzEVy3Yu295XqJDzW-WAHBvGBhl9/view?usp=drive_link" TargetMode="External"/><Relationship Id="rId10" Type="http://schemas.openxmlformats.org/officeDocument/2006/relationships/hyperlink" Target="https://drive.google.com/file/d/1e4vhmx7TUDzEBsXYp4NhhCjH6VcJ9_ot/view?usp=drive_link" TargetMode="External"/><Relationship Id="rId31" Type="http://schemas.openxmlformats.org/officeDocument/2006/relationships/hyperlink" Target="https://drive.google.com/file/d/15lGCF2Himf-ME8vHWJSvKSAbZqP_5GUA/view?usp=drive_link" TargetMode="External"/><Relationship Id="rId52" Type="http://schemas.openxmlformats.org/officeDocument/2006/relationships/hyperlink" Target="https://drive.google.com/file/d/1bc-EuSPMTaZjpl_hiHtpJZofgpCuUtr0/view?usp=drive_link" TargetMode="External"/><Relationship Id="rId73" Type="http://schemas.openxmlformats.org/officeDocument/2006/relationships/hyperlink" Target="https://drive.google.com/file/d/1SANaORwuYOd6nticK2dBSKxFrdTEUTRs/view?usp=drive_link" TargetMode="External"/><Relationship Id="rId78" Type="http://schemas.openxmlformats.org/officeDocument/2006/relationships/hyperlink" Target="https://drive.google.com/file/d/17NHX0uTml1D03MUGpahwLmOci0sov4hI/view?usp=drive_link" TargetMode="External"/><Relationship Id="rId94" Type="http://schemas.openxmlformats.org/officeDocument/2006/relationships/hyperlink" Target="https://drive.google.com/file/d/1Xv8cYxk-CEzMYg7Jao0ImkuVLsOBt9ws/view?usp=drive_link" TargetMode="External"/><Relationship Id="rId99" Type="http://schemas.openxmlformats.org/officeDocument/2006/relationships/hyperlink" Target="https://drive.google.com/file/d/1NudSnJojCU_CbIQgFLivS6XBkTfoQ0yQ/view?usp=drive_link" TargetMode="External"/><Relationship Id="rId101" Type="http://schemas.openxmlformats.org/officeDocument/2006/relationships/hyperlink" Target="https://drive.google.com/file/d/1-kENrYUFli78qVGJC5kC7AzKYZiN_pN_/view?usp=drive_link" TargetMode="External"/><Relationship Id="rId122" Type="http://schemas.openxmlformats.org/officeDocument/2006/relationships/hyperlink" Target="https://www.figma.com/design/0nUR2v0mzjAhKLNU1UULQi/%E3%83%87%E3%82%B6%E3%82%A4%E3%83%B3?node-id=216-10734&amp;t=dtgcb97OYCMboEpD-0" TargetMode="External"/><Relationship Id="rId143" Type="http://schemas.openxmlformats.org/officeDocument/2006/relationships/hyperlink" Target="https://drive.google.com/file/d/1818S-lmZCKa3fvXIooOPiA8Ccey6yJsA/view?usp=drive_link" TargetMode="External"/><Relationship Id="rId148" Type="http://schemas.openxmlformats.org/officeDocument/2006/relationships/hyperlink" Target="https://drive.google.com/file/d/1ZU8s1CmIzLODytesxFvLdg87zwNjB3j4/view?usp=drive_link" TargetMode="External"/><Relationship Id="rId164" Type="http://schemas.openxmlformats.org/officeDocument/2006/relationships/hyperlink" Target="https://drive.google.com/file/d/1o4N4DXG9TbnlZeNRhFNgj9VSyraDS01E/view?usp=drive_link" TargetMode="External"/><Relationship Id="rId169" Type="http://schemas.openxmlformats.org/officeDocument/2006/relationships/hyperlink" Target="https://drive.google.com/file/d/1vSfR0jJa8FC322TkJElgqhNdV4Z61i0T/view?usp=drive_link" TargetMode="External"/><Relationship Id="rId185" Type="http://schemas.openxmlformats.org/officeDocument/2006/relationships/hyperlink" Target="https://drive.google.com/file/d/1fyDbO_sbIxyLd3fz-A7PNArcVeS0lk1C/view?usp=drive_link" TargetMode="External"/><Relationship Id="rId4" Type="http://schemas.openxmlformats.org/officeDocument/2006/relationships/hyperlink" Target="https://drive.google.com/file/d/1_0lX38-asE10Xec5YbL9EEYFpKNZazyC/view?usp=drive_link" TargetMode="External"/><Relationship Id="rId9" Type="http://schemas.openxmlformats.org/officeDocument/2006/relationships/hyperlink" Target="https://drive.google.com/file/d/1zSuznjUjP2PM5bphqafJXDoeOgsmM2YJ/view?usp=drive_link" TargetMode="External"/><Relationship Id="rId180" Type="http://schemas.openxmlformats.org/officeDocument/2006/relationships/hyperlink" Target="https://drive.google.com/file/d/1VOqBj4VEllnb-0IH5i3zqvj1JbD58lJM/view?usp=drive_link" TargetMode="External"/><Relationship Id="rId210" Type="http://schemas.openxmlformats.org/officeDocument/2006/relationships/hyperlink" Target="https://drive.google.com/file/d/1l8ZTTqeQVMfDZp306DwGzmrTyCrt8g49/view?usp=drive_link" TargetMode="External"/><Relationship Id="rId215" Type="http://schemas.openxmlformats.org/officeDocument/2006/relationships/hyperlink" Target="https://drive.google.com/file/d/1h9dYO1KoAiF2bXraouM0xDDFPmcRrmZG/view?usp=drive_link" TargetMode="External"/><Relationship Id="rId236" Type="http://schemas.openxmlformats.org/officeDocument/2006/relationships/hyperlink" Target="https://drive.google.com/file/d/128rKwTB0v0LplnJiZSyRLC-cCmFeedCy/view?usp=drive_link" TargetMode="External"/><Relationship Id="rId257" Type="http://schemas.openxmlformats.org/officeDocument/2006/relationships/hyperlink" Target="https://drive.google.com/file/d/14YkAsLNvM7n4QEX25NtrHlnaZeuJbl6K/view?usp=drive_link" TargetMode="External"/><Relationship Id="rId278" Type="http://schemas.openxmlformats.org/officeDocument/2006/relationships/hyperlink" Target="https://drive.google.com/file/d/12cKJzDB7RRWMvINiBfAZBGmmBMA3xmT4/view?usp=drive_link" TargetMode="External"/><Relationship Id="rId26" Type="http://schemas.openxmlformats.org/officeDocument/2006/relationships/hyperlink" Target="http://issue_attachment.id/" TargetMode="External"/><Relationship Id="rId231" Type="http://schemas.openxmlformats.org/officeDocument/2006/relationships/hyperlink" Target="https://drive.google.com/file/d/1Yyu1AMA4WzJ3xtD5G5m2wQBy8f8RQtki/view?usp=drive_link" TargetMode="External"/><Relationship Id="rId252" Type="http://schemas.openxmlformats.org/officeDocument/2006/relationships/hyperlink" Target="https://drive.google.com/file/d/1QjshQofmnyvYOSm-C-1csmm405gqT3Re/view?usp=drive_link" TargetMode="External"/><Relationship Id="rId273" Type="http://schemas.openxmlformats.org/officeDocument/2006/relationships/hyperlink" Target="https://drive.google.com/file/d/148C4_VwbX2C-BQv59R-ImLMo51O-K_qZ/view?usp=drive_link" TargetMode="External"/><Relationship Id="rId47" Type="http://schemas.openxmlformats.org/officeDocument/2006/relationships/hyperlink" Target="https://drive.google.com/file/d/1VevOqdlx8U7Q4n_6z5OzLbRchjgA0ivd/view?usp=drive_link" TargetMode="External"/><Relationship Id="rId68" Type="http://schemas.openxmlformats.org/officeDocument/2006/relationships/hyperlink" Target="https://drive.google.com/file/d/1bnuGDsHtygcuZOVOiiWoTKFnJ6kIT0SR/view?usp=drive_link" TargetMode="External"/><Relationship Id="rId89" Type="http://schemas.openxmlformats.org/officeDocument/2006/relationships/hyperlink" Target="https://drive.google.com/file/d/1gQCTzXlZ4XrxAx-WJETX1E3U0RBZnx0S/view?usp=drive_link" TargetMode="External"/><Relationship Id="rId112" Type="http://schemas.openxmlformats.org/officeDocument/2006/relationships/hyperlink" Target="https://docs.google.com/spreadsheets/d/1cG3GlJAgWOVOu9aE_nAw0_Gv80A-PvlnFSwDbwV14Xw/edit?gid=0" TargetMode="External"/><Relationship Id="rId133" Type="http://schemas.openxmlformats.org/officeDocument/2006/relationships/hyperlink" Target="https://drive.google.com/file/d/1vAP1Nq-GNN2vHu97bxA4rnN7m7ubirEV/view?usp=drive_link" TargetMode="External"/><Relationship Id="rId154" Type="http://schemas.openxmlformats.org/officeDocument/2006/relationships/hyperlink" Target="https://drive.google.com/file/d/10EhXFgVCPZsK-TsF4HJlXoagnovKf1fM/view?usp=drive_link" TargetMode="External"/><Relationship Id="rId175" Type="http://schemas.openxmlformats.org/officeDocument/2006/relationships/hyperlink" Target="https://drive.google.com/file/d/1qf-8sv9Q1sHrAjw8FG3r-nR0WKHdRAy3/view?usp=drive_link" TargetMode="External"/><Relationship Id="rId196" Type="http://schemas.openxmlformats.org/officeDocument/2006/relationships/hyperlink" Target="https://drive.google.com/file/d/19OT1myJLPRdVawcIxCWAfADteV2Zq14M/view?usp=drive_link" TargetMode="External"/><Relationship Id="rId200" Type="http://schemas.openxmlformats.org/officeDocument/2006/relationships/hyperlink" Target="https://drive.google.com/file/d/1aMQx1Rjv-MSc7SLyD8YZox22pIp8xF4D/view?usp=drive_link" TargetMode="External"/><Relationship Id="rId16" Type="http://schemas.openxmlformats.org/officeDocument/2006/relationships/hyperlink" Target="https://drive.google.com/file/d/1RuNhqkjMmDfYMmuLEBcew5_ACfKWoorX/view?usp=drive_link" TargetMode="External"/><Relationship Id="rId221" Type="http://schemas.openxmlformats.org/officeDocument/2006/relationships/hyperlink" Target="https://drive.google.com/file/d/1UVHZbGhIETS96YJv4pSv9qd3SMP2VrBh/view?usp=drive_link" TargetMode="External"/><Relationship Id="rId242" Type="http://schemas.openxmlformats.org/officeDocument/2006/relationships/hyperlink" Target="https://drive.google.com/file/d/1Wf3qqVLMlmYfdlkLjYOgHC6_3bYe4die/view?usp=drive_link" TargetMode="External"/><Relationship Id="rId263" Type="http://schemas.openxmlformats.org/officeDocument/2006/relationships/hyperlink" Target="https://drive.google.com/file/d/1jT2Cfnwdm4XozzTYv5IRZZyoytjbDO0p/view?usp=drive_link" TargetMode="External"/><Relationship Id="rId284" Type="http://schemas.openxmlformats.org/officeDocument/2006/relationships/drawing" Target="../drawings/drawing2.xml"/><Relationship Id="rId37" Type="http://schemas.openxmlformats.org/officeDocument/2006/relationships/hyperlink" Target="https://rezil-electrical.atlassian.net/browse/REZIL-1249" TargetMode="External"/><Relationship Id="rId58" Type="http://schemas.openxmlformats.org/officeDocument/2006/relationships/hyperlink" Target="https://drive.google.com/file/d/1zTkOHqLRLzpDuLUp67wO8Yb-fShMxmBZ/view?usp=drive_link" TargetMode="External"/><Relationship Id="rId79" Type="http://schemas.openxmlformats.org/officeDocument/2006/relationships/hyperlink" Target="https://rezil-electrical.atlassian.net/browse/REZIL-1251" TargetMode="External"/><Relationship Id="rId102" Type="http://schemas.openxmlformats.org/officeDocument/2006/relationships/hyperlink" Target="https://drive.google.com/file/d/1NgL5sAOvCc3pTNTpd8NH5tL9xtArycAa/view?usp=drive_link" TargetMode="External"/><Relationship Id="rId123" Type="http://schemas.openxmlformats.org/officeDocument/2006/relationships/hyperlink" Target="https://drive.google.com/file/d/1vV8Ftstc6H3bzxZjcfmcEH3C9_8Tqs3A/view?usp=drive_link" TargetMode="External"/><Relationship Id="rId144" Type="http://schemas.openxmlformats.org/officeDocument/2006/relationships/hyperlink" Target="https://drive.google.com/file/d/1BIk0cCZxpzYDgjpVadlNsP-7qY-lq1Eo/view?usp=drive_link" TargetMode="External"/><Relationship Id="rId90" Type="http://schemas.openxmlformats.org/officeDocument/2006/relationships/hyperlink" Target="https://drive.google.com/file/d/1c0N4DXn0lzFAjH-fhHwN9LtAFZOkgmBT/view?usp=drive_link" TargetMode="External"/><Relationship Id="rId165" Type="http://schemas.openxmlformats.org/officeDocument/2006/relationships/hyperlink" Target="https://drive.google.com/file/d/1qXpjxp6XwwNRA6-o-2Uih68kMTZAdku-/view?usp=drive_link" TargetMode="External"/><Relationship Id="rId186" Type="http://schemas.openxmlformats.org/officeDocument/2006/relationships/hyperlink" Target="https://drive.google.com/file/d/1npwu0SpemtppOSYjDxekRomN9FwLFTuo/view?usp=drive_link" TargetMode="External"/><Relationship Id="rId211" Type="http://schemas.openxmlformats.org/officeDocument/2006/relationships/hyperlink" Target="https://drive.google.com/file/d/1j_otu8UUmG3MV6Vih64RRYd3azeOUECM/view?usp=drive_link" TargetMode="External"/><Relationship Id="rId232" Type="http://schemas.openxmlformats.org/officeDocument/2006/relationships/hyperlink" Target="https://drive.google.com/file/d/1mq0OBn7nF8uKLOgfm4syh6IZS9YWar3L/view?usp=drive_link" TargetMode="External"/><Relationship Id="rId253" Type="http://schemas.openxmlformats.org/officeDocument/2006/relationships/hyperlink" Target="https://drive.google.com/file/d/1cE2kO7IlKer2jPtFpXOzJqAIjM60h-e2/view?usp=drive_link" TargetMode="External"/><Relationship Id="rId274" Type="http://schemas.openxmlformats.org/officeDocument/2006/relationships/hyperlink" Target="https://drive.google.com/file/d/16LVd5LCI1rVoLrvL0MjI9qbGvDf8s2u7/view?usp=drive_link" TargetMode="External"/><Relationship Id="rId27" Type="http://schemas.openxmlformats.org/officeDocument/2006/relationships/hyperlink" Target="https://drive.google.com/file/d/19tbevTtfwXxIJNu_fdAg9CldokXsKIHh/view?usp=drive_link" TargetMode="External"/><Relationship Id="rId48" Type="http://schemas.openxmlformats.org/officeDocument/2006/relationships/hyperlink" Target="https://drive.google.com/file/d/16jSf2dNcQZW_LzrOxVO6Yjz2z1wDKGbO/view?usp=drive_link" TargetMode="External"/><Relationship Id="rId69" Type="http://schemas.openxmlformats.org/officeDocument/2006/relationships/hyperlink" Target="https://drive.google.com/file/d/1EM5rSx4FLSKF8oj9ynZ71Tl13T6tH6X0/view?usp=drive_link" TargetMode="External"/><Relationship Id="rId113" Type="http://schemas.openxmlformats.org/officeDocument/2006/relationships/hyperlink" Target="https://drive.google.com/file/d/1FadEygNdVBEvaMJj67evEVANuY5fxsUn/view?usp=drive_link" TargetMode="External"/><Relationship Id="rId134" Type="http://schemas.openxmlformats.org/officeDocument/2006/relationships/hyperlink" Target="https://drive.google.com/file/d/1THiRDVAcDHCG3wSaF2q6z3CrySgCtWya/view?usp=drive_link" TargetMode="External"/><Relationship Id="rId80" Type="http://schemas.openxmlformats.org/officeDocument/2006/relationships/hyperlink" Target="https://drive.google.com/file/d/1AN2kj2WHHhtL-fGMyiB4kU6JQqkqG7Xx/view?usp=drive_link" TargetMode="External"/><Relationship Id="rId155" Type="http://schemas.openxmlformats.org/officeDocument/2006/relationships/hyperlink" Target="https://drive.google.com/file/d/1THiRDVAcDHCG3wSaF2q6z3CrySgCtWya/view?usp=drive_link" TargetMode="External"/><Relationship Id="rId176" Type="http://schemas.openxmlformats.org/officeDocument/2006/relationships/hyperlink" Target="https://drive.google.com/file/d/1yZM-9wthHKMe5hz0B2qcQIdWNTTtN54M/view?usp=drive_link" TargetMode="External"/><Relationship Id="rId197" Type="http://schemas.openxmlformats.org/officeDocument/2006/relationships/hyperlink" Target="https://drive.google.com/file/d/1bi64TPlCKbUEWNcqtPhUVk8p9_f1ELvd/view?usp=drive_link" TargetMode="External"/><Relationship Id="rId201" Type="http://schemas.openxmlformats.org/officeDocument/2006/relationships/hyperlink" Target="https://drive.google.com/file/d/14pVwur08QDmM-beb4ugBwflArMQAdAfl/view?usp=drive_link" TargetMode="External"/><Relationship Id="rId222" Type="http://schemas.openxmlformats.org/officeDocument/2006/relationships/hyperlink" Target="https://drive.google.com/file/d/1iQVO1ozs6d0LhXwcBJn279x6UGokmlku/view?usp=drive_link" TargetMode="External"/><Relationship Id="rId243" Type="http://schemas.openxmlformats.org/officeDocument/2006/relationships/hyperlink" Target="https://drive.google.com/file/d/1UIVRx5W6aoCQqW8PPAVTI6rN6agVFz7O/view?usp=drive_link" TargetMode="External"/><Relationship Id="rId264" Type="http://schemas.openxmlformats.org/officeDocument/2006/relationships/hyperlink" Target="https://drive.google.com/file/d/1cPUAuWP4eflXj_27FTICu0okw8LKyij7/view?usp=drive_link" TargetMode="External"/><Relationship Id="rId285" Type="http://schemas.openxmlformats.org/officeDocument/2006/relationships/vmlDrawing" Target="../drawings/vmlDrawing3.vml"/><Relationship Id="rId17" Type="http://schemas.openxmlformats.org/officeDocument/2006/relationships/hyperlink" Target="https://drive.google.com/file/d/1UPImJJ3NnuXXSNqoa5dnW8peCSBPlRdW/view?usp=drive_link" TargetMode="External"/><Relationship Id="rId38" Type="http://schemas.openxmlformats.org/officeDocument/2006/relationships/hyperlink" Target="https://drive.google.com/file/d/164MkyI5u-AaE83pCYxp7LWjCRtoIa1wo/view?usp=drive_link" TargetMode="External"/><Relationship Id="rId59" Type="http://schemas.openxmlformats.org/officeDocument/2006/relationships/hyperlink" Target="https://drive.google.com/file/d/1pDkCwdJ-HEIION7b2iW9RHQeSrQ4NCYH/view?usp=drive_link" TargetMode="External"/><Relationship Id="rId103" Type="http://schemas.openxmlformats.org/officeDocument/2006/relationships/hyperlink" Target="https://drive.google.com/file/d/1An_MNKBCkd2-Qt-_BOCDtHUTk6IVBzbp/view?usp=drive_link" TargetMode="External"/><Relationship Id="rId124" Type="http://schemas.openxmlformats.org/officeDocument/2006/relationships/hyperlink" Target="https://drive.google.com/file/d/1KEep5Qxg0MHzxIMb7LzR_qNczkWlJb_u/view?usp=drive_link" TargetMode="External"/><Relationship Id="rId70" Type="http://schemas.openxmlformats.org/officeDocument/2006/relationships/hyperlink" Target="https://drive.google.com/file/d/1qsGw5Pd8J9gb38mZLdSUIgvMv2I1amuC/view?usp=drive_link" TargetMode="External"/><Relationship Id="rId91" Type="http://schemas.openxmlformats.org/officeDocument/2006/relationships/hyperlink" Target="https://drive.google.com/file/d/1zTRp3IPzi8A6byCSEfOB2d0PQwZSa-Ba/view?usp=drive_link" TargetMode="External"/><Relationship Id="rId145" Type="http://schemas.openxmlformats.org/officeDocument/2006/relationships/hyperlink" Target="https://drive.google.com/file/d/1ZePwvUlAGHdpb9k43Y5VVO2n2B01OshB/view?usp=drive_link" TargetMode="External"/><Relationship Id="rId166" Type="http://schemas.openxmlformats.org/officeDocument/2006/relationships/hyperlink" Target="https://drive.google.com/file/d/1u2oFiFR9kaUPcd_hSSeqtcoMGXotS__O/view?usp=drive_link" TargetMode="External"/><Relationship Id="rId187" Type="http://schemas.openxmlformats.org/officeDocument/2006/relationships/hyperlink" Target="https://drive.google.com/file/d/1kLVx65KqPtiY2uONUXoDhY-8wqq5aWAJ/view?usp=drive_link" TargetMode="External"/><Relationship Id="rId1" Type="http://schemas.openxmlformats.org/officeDocument/2006/relationships/hyperlink" Target="https://drive.google.com/file/d/1LhIOoCzkYapGiZGH2KTjOj_2FE7rTAR0/view?usp=drive_link" TargetMode="External"/><Relationship Id="rId212" Type="http://schemas.openxmlformats.org/officeDocument/2006/relationships/hyperlink" Target="https://drive.google.com/file/d/1qs2YCM89c2iC9KW8KUJ_Xtvh0Tt2TNkK/view?usp=drive_link" TargetMode="External"/><Relationship Id="rId233" Type="http://schemas.openxmlformats.org/officeDocument/2006/relationships/hyperlink" Target="https://drive.google.com/file/d/1om9uJlhmXlbvtREr_ljN1AmryehWdg3t/view?usp=drive_link" TargetMode="External"/><Relationship Id="rId254" Type="http://schemas.openxmlformats.org/officeDocument/2006/relationships/hyperlink" Target="https://drive.google.com/file/d/1Qj5BRTiW4b6EtY-kfElwIPnMQh7JkbO2/view?usp=drive_link" TargetMode="External"/><Relationship Id="rId28" Type="http://schemas.openxmlformats.org/officeDocument/2006/relationships/hyperlink" Target="https://drive.google.com/file/d/1TD37yDb_NS8quxL6onHyqn0aRK6eCk--/view?usp=drive_link" TargetMode="External"/><Relationship Id="rId49" Type="http://schemas.openxmlformats.org/officeDocument/2006/relationships/hyperlink" Target="https://drive.google.com/file/d/1df0F0fLQjglxOZWVQmMz29HCYBeVfZUO/view?usp=drive_link" TargetMode="External"/><Relationship Id="rId114" Type="http://schemas.openxmlformats.org/officeDocument/2006/relationships/hyperlink" Target="https://drive.google.com/file/d/1LdIVuurlgoesQF6x2RDQkTbOwY8ygJYx/view?usp=drive_link" TargetMode="External"/><Relationship Id="rId275" Type="http://schemas.openxmlformats.org/officeDocument/2006/relationships/hyperlink" Target="https://drive.google.com/file/d/1KGkgr2IOXPFNbF8PJ_3T5hzQccrjhhrB/view?usp=drive_link" TargetMode="External"/><Relationship Id="rId60" Type="http://schemas.openxmlformats.org/officeDocument/2006/relationships/hyperlink" Target="https://drive.google.com/file/d/1oAGA1WNX9oqEx3tsrJSZ1sjNGwDXRomY/view?usp=drive_link" TargetMode="External"/><Relationship Id="rId81" Type="http://schemas.openxmlformats.org/officeDocument/2006/relationships/hyperlink" Target="https://drive.google.com/file/d/1sdx3-_RRdaPf8AK8YO1yuDhhQzNw4_By/view?usp=drive_link" TargetMode="External"/><Relationship Id="rId135" Type="http://schemas.openxmlformats.org/officeDocument/2006/relationships/hyperlink" Target="https://drive.google.com/file/d/16zNcekthD9ComqIkiehCOb_cr7VeyVaY/view?usp=drive_link" TargetMode="External"/><Relationship Id="rId156" Type="http://schemas.openxmlformats.org/officeDocument/2006/relationships/hyperlink" Target="https://drive.google.com/file/d/1rL0-yx_2GSbsUIMprhWDoUnCd3GATN_o/view?usp=drive_link" TargetMode="External"/><Relationship Id="rId177" Type="http://schemas.openxmlformats.org/officeDocument/2006/relationships/hyperlink" Target="https://drive.google.com/file/d/15dE1-4y2hDQSv2qh8RTuiraebGES17NO/view?usp=drive_link" TargetMode="External"/><Relationship Id="rId198" Type="http://schemas.openxmlformats.org/officeDocument/2006/relationships/hyperlink" Target="https://drive.google.com/file/d/1YC33vKWnEaHZJrOUDjRQ2fil-z3F6AMc/view?usp=drive_link" TargetMode="External"/><Relationship Id="rId202" Type="http://schemas.openxmlformats.org/officeDocument/2006/relationships/hyperlink" Target="https://drive.google.com/file/d/1DoqKnXuWEaLhbb_0IpebkLt2iMpCyaP5/view?usp=drive_link" TargetMode="External"/><Relationship Id="rId223" Type="http://schemas.openxmlformats.org/officeDocument/2006/relationships/hyperlink" Target="https://drive.google.com/file/d/1z_PeQVX2kusptSHWbtgAlhobb5W4u0sd/view?usp=drive_link" TargetMode="External"/><Relationship Id="rId244" Type="http://schemas.openxmlformats.org/officeDocument/2006/relationships/hyperlink" Target="https://drive.google.com/file/d/1AqZ6X-xpMWyy_tt4JBqMyd2_mqAeE539/view?usp=drive_lin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id/" TargetMode="External"/><Relationship Id="rId13" Type="http://schemas.openxmlformats.org/officeDocument/2006/relationships/hyperlink" Target="https://rezil-electrical.atlassian.net/browse/REZIL-936" TargetMode="External"/><Relationship Id="rId3" Type="http://schemas.openxmlformats.org/officeDocument/2006/relationships/hyperlink" Target="https://www.figma.com/design/0nUR2v0mzjAhKLNU1UULQi?node-id=1786-32631" TargetMode="External"/><Relationship Id="rId7" Type="http://schemas.openxmlformats.org/officeDocument/2006/relationships/hyperlink" Target="http://es.id/" TargetMode="External"/><Relationship Id="rId12" Type="http://schemas.openxmlformats.org/officeDocument/2006/relationships/hyperlink" Target="https://rezil-electrical.atlassian.net/browse/REZIL-936" TargetMode="External"/><Relationship Id="rId2" Type="http://schemas.openxmlformats.org/officeDocument/2006/relationships/hyperlink" Target="http://site.id/" TargetMode="External"/><Relationship Id="rId1" Type="http://schemas.openxmlformats.org/officeDocument/2006/relationships/hyperlink" Target="https://www.figma.com/design/0nUR2v0mzjAhKLNU1UULQi/%E3%83%87%E3%82%B6%E3%82%A4%E3%83%B3?node-id=4323-42684&amp;t=HNQY9b3ZyCnqEEfw-0" TargetMode="External"/><Relationship Id="rId6" Type="http://schemas.openxmlformats.org/officeDocument/2006/relationships/hyperlink" Target="http://es.id/" TargetMode="External"/><Relationship Id="rId11" Type="http://schemas.openxmlformats.org/officeDocument/2006/relationships/hyperlink" Target="https://rezil-electrical.atlassian.net/browse/REZIL-936" TargetMode="External"/><Relationship Id="rId5" Type="http://schemas.openxmlformats.org/officeDocument/2006/relationships/hyperlink" Target="https://rezil-electrical.atlassian.net/browse/REZIL-839" TargetMode="External"/><Relationship Id="rId10" Type="http://schemas.openxmlformats.org/officeDocument/2006/relationships/hyperlink" Target="https://rezil-electrical.atlassian.net/browse/REZIL-942" TargetMode="External"/><Relationship Id="rId4" Type="http://schemas.openxmlformats.org/officeDocument/2006/relationships/hyperlink" Target="https://rezil-electrical.atlassian.net/browse/REZIL-839" TargetMode="External"/><Relationship Id="rId9" Type="http://schemas.openxmlformats.org/officeDocument/2006/relationships/hyperlink" Target="https://rezil-electrical.atlassian.net/browse/REZIL-940" TargetMode="External"/><Relationship Id="rId1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988"/>
  <sheetViews>
    <sheetView showGridLines="0" workbookViewId="0"/>
  </sheetViews>
  <sheetFormatPr defaultColWidth="14.44140625" defaultRowHeight="15" customHeight="1" outlineLevelRow="1" x14ac:dyDescent="0.3"/>
  <cols>
    <col min="1" max="1" width="12.88671875" customWidth="1"/>
    <col min="2" max="2" width="7.5546875" customWidth="1"/>
    <col min="3" max="3" width="14" customWidth="1"/>
    <col min="4" max="4" width="18.33203125" customWidth="1"/>
    <col min="5" max="5" width="12" customWidth="1"/>
    <col min="6" max="13" width="5.44140625" customWidth="1"/>
    <col min="14" max="14" width="13.88671875" customWidth="1"/>
    <col min="15" max="17" width="5.44140625" customWidth="1"/>
    <col min="18" max="18" width="9.88671875" customWidth="1"/>
    <col min="19" max="19" width="20.109375" customWidth="1"/>
    <col min="20" max="20" width="36.109375" customWidth="1"/>
    <col min="21" max="21" width="5.44140625" customWidth="1"/>
    <col min="22" max="22" width="20.109375" customWidth="1"/>
    <col min="23" max="23" width="22" customWidth="1"/>
    <col min="24" max="24" width="8.5546875" customWidth="1"/>
    <col min="25" max="25" width="20.109375" customWidth="1"/>
    <col min="26" max="26" width="22" customWidth="1"/>
    <col min="27" max="27" width="5.44140625" customWidth="1"/>
  </cols>
  <sheetData>
    <row r="1" spans="1:27" ht="17.25" customHeight="1" x14ac:dyDescent="0.3">
      <c r="A1" s="4"/>
      <c r="B1" s="4"/>
      <c r="C1" s="4"/>
      <c r="D1" s="4"/>
      <c r="E1" s="4"/>
      <c r="F1" s="4"/>
      <c r="G1" s="4"/>
      <c r="H1" s="4"/>
      <c r="I1" s="4"/>
      <c r="J1" s="4"/>
      <c r="K1" s="4"/>
      <c r="L1" s="4"/>
      <c r="M1" s="4"/>
      <c r="N1" s="4"/>
      <c r="O1" s="4"/>
      <c r="P1" s="4"/>
      <c r="Q1" s="4"/>
      <c r="R1" s="4"/>
      <c r="S1" s="47"/>
      <c r="T1" s="4"/>
      <c r="U1" s="4"/>
      <c r="V1" s="47"/>
      <c r="W1" s="4"/>
      <c r="X1" s="4"/>
      <c r="Y1" s="47"/>
      <c r="Z1" s="4"/>
      <c r="AA1" s="4"/>
    </row>
    <row r="2" spans="1:27" ht="17.25" customHeight="1" x14ac:dyDescent="0.3">
      <c r="A2" s="4"/>
      <c r="B2" s="615" t="s">
        <v>50</v>
      </c>
      <c r="C2" s="601"/>
      <c r="D2" s="601"/>
      <c r="E2" s="601"/>
      <c r="F2" s="601"/>
      <c r="G2" s="601"/>
      <c r="H2" s="601"/>
      <c r="I2" s="601"/>
      <c r="J2" s="601"/>
      <c r="K2" s="601"/>
      <c r="L2" s="601"/>
      <c r="M2" s="601"/>
      <c r="N2" s="601"/>
      <c r="O2" s="601"/>
      <c r="P2" s="601"/>
      <c r="Q2" s="601"/>
      <c r="R2" s="601"/>
      <c r="S2" s="601"/>
      <c r="T2" s="601"/>
      <c r="U2" s="601"/>
      <c r="V2" s="601"/>
      <c r="W2" s="8"/>
      <c r="X2" s="8"/>
      <c r="Y2" s="8"/>
      <c r="Z2" s="8"/>
      <c r="AA2" s="4"/>
    </row>
    <row r="3" spans="1:27" ht="17.25" customHeight="1" x14ac:dyDescent="0.3">
      <c r="A3" s="4"/>
      <c r="B3" s="601"/>
      <c r="C3" s="601"/>
      <c r="D3" s="601"/>
      <c r="E3" s="601"/>
      <c r="F3" s="601"/>
      <c r="G3" s="601"/>
      <c r="H3" s="601"/>
      <c r="I3" s="601"/>
      <c r="J3" s="601"/>
      <c r="K3" s="601"/>
      <c r="L3" s="601"/>
      <c r="M3" s="601"/>
      <c r="N3" s="601"/>
      <c r="O3" s="601"/>
      <c r="P3" s="601"/>
      <c r="Q3" s="601"/>
      <c r="R3" s="601"/>
      <c r="S3" s="601"/>
      <c r="T3" s="601"/>
      <c r="U3" s="601"/>
      <c r="V3" s="601"/>
      <c r="W3" s="9"/>
      <c r="X3" s="9"/>
      <c r="Y3" s="9"/>
      <c r="Z3" s="9"/>
      <c r="AA3" s="4"/>
    </row>
    <row r="4" spans="1:27" ht="17.25" customHeight="1" x14ac:dyDescent="0.3">
      <c r="A4" s="4"/>
      <c r="B4" s="601"/>
      <c r="C4" s="601"/>
      <c r="D4" s="601"/>
      <c r="E4" s="601"/>
      <c r="F4" s="601"/>
      <c r="G4" s="601"/>
      <c r="H4" s="601"/>
      <c r="I4" s="601"/>
      <c r="J4" s="601"/>
      <c r="K4" s="601"/>
      <c r="L4" s="601"/>
      <c r="M4" s="601"/>
      <c r="N4" s="601"/>
      <c r="O4" s="601"/>
      <c r="P4" s="601"/>
      <c r="Q4" s="601"/>
      <c r="R4" s="601"/>
      <c r="S4" s="601"/>
      <c r="T4" s="601"/>
      <c r="U4" s="601"/>
      <c r="V4" s="601"/>
      <c r="W4" s="5"/>
      <c r="X4" s="5"/>
      <c r="Y4" s="5"/>
      <c r="Z4" s="5"/>
      <c r="AA4" s="4"/>
    </row>
    <row r="5" spans="1:27" ht="17.25" customHeight="1" x14ac:dyDescent="0.3">
      <c r="A5" s="4"/>
      <c r="B5" s="601"/>
      <c r="C5" s="601"/>
      <c r="D5" s="601"/>
      <c r="E5" s="601"/>
      <c r="F5" s="601"/>
      <c r="G5" s="601"/>
      <c r="H5" s="601"/>
      <c r="I5" s="601"/>
      <c r="J5" s="601"/>
      <c r="K5" s="601"/>
      <c r="L5" s="601"/>
      <c r="M5" s="601"/>
      <c r="N5" s="601"/>
      <c r="O5" s="601"/>
      <c r="P5" s="601"/>
      <c r="Q5" s="601"/>
      <c r="R5" s="601"/>
      <c r="S5" s="601"/>
      <c r="T5" s="601"/>
      <c r="U5" s="601"/>
      <c r="V5" s="601"/>
      <c r="W5" s="5"/>
      <c r="X5" s="5"/>
      <c r="Y5" s="5"/>
      <c r="Z5" s="5"/>
      <c r="AA5" s="4"/>
    </row>
    <row r="6" spans="1:27" ht="17.25" customHeight="1" x14ac:dyDescent="0.3">
      <c r="A6" s="4"/>
      <c r="B6" s="601"/>
      <c r="C6" s="601"/>
      <c r="D6" s="601"/>
      <c r="E6" s="601"/>
      <c r="F6" s="601"/>
      <c r="G6" s="601"/>
      <c r="H6" s="601"/>
      <c r="I6" s="601"/>
      <c r="J6" s="601"/>
      <c r="K6" s="601"/>
      <c r="L6" s="601"/>
      <c r="M6" s="601"/>
      <c r="N6" s="601"/>
      <c r="O6" s="601"/>
      <c r="P6" s="601"/>
      <c r="Q6" s="601"/>
      <c r="R6" s="601"/>
      <c r="S6" s="601"/>
      <c r="T6" s="601"/>
      <c r="U6" s="601"/>
      <c r="V6" s="601"/>
      <c r="W6" s="5"/>
      <c r="X6" s="5"/>
      <c r="Y6" s="5"/>
      <c r="Z6" s="5"/>
      <c r="AA6" s="4"/>
    </row>
    <row r="7" spans="1:27" ht="17.25" customHeight="1" x14ac:dyDescent="0.3">
      <c r="A7" s="4"/>
      <c r="B7" s="4"/>
      <c r="C7" s="4"/>
      <c r="D7" s="4"/>
      <c r="E7" s="4"/>
      <c r="F7" s="4"/>
      <c r="G7" s="4"/>
      <c r="H7" s="4"/>
      <c r="I7" s="4"/>
      <c r="J7" s="4"/>
      <c r="K7" s="4"/>
      <c r="L7" s="4"/>
      <c r="M7" s="4"/>
      <c r="N7" s="4"/>
      <c r="O7" s="4"/>
      <c r="P7" s="4"/>
      <c r="Q7" s="4"/>
      <c r="R7" s="4"/>
      <c r="S7" s="47"/>
      <c r="T7" s="4"/>
      <c r="U7" s="4"/>
      <c r="V7" s="47"/>
      <c r="W7" s="4"/>
      <c r="X7" s="4"/>
      <c r="Y7" s="47"/>
      <c r="Z7" s="4"/>
      <c r="AA7" s="4"/>
    </row>
    <row r="8" spans="1:27" ht="17.25" customHeight="1" x14ac:dyDescent="0.3">
      <c r="A8" s="6"/>
      <c r="B8" s="7" t="s">
        <v>7</v>
      </c>
      <c r="C8" s="7"/>
      <c r="D8" s="7"/>
      <c r="E8" s="7"/>
      <c r="F8" s="7"/>
      <c r="G8" s="7"/>
      <c r="H8" s="7"/>
      <c r="I8" s="7"/>
      <c r="J8" s="7"/>
      <c r="K8" s="7"/>
      <c r="L8" s="7"/>
      <c r="M8" s="7"/>
      <c r="N8" s="7"/>
      <c r="O8" s="7"/>
      <c r="P8" s="7"/>
      <c r="Q8" s="7"/>
      <c r="R8" s="7"/>
      <c r="S8" s="7"/>
      <c r="T8" s="7"/>
      <c r="U8" s="7"/>
      <c r="V8" s="7"/>
      <c r="W8" s="7"/>
      <c r="X8" s="7"/>
      <c r="Y8" s="7"/>
      <c r="Z8" s="7"/>
      <c r="AA8" s="4"/>
    </row>
    <row r="9" spans="1:27" ht="17.25" customHeight="1" x14ac:dyDescent="0.3">
      <c r="A9" s="6"/>
      <c r="B9" s="6"/>
      <c r="C9" s="6"/>
      <c r="D9" s="6"/>
      <c r="E9" s="6"/>
      <c r="F9" s="10"/>
      <c r="G9" s="10"/>
      <c r="H9" s="10"/>
      <c r="I9" s="10"/>
      <c r="J9" s="10"/>
      <c r="K9" s="10"/>
      <c r="L9" s="10"/>
      <c r="M9" s="10"/>
      <c r="N9" s="10"/>
      <c r="O9" s="10"/>
      <c r="P9" s="10"/>
      <c r="Q9" s="10"/>
      <c r="R9" s="10"/>
      <c r="S9" s="11"/>
      <c r="T9" s="10"/>
      <c r="U9" s="10"/>
      <c r="V9" s="11"/>
      <c r="W9" s="10"/>
      <c r="X9" s="10"/>
      <c r="Y9" s="11"/>
      <c r="Z9" s="10"/>
      <c r="AA9" s="4"/>
    </row>
    <row r="10" spans="1:27" ht="17.25" customHeight="1" x14ac:dyDescent="0.3">
      <c r="A10" s="6"/>
      <c r="B10" s="18"/>
      <c r="C10" s="19"/>
      <c r="D10" s="19"/>
      <c r="E10" s="19"/>
      <c r="F10" s="19"/>
      <c r="G10" s="19"/>
      <c r="H10" s="19"/>
      <c r="I10" s="19"/>
      <c r="J10" s="19"/>
      <c r="K10" s="19"/>
      <c r="L10" s="19"/>
      <c r="M10" s="19"/>
      <c r="N10" s="19"/>
      <c r="O10" s="19"/>
      <c r="P10" s="19"/>
      <c r="Q10" s="19"/>
      <c r="R10" s="614" t="s">
        <v>51</v>
      </c>
      <c r="S10" s="601"/>
      <c r="T10" s="601"/>
      <c r="U10" s="601"/>
      <c r="V10" s="601"/>
      <c r="W10" s="601"/>
      <c r="X10" s="601"/>
      <c r="Y10" s="601"/>
      <c r="Z10" s="620"/>
      <c r="AA10" s="4"/>
    </row>
    <row r="11" spans="1:27" ht="39.75" customHeight="1" x14ac:dyDescent="0.3">
      <c r="A11" s="6"/>
      <c r="B11" s="18" t="s">
        <v>8</v>
      </c>
      <c r="C11" s="21" t="s">
        <v>9</v>
      </c>
      <c r="D11" s="19" t="s">
        <v>10</v>
      </c>
      <c r="E11" s="21" t="s">
        <v>11</v>
      </c>
      <c r="F11" s="616" t="s">
        <v>12</v>
      </c>
      <c r="G11" s="601"/>
      <c r="H11" s="601"/>
      <c r="I11" s="601"/>
      <c r="J11" s="616" t="s">
        <v>13</v>
      </c>
      <c r="K11" s="601"/>
      <c r="L11" s="601"/>
      <c r="M11" s="601"/>
      <c r="N11" s="19" t="s">
        <v>52</v>
      </c>
      <c r="O11" s="19" t="s">
        <v>14</v>
      </c>
      <c r="P11" s="19"/>
      <c r="Q11" s="19"/>
      <c r="R11" s="633" t="s">
        <v>53</v>
      </c>
      <c r="S11" s="617"/>
      <c r="T11" s="617"/>
      <c r="U11" s="621" t="s">
        <v>54</v>
      </c>
      <c r="V11" s="617"/>
      <c r="W11" s="622"/>
      <c r="X11" s="621" t="s">
        <v>55</v>
      </c>
      <c r="Y11" s="617"/>
      <c r="Z11" s="622"/>
      <c r="AA11" s="4"/>
    </row>
    <row r="12" spans="1:27" ht="17.25" customHeight="1" x14ac:dyDescent="0.3">
      <c r="A12" s="6"/>
      <c r="B12" s="18"/>
      <c r="C12" s="19"/>
      <c r="D12" s="19"/>
      <c r="E12" s="19"/>
      <c r="F12" s="19"/>
      <c r="G12" s="19"/>
      <c r="H12" s="19"/>
      <c r="I12" s="19"/>
      <c r="J12" s="19"/>
      <c r="K12" s="19"/>
      <c r="L12" s="19"/>
      <c r="M12" s="19"/>
      <c r="N12" s="19"/>
      <c r="O12" s="19"/>
      <c r="P12" s="19"/>
      <c r="Q12" s="19"/>
      <c r="R12" s="22" t="s">
        <v>56</v>
      </c>
      <c r="S12" s="48" t="s">
        <v>57</v>
      </c>
      <c r="T12" s="22" t="s">
        <v>0</v>
      </c>
      <c r="U12" s="22" t="s">
        <v>56</v>
      </c>
      <c r="V12" s="49" t="s">
        <v>57</v>
      </c>
      <c r="W12" s="22" t="s">
        <v>0</v>
      </c>
      <c r="X12" s="22" t="s">
        <v>56</v>
      </c>
      <c r="Y12" s="49" t="s">
        <v>57</v>
      </c>
      <c r="Z12" s="22" t="s">
        <v>0</v>
      </c>
      <c r="AA12" s="4"/>
    </row>
    <row r="13" spans="1:27" ht="17.25" customHeight="1" x14ac:dyDescent="0.3">
      <c r="A13" s="23" t="s">
        <v>16</v>
      </c>
      <c r="B13" s="24"/>
      <c r="C13" s="25"/>
      <c r="D13" s="25"/>
      <c r="E13" s="25"/>
      <c r="F13" s="25"/>
      <c r="G13" s="25"/>
      <c r="H13" s="26"/>
      <c r="I13" s="26"/>
      <c r="J13" s="626"/>
      <c r="K13" s="601"/>
      <c r="L13" s="601"/>
      <c r="M13" s="601"/>
      <c r="N13" s="626"/>
      <c r="O13" s="601"/>
      <c r="P13" s="601"/>
      <c r="Q13" s="601"/>
      <c r="R13" s="625"/>
      <c r="S13" s="613"/>
      <c r="T13" s="27"/>
      <c r="U13" s="27"/>
      <c r="V13" s="50"/>
      <c r="W13" s="27"/>
      <c r="X13" s="27"/>
      <c r="Y13" s="50"/>
      <c r="Z13" s="27"/>
      <c r="AA13" s="4"/>
    </row>
    <row r="14" spans="1:27" ht="17.25" customHeight="1" x14ac:dyDescent="0.3">
      <c r="A14" s="28" t="s">
        <v>58</v>
      </c>
      <c r="B14" s="20"/>
      <c r="C14" s="51"/>
      <c r="D14" s="51"/>
      <c r="E14" s="51"/>
      <c r="F14" s="52"/>
      <c r="G14" s="52"/>
      <c r="H14" s="52"/>
      <c r="I14" s="52"/>
      <c r="J14" s="51"/>
      <c r="K14" s="51"/>
      <c r="L14" s="51"/>
      <c r="M14" s="51"/>
      <c r="N14" s="51"/>
      <c r="O14" s="51"/>
      <c r="P14" s="51"/>
      <c r="Q14" s="51"/>
      <c r="R14" s="53"/>
      <c r="S14" s="54"/>
      <c r="T14" s="31"/>
      <c r="U14" s="30"/>
      <c r="V14" s="55"/>
      <c r="W14" s="30"/>
      <c r="X14" s="30"/>
      <c r="Y14" s="55"/>
      <c r="Z14" s="30"/>
      <c r="AA14" s="32"/>
    </row>
    <row r="15" spans="1:27" ht="17.25" customHeight="1" outlineLevel="1" x14ac:dyDescent="0.3">
      <c r="A15" s="33"/>
      <c r="B15" s="34">
        <v>0</v>
      </c>
      <c r="C15" s="35" t="s">
        <v>59</v>
      </c>
      <c r="D15" s="35" t="s">
        <v>17</v>
      </c>
      <c r="E15" s="36"/>
      <c r="F15" s="35" t="s">
        <v>60</v>
      </c>
      <c r="G15" s="35"/>
      <c r="H15" s="35"/>
      <c r="I15" s="35"/>
      <c r="J15" s="35" t="s">
        <v>61</v>
      </c>
      <c r="K15" s="56"/>
      <c r="L15" s="56"/>
      <c r="M15" s="56"/>
      <c r="N15" s="56" t="s">
        <v>58</v>
      </c>
      <c r="O15" s="619" t="s">
        <v>19</v>
      </c>
      <c r="P15" s="612"/>
      <c r="Q15" s="612"/>
      <c r="R15" s="34"/>
      <c r="S15" s="57"/>
      <c r="T15" s="34"/>
      <c r="U15" s="37"/>
      <c r="V15" s="632"/>
      <c r="W15" s="613"/>
      <c r="X15" s="37"/>
      <c r="Y15" s="632"/>
      <c r="Z15" s="613"/>
      <c r="AA15" s="32"/>
    </row>
    <row r="16" spans="1:27" ht="17.25" customHeight="1" outlineLevel="1" x14ac:dyDescent="0.3">
      <c r="A16" s="33"/>
      <c r="B16" s="34">
        <v>0</v>
      </c>
      <c r="C16" s="35" t="s">
        <v>59</v>
      </c>
      <c r="D16" s="35" t="s">
        <v>17</v>
      </c>
      <c r="E16" s="36"/>
      <c r="F16" s="35"/>
      <c r="G16" s="35"/>
      <c r="H16" s="35"/>
      <c r="I16" s="35"/>
      <c r="J16" s="35"/>
      <c r="K16" s="56"/>
      <c r="L16" s="56"/>
      <c r="M16" s="56"/>
      <c r="N16" s="56"/>
      <c r="O16" s="619"/>
      <c r="P16" s="612"/>
      <c r="Q16" s="612"/>
      <c r="R16" s="34"/>
      <c r="S16" s="57"/>
      <c r="T16" s="34"/>
      <c r="U16" s="34"/>
      <c r="V16" s="57"/>
      <c r="W16" s="34"/>
      <c r="X16" s="34"/>
      <c r="Y16" s="57"/>
      <c r="Z16" s="34"/>
      <c r="AA16" s="32"/>
    </row>
    <row r="17" spans="1:27" ht="17.25" customHeight="1" outlineLevel="1" x14ac:dyDescent="0.3">
      <c r="A17" s="33"/>
      <c r="B17" s="34">
        <v>0</v>
      </c>
      <c r="C17" s="35" t="s">
        <v>59</v>
      </c>
      <c r="D17" s="35" t="s">
        <v>17</v>
      </c>
      <c r="E17" s="36"/>
      <c r="F17" s="35"/>
      <c r="G17" s="35"/>
      <c r="H17" s="35"/>
      <c r="I17" s="35"/>
      <c r="J17" s="35"/>
      <c r="K17" s="56"/>
      <c r="L17" s="56"/>
      <c r="M17" s="56"/>
      <c r="N17" s="56"/>
      <c r="O17" s="619"/>
      <c r="P17" s="612"/>
      <c r="Q17" s="612"/>
      <c r="R17" s="34"/>
      <c r="S17" s="57"/>
      <c r="T17" s="34"/>
      <c r="U17" s="34"/>
      <c r="V17" s="57"/>
      <c r="W17" s="34"/>
      <c r="X17" s="34"/>
      <c r="Y17" s="57"/>
      <c r="Z17" s="34"/>
      <c r="AA17" s="32"/>
    </row>
    <row r="18" spans="1:27" ht="17.25" customHeight="1" x14ac:dyDescent="0.3">
      <c r="A18" s="28" t="s">
        <v>62</v>
      </c>
      <c r="B18" s="28"/>
      <c r="C18" s="29"/>
      <c r="D18" s="29"/>
      <c r="E18" s="29"/>
      <c r="F18" s="623">
        <f>COUNTIF(N19:N988,A18)</f>
        <v>9</v>
      </c>
      <c r="G18" s="618"/>
      <c r="H18" s="618"/>
      <c r="I18" s="618"/>
      <c r="J18" s="624"/>
      <c r="K18" s="618"/>
      <c r="L18" s="618"/>
      <c r="M18" s="618"/>
      <c r="N18" s="624"/>
      <c r="O18" s="618"/>
      <c r="P18" s="618"/>
      <c r="Q18" s="618"/>
      <c r="R18" s="53" t="s">
        <v>63</v>
      </c>
      <c r="S18" s="630"/>
      <c r="T18" s="613"/>
      <c r="U18" s="30"/>
      <c r="V18" s="631"/>
      <c r="W18" s="613"/>
      <c r="X18" s="30"/>
      <c r="Y18" s="631"/>
      <c r="Z18" s="613"/>
      <c r="AA18" s="32"/>
    </row>
    <row r="19" spans="1:27" ht="17.25" customHeight="1" outlineLevel="1" x14ac:dyDescent="0.3">
      <c r="A19" s="33"/>
      <c r="B19" s="34">
        <v>4</v>
      </c>
      <c r="C19" s="35" t="s">
        <v>64</v>
      </c>
      <c r="D19" s="35" t="s">
        <v>65</v>
      </c>
      <c r="E19" s="36" t="s">
        <v>66</v>
      </c>
      <c r="F19" s="35" t="s">
        <v>41</v>
      </c>
      <c r="G19" s="35"/>
      <c r="H19" s="35"/>
      <c r="I19" s="35"/>
      <c r="J19" s="35" t="s">
        <v>67</v>
      </c>
      <c r="K19" s="56"/>
      <c r="L19" s="56"/>
      <c r="M19" s="56"/>
      <c r="N19" s="56" t="s">
        <v>62</v>
      </c>
      <c r="O19" s="619" t="s">
        <v>68</v>
      </c>
      <c r="P19" s="612"/>
      <c r="Q19" s="612"/>
      <c r="R19" s="34"/>
      <c r="S19" s="57" t="s">
        <v>69</v>
      </c>
      <c r="T19" s="34"/>
      <c r="U19" s="34"/>
      <c r="V19" s="57" t="s">
        <v>70</v>
      </c>
      <c r="W19" s="34"/>
      <c r="X19" s="34"/>
      <c r="Y19" s="57"/>
      <c r="Z19" s="34"/>
      <c r="AA19" s="32"/>
    </row>
    <row r="20" spans="1:27" ht="17.25" customHeight="1" outlineLevel="1" x14ac:dyDescent="0.3">
      <c r="A20" s="33"/>
      <c r="B20" s="34">
        <v>5</v>
      </c>
      <c r="C20" s="35"/>
      <c r="D20" s="35" t="s">
        <v>65</v>
      </c>
      <c r="E20" s="36" t="s">
        <v>66</v>
      </c>
      <c r="F20" s="35" t="s">
        <v>42</v>
      </c>
      <c r="G20" s="35"/>
      <c r="H20" s="35"/>
      <c r="I20" s="35"/>
      <c r="J20" s="35" t="s">
        <v>71</v>
      </c>
      <c r="K20" s="56"/>
      <c r="L20" s="56"/>
      <c r="M20" s="56"/>
      <c r="N20" s="56"/>
      <c r="O20" s="619" t="s">
        <v>68</v>
      </c>
      <c r="P20" s="612"/>
      <c r="Q20" s="612"/>
      <c r="R20" s="34"/>
      <c r="S20" s="57" t="s">
        <v>70</v>
      </c>
      <c r="T20" s="34"/>
      <c r="U20" s="34"/>
      <c r="V20" s="57" t="s">
        <v>70</v>
      </c>
      <c r="W20" s="34"/>
      <c r="X20" s="34"/>
      <c r="Y20" s="57"/>
      <c r="Z20" s="34"/>
      <c r="AA20" s="32"/>
    </row>
    <row r="21" spans="1:27" ht="17.25" customHeight="1" outlineLevel="1" x14ac:dyDescent="0.3">
      <c r="A21" s="33"/>
      <c r="B21" s="34">
        <v>6</v>
      </c>
      <c r="C21" s="35" t="s">
        <v>72</v>
      </c>
      <c r="D21" s="35" t="s">
        <v>73</v>
      </c>
      <c r="E21" s="36" t="s">
        <v>66</v>
      </c>
      <c r="F21" s="35" t="s">
        <v>37</v>
      </c>
      <c r="G21" s="35"/>
      <c r="H21" s="35"/>
      <c r="I21" s="35"/>
      <c r="J21" s="35" t="s">
        <v>74</v>
      </c>
      <c r="K21" s="56"/>
      <c r="L21" s="56"/>
      <c r="M21" s="56"/>
      <c r="N21" s="56" t="s">
        <v>62</v>
      </c>
      <c r="O21" s="619" t="s">
        <v>22</v>
      </c>
      <c r="P21" s="612"/>
      <c r="Q21" s="612"/>
      <c r="R21" s="34"/>
      <c r="S21" s="57" t="s">
        <v>70</v>
      </c>
      <c r="T21" s="34"/>
      <c r="U21" s="34"/>
      <c r="V21" s="57" t="s">
        <v>69</v>
      </c>
      <c r="W21" s="34"/>
      <c r="X21" s="34"/>
      <c r="Y21" s="57"/>
      <c r="Z21" s="34"/>
      <c r="AA21" s="32"/>
    </row>
    <row r="22" spans="1:27" ht="17.25" customHeight="1" outlineLevel="1" x14ac:dyDescent="0.3">
      <c r="A22" s="33"/>
      <c r="B22" s="34">
        <v>7</v>
      </c>
      <c r="C22" s="35"/>
      <c r="D22" s="35" t="s">
        <v>73</v>
      </c>
      <c r="E22" s="36" t="s">
        <v>66</v>
      </c>
      <c r="F22" s="35" t="s">
        <v>38</v>
      </c>
      <c r="G22" s="35"/>
      <c r="H22" s="35"/>
      <c r="I22" s="35"/>
      <c r="J22" s="35" t="s">
        <v>75</v>
      </c>
      <c r="K22" s="56"/>
      <c r="L22" s="56"/>
      <c r="M22" s="56"/>
      <c r="N22" s="56" t="s">
        <v>62</v>
      </c>
      <c r="O22" s="619" t="s">
        <v>22</v>
      </c>
      <c r="P22" s="612"/>
      <c r="Q22" s="612"/>
      <c r="R22" s="34"/>
      <c r="S22" s="57" t="s">
        <v>69</v>
      </c>
      <c r="T22" s="34"/>
      <c r="U22" s="34"/>
      <c r="V22" s="57" t="s">
        <v>70</v>
      </c>
      <c r="W22" s="34"/>
      <c r="X22" s="34"/>
      <c r="Y22" s="57"/>
      <c r="Z22" s="34"/>
      <c r="AA22" s="32"/>
    </row>
    <row r="23" spans="1:27" ht="17.25" customHeight="1" outlineLevel="1" x14ac:dyDescent="0.3">
      <c r="A23" s="33"/>
      <c r="B23" s="34">
        <v>8</v>
      </c>
      <c r="C23" s="35"/>
      <c r="D23" s="35" t="s">
        <v>73</v>
      </c>
      <c r="E23" s="36" t="s">
        <v>66</v>
      </c>
      <c r="F23" s="35" t="s">
        <v>39</v>
      </c>
      <c r="G23" s="35"/>
      <c r="H23" s="35"/>
      <c r="I23" s="35"/>
      <c r="J23" s="35" t="s">
        <v>76</v>
      </c>
      <c r="K23" s="56"/>
      <c r="L23" s="56"/>
      <c r="M23" s="56"/>
      <c r="N23" s="56" t="s">
        <v>62</v>
      </c>
      <c r="O23" s="619" t="s">
        <v>22</v>
      </c>
      <c r="P23" s="612"/>
      <c r="Q23" s="612"/>
      <c r="R23" s="34"/>
      <c r="S23" s="57" t="s">
        <v>70</v>
      </c>
      <c r="T23" s="34"/>
      <c r="U23" s="34"/>
      <c r="V23" s="57" t="s">
        <v>70</v>
      </c>
      <c r="W23" s="34"/>
      <c r="X23" s="34"/>
      <c r="Y23" s="57"/>
      <c r="Z23" s="34"/>
      <c r="AA23" s="32"/>
    </row>
    <row r="24" spans="1:27" ht="17.25" customHeight="1" outlineLevel="1" x14ac:dyDescent="0.3">
      <c r="A24" s="33"/>
      <c r="B24" s="34">
        <v>9</v>
      </c>
      <c r="C24" s="33"/>
      <c r="D24" s="35" t="s">
        <v>73</v>
      </c>
      <c r="E24" s="36" t="s">
        <v>66</v>
      </c>
      <c r="F24" s="35" t="s">
        <v>40</v>
      </c>
      <c r="G24" s="35"/>
      <c r="H24" s="35"/>
      <c r="I24" s="35"/>
      <c r="J24" s="33" t="s">
        <v>77</v>
      </c>
      <c r="K24" s="56"/>
      <c r="L24" s="56"/>
      <c r="M24" s="56"/>
      <c r="N24" s="56" t="s">
        <v>62</v>
      </c>
      <c r="O24" s="619" t="s">
        <v>22</v>
      </c>
      <c r="P24" s="612"/>
      <c r="Q24" s="612"/>
      <c r="R24" s="34"/>
      <c r="S24" s="57" t="s">
        <v>69</v>
      </c>
      <c r="T24" s="34"/>
      <c r="U24" s="34"/>
      <c r="V24" s="57" t="s">
        <v>70</v>
      </c>
      <c r="W24" s="34"/>
      <c r="X24" s="34"/>
      <c r="Y24" s="57"/>
      <c r="Z24" s="34"/>
      <c r="AA24" s="32"/>
    </row>
    <row r="25" spans="1:27" ht="17.25" customHeight="1" outlineLevel="1" x14ac:dyDescent="0.3">
      <c r="A25" s="33"/>
      <c r="B25" s="34">
        <v>16</v>
      </c>
      <c r="C25" s="35" t="s">
        <v>78</v>
      </c>
      <c r="D25" s="35" t="s">
        <v>73</v>
      </c>
      <c r="E25" s="36" t="s">
        <v>66</v>
      </c>
      <c r="F25" s="35" t="s">
        <v>31</v>
      </c>
      <c r="G25" s="35"/>
      <c r="H25" s="35"/>
      <c r="I25" s="35"/>
      <c r="J25" s="35" t="s">
        <v>79</v>
      </c>
      <c r="K25" s="56"/>
      <c r="L25" s="56"/>
      <c r="M25" s="56"/>
      <c r="N25" s="56" t="s">
        <v>62</v>
      </c>
      <c r="O25" s="619" t="s">
        <v>19</v>
      </c>
      <c r="P25" s="612"/>
      <c r="Q25" s="612"/>
      <c r="R25" s="34"/>
      <c r="S25" s="57" t="s">
        <v>69</v>
      </c>
      <c r="T25" s="34"/>
      <c r="U25" s="34"/>
      <c r="V25" s="57" t="s">
        <v>69</v>
      </c>
      <c r="W25" s="34"/>
      <c r="X25" s="34"/>
      <c r="Y25" s="57"/>
      <c r="Z25" s="34"/>
      <c r="AA25" s="32"/>
    </row>
    <row r="26" spans="1:27" ht="17.25" customHeight="1" outlineLevel="1" x14ac:dyDescent="0.3">
      <c r="A26" s="33"/>
      <c r="B26" s="34">
        <v>17</v>
      </c>
      <c r="C26" s="35"/>
      <c r="D26" s="35" t="s">
        <v>73</v>
      </c>
      <c r="E26" s="36" t="s">
        <v>66</v>
      </c>
      <c r="F26" s="35" t="s">
        <v>32</v>
      </c>
      <c r="G26" s="35"/>
      <c r="H26" s="35"/>
      <c r="I26" s="35"/>
      <c r="J26" s="35" t="s">
        <v>80</v>
      </c>
      <c r="K26" s="56"/>
      <c r="L26" s="56"/>
      <c r="M26" s="56"/>
      <c r="N26" s="56" t="s">
        <v>62</v>
      </c>
      <c r="O26" s="619" t="s">
        <v>68</v>
      </c>
      <c r="P26" s="612"/>
      <c r="Q26" s="612"/>
      <c r="R26" s="34"/>
      <c r="S26" s="57" t="s">
        <v>69</v>
      </c>
      <c r="T26" s="34"/>
      <c r="U26" s="34"/>
      <c r="V26" s="57"/>
      <c r="W26" s="34"/>
      <c r="X26" s="34"/>
      <c r="Y26" s="57"/>
      <c r="Z26" s="34"/>
      <c r="AA26" s="32"/>
    </row>
    <row r="27" spans="1:27" ht="17.25" customHeight="1" outlineLevel="1" x14ac:dyDescent="0.3">
      <c r="A27" s="33"/>
      <c r="B27" s="34">
        <v>18</v>
      </c>
      <c r="C27" s="35" t="s">
        <v>81</v>
      </c>
      <c r="D27" s="35" t="s">
        <v>73</v>
      </c>
      <c r="E27" s="36" t="s">
        <v>66</v>
      </c>
      <c r="F27" s="35" t="s">
        <v>30</v>
      </c>
      <c r="G27" s="35"/>
      <c r="H27" s="35"/>
      <c r="I27" s="35"/>
      <c r="J27" s="35" t="s">
        <v>82</v>
      </c>
      <c r="K27" s="56"/>
      <c r="L27" s="56"/>
      <c r="M27" s="56"/>
      <c r="N27" s="56"/>
      <c r="O27" s="619" t="s">
        <v>22</v>
      </c>
      <c r="P27" s="612"/>
      <c r="Q27" s="612"/>
      <c r="R27" s="34"/>
      <c r="S27" s="57"/>
      <c r="T27" s="34"/>
      <c r="U27" s="34"/>
      <c r="V27" s="57"/>
      <c r="W27" s="34"/>
      <c r="X27" s="34"/>
      <c r="Y27" s="57"/>
      <c r="Z27" s="34"/>
      <c r="AA27" s="32"/>
    </row>
    <row r="28" spans="1:27" ht="17.25" customHeight="1" outlineLevel="1" x14ac:dyDescent="0.3">
      <c r="A28" s="33"/>
      <c r="B28" s="34">
        <v>19</v>
      </c>
      <c r="C28" s="35"/>
      <c r="D28" s="35" t="s">
        <v>73</v>
      </c>
      <c r="E28" s="36" t="s">
        <v>66</v>
      </c>
      <c r="F28" s="35" t="s">
        <v>83</v>
      </c>
      <c r="G28" s="35"/>
      <c r="H28" s="35"/>
      <c r="I28" s="35"/>
      <c r="J28" s="35" t="s">
        <v>84</v>
      </c>
      <c r="K28" s="56"/>
      <c r="L28" s="56"/>
      <c r="M28" s="56"/>
      <c r="N28" s="56" t="s">
        <v>62</v>
      </c>
      <c r="O28" s="619" t="s">
        <v>19</v>
      </c>
      <c r="P28" s="612"/>
      <c r="Q28" s="612"/>
      <c r="R28" s="34"/>
      <c r="S28" s="57"/>
      <c r="T28" s="34"/>
      <c r="U28" s="34"/>
      <c r="V28" s="57"/>
      <c r="W28" s="34"/>
      <c r="X28" s="34"/>
      <c r="Y28" s="57"/>
      <c r="Z28" s="34"/>
      <c r="AA28" s="32"/>
    </row>
    <row r="29" spans="1:27" ht="17.25" customHeight="1" outlineLevel="1" x14ac:dyDescent="0.3">
      <c r="A29" s="33"/>
      <c r="B29" s="34">
        <v>20</v>
      </c>
      <c r="C29" s="35"/>
      <c r="D29" s="35" t="s">
        <v>73</v>
      </c>
      <c r="E29" s="36" t="s">
        <v>66</v>
      </c>
      <c r="F29" s="35" t="s">
        <v>85</v>
      </c>
      <c r="G29" s="35"/>
      <c r="H29" s="35"/>
      <c r="I29" s="35"/>
      <c r="J29" s="35" t="s">
        <v>86</v>
      </c>
      <c r="K29" s="56"/>
      <c r="L29" s="56"/>
      <c r="M29" s="56"/>
      <c r="N29" s="56" t="s">
        <v>62</v>
      </c>
      <c r="O29" s="619" t="s">
        <v>22</v>
      </c>
      <c r="P29" s="612"/>
      <c r="Q29" s="612"/>
      <c r="R29" s="34"/>
      <c r="S29" s="57"/>
      <c r="T29" s="34"/>
      <c r="U29" s="37"/>
      <c r="V29" s="57"/>
      <c r="W29" s="34"/>
      <c r="X29" s="37"/>
      <c r="Y29" s="57"/>
      <c r="Z29" s="58"/>
      <c r="AA29" s="32"/>
    </row>
    <row r="30" spans="1:27" ht="17.25" customHeight="1" x14ac:dyDescent="0.3">
      <c r="A30" s="28" t="s">
        <v>87</v>
      </c>
      <c r="B30" s="28"/>
      <c r="C30" s="29"/>
      <c r="D30" s="29"/>
      <c r="E30" s="29"/>
      <c r="F30" s="629"/>
      <c r="G30" s="618"/>
      <c r="H30" s="618"/>
      <c r="I30" s="618"/>
      <c r="J30" s="624"/>
      <c r="K30" s="618"/>
      <c r="L30" s="618"/>
      <c r="M30" s="618"/>
      <c r="N30" s="624"/>
      <c r="O30" s="618"/>
      <c r="P30" s="618"/>
      <c r="Q30" s="618"/>
      <c r="R30" s="53"/>
      <c r="S30" s="630"/>
      <c r="T30" s="613"/>
      <c r="U30" s="30"/>
      <c r="V30" s="631"/>
      <c r="W30" s="613"/>
      <c r="X30" s="30"/>
      <c r="Y30" s="631"/>
      <c r="Z30" s="613"/>
      <c r="AA30" s="32"/>
    </row>
    <row r="31" spans="1:27" ht="17.25" customHeight="1" x14ac:dyDescent="0.3">
      <c r="A31" s="4"/>
      <c r="B31" s="13">
        <v>23</v>
      </c>
      <c r="C31" s="38" t="s">
        <v>88</v>
      </c>
      <c r="D31" s="38"/>
      <c r="E31" s="38"/>
      <c r="F31" s="38"/>
      <c r="G31" s="38"/>
      <c r="H31" s="38"/>
      <c r="I31" s="38"/>
      <c r="J31" s="38"/>
      <c r="K31" s="12"/>
      <c r="L31" s="12"/>
      <c r="M31" s="12"/>
      <c r="N31" s="12"/>
      <c r="O31" s="611"/>
      <c r="P31" s="612"/>
      <c r="Q31" s="612"/>
      <c r="R31" s="34"/>
      <c r="S31" s="57"/>
      <c r="T31" s="59"/>
      <c r="U31" s="10"/>
      <c r="V31" s="57"/>
      <c r="W31" s="34"/>
      <c r="X31" s="10"/>
      <c r="Y31" s="57"/>
      <c r="Z31" s="34"/>
      <c r="AA31" s="4"/>
    </row>
    <row r="32" spans="1:27" ht="53.25" customHeight="1" x14ac:dyDescent="0.3">
      <c r="A32" s="4"/>
      <c r="B32" s="13">
        <v>24</v>
      </c>
      <c r="C32" s="38" t="s">
        <v>89</v>
      </c>
      <c r="D32" s="38" t="s">
        <v>90</v>
      </c>
      <c r="E32" s="38"/>
      <c r="F32" s="38" t="s">
        <v>18</v>
      </c>
      <c r="G32" s="38"/>
      <c r="H32" s="38"/>
      <c r="I32" s="38"/>
      <c r="J32" s="38" t="s">
        <v>91</v>
      </c>
      <c r="K32" s="12"/>
      <c r="L32" s="12"/>
      <c r="M32" s="12"/>
      <c r="N32" s="12" t="s">
        <v>87</v>
      </c>
      <c r="O32" s="611" t="s">
        <v>22</v>
      </c>
      <c r="P32" s="612"/>
      <c r="Q32" s="612"/>
      <c r="R32" s="34" t="s">
        <v>92</v>
      </c>
      <c r="S32" s="57"/>
      <c r="T32" s="60" t="s">
        <v>93</v>
      </c>
      <c r="U32" s="10"/>
      <c r="V32" s="57"/>
      <c r="W32" s="34"/>
      <c r="X32" s="10"/>
      <c r="Y32" s="57"/>
      <c r="Z32" s="34"/>
      <c r="AA32" s="4"/>
    </row>
    <row r="33" spans="1:27" ht="17.25" customHeight="1" x14ac:dyDescent="0.3">
      <c r="A33" s="4"/>
      <c r="B33" s="13">
        <v>25</v>
      </c>
      <c r="C33" s="38"/>
      <c r="D33" s="38" t="s">
        <v>90</v>
      </c>
      <c r="E33" s="38"/>
      <c r="F33" s="38" t="s">
        <v>20</v>
      </c>
      <c r="G33" s="38"/>
      <c r="H33" s="38"/>
      <c r="I33" s="38"/>
      <c r="J33" s="38" t="s">
        <v>94</v>
      </c>
      <c r="K33" s="12"/>
      <c r="L33" s="12"/>
      <c r="M33" s="12"/>
      <c r="N33" s="12" t="s">
        <v>87</v>
      </c>
      <c r="O33" s="611" t="s">
        <v>68</v>
      </c>
      <c r="P33" s="612"/>
      <c r="Q33" s="612"/>
      <c r="R33" s="34" t="s">
        <v>92</v>
      </c>
      <c r="S33" s="57"/>
      <c r="T33" s="60"/>
      <c r="U33" s="10"/>
      <c r="V33" s="57"/>
      <c r="W33" s="34"/>
      <c r="X33" s="10"/>
      <c r="Y33" s="57"/>
      <c r="Z33" s="34"/>
      <c r="AA33" s="4"/>
    </row>
    <row r="34" spans="1:27" ht="17.25" customHeight="1" x14ac:dyDescent="0.3">
      <c r="A34" s="4"/>
      <c r="B34" s="13">
        <v>26</v>
      </c>
      <c r="C34" s="38" t="s">
        <v>95</v>
      </c>
      <c r="D34" s="38" t="s">
        <v>96</v>
      </c>
      <c r="E34" s="38"/>
      <c r="F34" s="38" t="s">
        <v>97</v>
      </c>
      <c r="G34" s="38"/>
      <c r="H34" s="38"/>
      <c r="I34" s="38"/>
      <c r="J34" s="38" t="s">
        <v>67</v>
      </c>
      <c r="K34" s="12"/>
      <c r="L34" s="12"/>
      <c r="M34" s="12"/>
      <c r="N34" s="12"/>
      <c r="O34" s="611"/>
      <c r="P34" s="612"/>
      <c r="Q34" s="612"/>
      <c r="R34" s="34"/>
      <c r="S34" s="57"/>
      <c r="T34" s="59"/>
      <c r="U34" s="10"/>
      <c r="V34" s="57"/>
      <c r="W34" s="34"/>
      <c r="X34" s="10"/>
      <c r="Y34" s="57"/>
      <c r="Z34" s="34"/>
      <c r="AA34" s="4"/>
    </row>
    <row r="35" spans="1:27" ht="17.25" customHeight="1" x14ac:dyDescent="0.3">
      <c r="A35" s="4"/>
      <c r="B35" s="13">
        <v>27</v>
      </c>
      <c r="C35" s="38"/>
      <c r="D35" s="38" t="s">
        <v>96</v>
      </c>
      <c r="E35" s="38"/>
      <c r="F35" s="38" t="s">
        <v>98</v>
      </c>
      <c r="G35" s="38"/>
      <c r="H35" s="38"/>
      <c r="I35" s="38"/>
      <c r="J35" s="38" t="s">
        <v>71</v>
      </c>
      <c r="K35" s="12"/>
      <c r="L35" s="12"/>
      <c r="M35" s="12"/>
      <c r="N35" s="12"/>
      <c r="O35" s="611"/>
      <c r="P35" s="612"/>
      <c r="Q35" s="612"/>
      <c r="R35" s="34"/>
      <c r="S35" s="57"/>
      <c r="T35" s="59"/>
      <c r="U35" s="10"/>
      <c r="V35" s="57"/>
      <c r="W35" s="34"/>
      <c r="X35" s="10"/>
      <c r="Y35" s="57"/>
      <c r="Z35" s="34"/>
      <c r="AA35" s="4"/>
    </row>
    <row r="36" spans="1:27" ht="17.25" customHeight="1" x14ac:dyDescent="0.3">
      <c r="A36" s="4"/>
      <c r="B36" s="13">
        <v>28</v>
      </c>
      <c r="C36" s="38" t="s">
        <v>99</v>
      </c>
      <c r="D36" s="38" t="s">
        <v>90</v>
      </c>
      <c r="E36" s="38"/>
      <c r="F36" s="38" t="s">
        <v>100</v>
      </c>
      <c r="G36" s="38"/>
      <c r="H36" s="38"/>
      <c r="I36" s="38"/>
      <c r="J36" s="38" t="s">
        <v>101</v>
      </c>
      <c r="K36" s="12"/>
      <c r="L36" s="12"/>
      <c r="M36" s="12"/>
      <c r="N36" s="12"/>
      <c r="O36" s="611"/>
      <c r="P36" s="612"/>
      <c r="Q36" s="612"/>
      <c r="R36" s="34"/>
      <c r="S36" s="57"/>
      <c r="T36" s="59"/>
      <c r="U36" s="10"/>
      <c r="V36" s="57"/>
      <c r="W36" s="34"/>
      <c r="X36" s="10"/>
      <c r="Y36" s="57"/>
      <c r="Z36" s="34"/>
      <c r="AA36" s="4"/>
    </row>
    <row r="37" spans="1:27" ht="41.4" x14ac:dyDescent="0.3">
      <c r="A37" s="4"/>
      <c r="B37" s="13">
        <v>29</v>
      </c>
      <c r="C37" s="38" t="s">
        <v>102</v>
      </c>
      <c r="D37" s="38" t="s">
        <v>96</v>
      </c>
      <c r="E37" s="38"/>
      <c r="F37" s="38" t="s">
        <v>21</v>
      </c>
      <c r="G37" s="38"/>
      <c r="H37" s="38"/>
      <c r="I37" s="38"/>
      <c r="J37" s="38" t="s">
        <v>103</v>
      </c>
      <c r="K37" s="12"/>
      <c r="L37" s="12"/>
      <c r="M37" s="12"/>
      <c r="N37" s="12" t="s">
        <v>87</v>
      </c>
      <c r="O37" s="611" t="s">
        <v>68</v>
      </c>
      <c r="P37" s="612"/>
      <c r="Q37" s="612"/>
      <c r="R37" s="34" t="s">
        <v>104</v>
      </c>
      <c r="S37" s="57"/>
      <c r="T37" s="60" t="s">
        <v>105</v>
      </c>
      <c r="U37" s="10"/>
      <c r="V37" s="57"/>
      <c r="W37" s="34"/>
      <c r="X37" s="10"/>
      <c r="Y37" s="57"/>
      <c r="Z37" s="34"/>
      <c r="AA37" s="4"/>
    </row>
    <row r="38" spans="1:27" ht="41.4" x14ac:dyDescent="0.3">
      <c r="A38" s="4"/>
      <c r="B38" s="13">
        <v>30</v>
      </c>
      <c r="C38" s="38"/>
      <c r="D38" s="38" t="s">
        <v>90</v>
      </c>
      <c r="E38" s="38"/>
      <c r="F38" s="38" t="s">
        <v>23</v>
      </c>
      <c r="G38" s="38"/>
      <c r="H38" s="38"/>
      <c r="I38" s="38"/>
      <c r="J38" s="38" t="s">
        <v>106</v>
      </c>
      <c r="K38" s="12"/>
      <c r="L38" s="12"/>
      <c r="M38" s="12"/>
      <c r="N38" s="12" t="s">
        <v>87</v>
      </c>
      <c r="O38" s="611" t="s">
        <v>68</v>
      </c>
      <c r="P38" s="612"/>
      <c r="Q38" s="612"/>
      <c r="R38" s="34" t="s">
        <v>104</v>
      </c>
      <c r="S38" s="57"/>
      <c r="T38" s="60" t="s">
        <v>105</v>
      </c>
      <c r="U38" s="10"/>
      <c r="V38" s="57"/>
      <c r="W38" s="34"/>
      <c r="X38" s="10"/>
      <c r="Y38" s="57"/>
      <c r="Z38" s="34"/>
      <c r="AA38" s="4"/>
    </row>
    <row r="39" spans="1:27" ht="27.6" x14ac:dyDescent="0.3">
      <c r="A39" s="4"/>
      <c r="B39" s="13">
        <v>31</v>
      </c>
      <c r="C39" s="38"/>
      <c r="D39" s="38" t="s">
        <v>90</v>
      </c>
      <c r="E39" s="38"/>
      <c r="F39" s="38" t="s">
        <v>24</v>
      </c>
      <c r="G39" s="38"/>
      <c r="H39" s="38"/>
      <c r="I39" s="38"/>
      <c r="J39" s="38" t="s">
        <v>107</v>
      </c>
      <c r="K39" s="12"/>
      <c r="L39" s="12"/>
      <c r="M39" s="12"/>
      <c r="N39" s="12" t="s">
        <v>108</v>
      </c>
      <c r="O39" s="611" t="s">
        <v>22</v>
      </c>
      <c r="P39" s="612"/>
      <c r="Q39" s="612"/>
      <c r="R39" s="34" t="s">
        <v>104</v>
      </c>
      <c r="S39" s="57"/>
      <c r="T39" s="60" t="s">
        <v>109</v>
      </c>
      <c r="U39" s="10"/>
      <c r="V39" s="57"/>
      <c r="W39" s="34"/>
      <c r="X39" s="10"/>
      <c r="Y39" s="57"/>
      <c r="Z39" s="34"/>
      <c r="AA39" s="4"/>
    </row>
    <row r="40" spans="1:27" ht="55.2" x14ac:dyDescent="0.3">
      <c r="A40" s="4"/>
      <c r="B40" s="13">
        <v>32</v>
      </c>
      <c r="C40" s="38"/>
      <c r="D40" s="38" t="s">
        <v>90</v>
      </c>
      <c r="E40" s="38"/>
      <c r="F40" s="38" t="s">
        <v>110</v>
      </c>
      <c r="G40" s="38"/>
      <c r="H40" s="38"/>
      <c r="I40" s="38"/>
      <c r="J40" s="38" t="s">
        <v>111</v>
      </c>
      <c r="K40" s="12"/>
      <c r="L40" s="12"/>
      <c r="M40" s="12"/>
      <c r="N40" s="12" t="s">
        <v>108</v>
      </c>
      <c r="O40" s="611" t="s">
        <v>19</v>
      </c>
      <c r="P40" s="612"/>
      <c r="Q40" s="612"/>
      <c r="R40" s="34" t="s">
        <v>104</v>
      </c>
      <c r="S40" s="57"/>
      <c r="T40" s="60" t="s">
        <v>112</v>
      </c>
      <c r="U40" s="10"/>
      <c r="V40" s="57"/>
      <c r="W40" s="34"/>
      <c r="X40" s="10"/>
      <c r="Y40" s="57"/>
      <c r="Z40" s="34"/>
      <c r="AA40" s="4"/>
    </row>
    <row r="41" spans="1:27" ht="41.4" x14ac:dyDescent="0.3">
      <c r="A41" s="4"/>
      <c r="B41" s="13">
        <v>33</v>
      </c>
      <c r="C41" s="38"/>
      <c r="D41" s="38" t="s">
        <v>90</v>
      </c>
      <c r="E41" s="38"/>
      <c r="F41" s="38" t="s">
        <v>113</v>
      </c>
      <c r="G41" s="38"/>
      <c r="H41" s="38"/>
      <c r="I41" s="38"/>
      <c r="J41" s="38" t="s">
        <v>114</v>
      </c>
      <c r="K41" s="12"/>
      <c r="L41" s="12"/>
      <c r="M41" s="12"/>
      <c r="N41" s="12" t="s">
        <v>108</v>
      </c>
      <c r="O41" s="611" t="s">
        <v>19</v>
      </c>
      <c r="P41" s="612"/>
      <c r="Q41" s="612"/>
      <c r="R41" s="34" t="s">
        <v>104</v>
      </c>
      <c r="S41" s="57"/>
      <c r="T41" s="60" t="s">
        <v>115</v>
      </c>
      <c r="U41" s="10"/>
      <c r="V41" s="57"/>
      <c r="W41" s="34"/>
      <c r="X41" s="10"/>
      <c r="Y41" s="57"/>
      <c r="Z41" s="34"/>
      <c r="AA41" s="4"/>
    </row>
    <row r="42" spans="1:27" ht="48.75" customHeight="1" x14ac:dyDescent="0.3">
      <c r="A42" s="4"/>
      <c r="B42" s="13">
        <v>34</v>
      </c>
      <c r="C42" s="38" t="s">
        <v>116</v>
      </c>
      <c r="D42" s="38" t="s">
        <v>90</v>
      </c>
      <c r="E42" s="38"/>
      <c r="F42" s="38" t="s">
        <v>25</v>
      </c>
      <c r="G42" s="38"/>
      <c r="H42" s="38"/>
      <c r="I42" s="38"/>
      <c r="J42" s="38" t="s">
        <v>116</v>
      </c>
      <c r="K42" s="12"/>
      <c r="L42" s="12"/>
      <c r="M42" s="12"/>
      <c r="N42" s="12" t="s">
        <v>108</v>
      </c>
      <c r="O42" s="611" t="s">
        <v>22</v>
      </c>
      <c r="P42" s="612"/>
      <c r="Q42" s="612"/>
      <c r="R42" s="34" t="s">
        <v>117</v>
      </c>
      <c r="S42" s="57"/>
      <c r="T42" s="60" t="s">
        <v>118</v>
      </c>
      <c r="U42" s="10"/>
      <c r="V42" s="57"/>
      <c r="W42" s="34"/>
      <c r="X42" s="10"/>
      <c r="Y42" s="57"/>
      <c r="Z42" s="34"/>
      <c r="AA42" s="4"/>
    </row>
    <row r="43" spans="1:27" ht="90" customHeight="1" x14ac:dyDescent="0.3">
      <c r="A43" s="4"/>
      <c r="B43" s="13">
        <v>35</v>
      </c>
      <c r="C43" s="38" t="s">
        <v>119</v>
      </c>
      <c r="D43" s="38" t="s">
        <v>90</v>
      </c>
      <c r="E43" s="38"/>
      <c r="F43" s="38" t="s">
        <v>120</v>
      </c>
      <c r="G43" s="38"/>
      <c r="H43" s="38"/>
      <c r="I43" s="38"/>
      <c r="J43" s="38" t="s">
        <v>119</v>
      </c>
      <c r="K43" s="12"/>
      <c r="L43" s="12"/>
      <c r="M43" s="12"/>
      <c r="N43" s="12" t="s">
        <v>87</v>
      </c>
      <c r="O43" s="611" t="s">
        <v>68</v>
      </c>
      <c r="P43" s="612"/>
      <c r="Q43" s="612"/>
      <c r="R43" s="34" t="s">
        <v>92</v>
      </c>
      <c r="S43" s="57"/>
      <c r="T43" s="60" t="s">
        <v>121</v>
      </c>
      <c r="U43" s="10"/>
      <c r="V43" s="57"/>
      <c r="W43" s="34"/>
      <c r="X43" s="10"/>
      <c r="Y43" s="57"/>
      <c r="Z43" s="34"/>
      <c r="AA43" s="4"/>
    </row>
    <row r="44" spans="1:27" ht="17.25" customHeight="1" x14ac:dyDescent="0.3">
      <c r="A44" s="4"/>
      <c r="B44" s="13">
        <v>36</v>
      </c>
      <c r="C44" s="38"/>
      <c r="D44" s="38" t="s">
        <v>90</v>
      </c>
      <c r="E44" s="38"/>
      <c r="F44" s="38" t="s">
        <v>122</v>
      </c>
      <c r="G44" s="38"/>
      <c r="H44" s="38"/>
      <c r="I44" s="38"/>
      <c r="J44" s="38" t="s">
        <v>123</v>
      </c>
      <c r="K44" s="12"/>
      <c r="L44" s="12"/>
      <c r="M44" s="12"/>
      <c r="N44" s="12"/>
      <c r="O44" s="611"/>
      <c r="P44" s="612"/>
      <c r="Q44" s="612"/>
      <c r="R44" s="34"/>
      <c r="S44" s="57"/>
      <c r="T44" s="59"/>
      <c r="U44" s="10"/>
      <c r="V44" s="57"/>
      <c r="W44" s="34"/>
      <c r="X44" s="10"/>
      <c r="Y44" s="57"/>
      <c r="Z44" s="34"/>
      <c r="AA44" s="4"/>
    </row>
    <row r="45" spans="1:27" ht="17.25" customHeight="1" x14ac:dyDescent="0.3">
      <c r="A45" s="4"/>
      <c r="B45" s="13">
        <v>37</v>
      </c>
      <c r="C45" s="38" t="s">
        <v>124</v>
      </c>
      <c r="D45" s="38" t="s">
        <v>96</v>
      </c>
      <c r="E45" s="38"/>
      <c r="F45" s="38" t="s">
        <v>26</v>
      </c>
      <c r="G45" s="38"/>
      <c r="H45" s="38"/>
      <c r="I45" s="38"/>
      <c r="J45" s="38" t="s">
        <v>125</v>
      </c>
      <c r="K45" s="12"/>
      <c r="L45" s="12"/>
      <c r="M45" s="12"/>
      <c r="N45" s="12"/>
      <c r="O45" s="611"/>
      <c r="P45" s="612"/>
      <c r="Q45" s="612"/>
      <c r="R45" s="34"/>
      <c r="S45" s="57"/>
      <c r="T45" s="59"/>
      <c r="U45" s="10"/>
      <c r="V45" s="57"/>
      <c r="W45" s="34"/>
      <c r="X45" s="10"/>
      <c r="Y45" s="57"/>
      <c r="Z45" s="34"/>
      <c r="AA45" s="4"/>
    </row>
    <row r="46" spans="1:27" ht="17.25" customHeight="1" x14ac:dyDescent="0.3">
      <c r="A46" s="4"/>
      <c r="B46" s="13">
        <v>38</v>
      </c>
      <c r="C46" s="38"/>
      <c r="D46" s="38" t="s">
        <v>96</v>
      </c>
      <c r="E46" s="38"/>
      <c r="F46" s="38" t="s">
        <v>43</v>
      </c>
      <c r="G46" s="38"/>
      <c r="H46" s="38"/>
      <c r="I46" s="38"/>
      <c r="J46" s="38" t="s">
        <v>126</v>
      </c>
      <c r="K46" s="12"/>
      <c r="L46" s="12"/>
      <c r="M46" s="12"/>
      <c r="N46" s="12"/>
      <c r="O46" s="611"/>
      <c r="P46" s="612"/>
      <c r="Q46" s="612"/>
      <c r="R46" s="34"/>
      <c r="S46" s="57"/>
      <c r="T46" s="59"/>
      <c r="U46" s="10"/>
      <c r="V46" s="57"/>
      <c r="W46" s="34"/>
      <c r="X46" s="10"/>
      <c r="Y46" s="57"/>
      <c r="Z46" s="34"/>
      <c r="AA46" s="4"/>
    </row>
    <row r="47" spans="1:27" ht="17.25" customHeight="1" x14ac:dyDescent="0.3">
      <c r="A47" s="4"/>
      <c r="B47" s="13">
        <v>39</v>
      </c>
      <c r="C47" s="38" t="s">
        <v>127</v>
      </c>
      <c r="D47" s="38"/>
      <c r="E47" s="38"/>
      <c r="F47" s="38" t="s">
        <v>44</v>
      </c>
      <c r="G47" s="38"/>
      <c r="H47" s="38"/>
      <c r="I47" s="38"/>
      <c r="J47" s="38" t="s">
        <v>128</v>
      </c>
      <c r="K47" s="12"/>
      <c r="L47" s="12"/>
      <c r="M47" s="12"/>
      <c r="N47" s="12"/>
      <c r="O47" s="611"/>
      <c r="P47" s="612"/>
      <c r="Q47" s="612"/>
      <c r="R47" s="34"/>
      <c r="S47" s="57"/>
      <c r="T47" s="59"/>
      <c r="U47" s="10"/>
      <c r="V47" s="57"/>
      <c r="W47" s="34"/>
      <c r="X47" s="10"/>
      <c r="Y47" s="57"/>
      <c r="Z47" s="34"/>
      <c r="AA47" s="4"/>
    </row>
    <row r="48" spans="1:27" ht="17.25" customHeight="1" x14ac:dyDescent="0.3">
      <c r="A48" s="4"/>
      <c r="B48" s="13">
        <v>40</v>
      </c>
      <c r="C48" s="38" t="s">
        <v>129</v>
      </c>
      <c r="D48" s="38"/>
      <c r="E48" s="38"/>
      <c r="F48" s="38" t="s">
        <v>130</v>
      </c>
      <c r="G48" s="38"/>
      <c r="H48" s="38"/>
      <c r="I48" s="38"/>
      <c r="J48" s="38" t="s">
        <v>131</v>
      </c>
      <c r="K48" s="12"/>
      <c r="L48" s="12"/>
      <c r="M48" s="12"/>
      <c r="N48" s="12"/>
      <c r="O48" s="611"/>
      <c r="P48" s="612"/>
      <c r="Q48" s="612"/>
      <c r="R48" s="34"/>
      <c r="S48" s="57"/>
      <c r="T48" s="59"/>
      <c r="U48" s="10"/>
      <c r="V48" s="57"/>
      <c r="W48" s="34"/>
      <c r="X48" s="10"/>
      <c r="Y48" s="57"/>
      <c r="Z48" s="34"/>
      <c r="AA48" s="4"/>
    </row>
    <row r="49" spans="1:27" ht="17.25" customHeight="1" x14ac:dyDescent="0.3">
      <c r="A49" s="4"/>
      <c r="B49" s="13">
        <v>41</v>
      </c>
      <c r="C49" s="38"/>
      <c r="D49" s="38"/>
      <c r="E49" s="38"/>
      <c r="F49" s="38" t="s">
        <v>45</v>
      </c>
      <c r="G49" s="38"/>
      <c r="H49" s="38"/>
      <c r="I49" s="38"/>
      <c r="J49" s="38" t="s">
        <v>132</v>
      </c>
      <c r="K49" s="12"/>
      <c r="L49" s="12"/>
      <c r="M49" s="12"/>
      <c r="N49" s="12"/>
      <c r="O49" s="611"/>
      <c r="P49" s="612"/>
      <c r="Q49" s="612"/>
      <c r="R49" s="34"/>
      <c r="S49" s="57"/>
      <c r="T49" s="59"/>
      <c r="U49" s="10"/>
      <c r="V49" s="57"/>
      <c r="W49" s="34"/>
      <c r="X49" s="10"/>
      <c r="Y49" s="57"/>
      <c r="Z49" s="34"/>
      <c r="AA49" s="4"/>
    </row>
    <row r="50" spans="1:27" ht="17.25" customHeight="1" x14ac:dyDescent="0.3">
      <c r="A50" s="4"/>
      <c r="B50" s="13">
        <v>42</v>
      </c>
      <c r="C50" s="38" t="s">
        <v>133</v>
      </c>
      <c r="D50" s="38"/>
      <c r="E50" s="38"/>
      <c r="F50" s="38" t="s">
        <v>134</v>
      </c>
      <c r="G50" s="38"/>
      <c r="H50" s="38"/>
      <c r="I50" s="38"/>
      <c r="J50" s="38" t="s">
        <v>135</v>
      </c>
      <c r="K50" s="12"/>
      <c r="L50" s="12"/>
      <c r="M50" s="12"/>
      <c r="N50" s="12"/>
      <c r="O50" s="611"/>
      <c r="P50" s="612"/>
      <c r="Q50" s="612"/>
      <c r="R50" s="34"/>
      <c r="S50" s="57"/>
      <c r="T50" s="59"/>
      <c r="U50" s="10"/>
      <c r="V50" s="57"/>
      <c r="W50" s="34"/>
      <c r="X50" s="10"/>
      <c r="Y50" s="57"/>
      <c r="Z50" s="34"/>
      <c r="AA50" s="4"/>
    </row>
    <row r="51" spans="1:27" ht="17.25" customHeight="1" x14ac:dyDescent="0.3">
      <c r="A51" s="4"/>
      <c r="B51" s="13">
        <v>43</v>
      </c>
      <c r="C51" s="38"/>
      <c r="D51" s="38"/>
      <c r="E51" s="38"/>
      <c r="F51" s="38" t="s">
        <v>136</v>
      </c>
      <c r="G51" s="38"/>
      <c r="H51" s="38"/>
      <c r="I51" s="38"/>
      <c r="J51" s="38" t="s">
        <v>137</v>
      </c>
      <c r="K51" s="12"/>
      <c r="L51" s="12"/>
      <c r="M51" s="12"/>
      <c r="N51" s="12"/>
      <c r="O51" s="611"/>
      <c r="P51" s="612"/>
      <c r="Q51" s="612"/>
      <c r="R51" s="34"/>
      <c r="S51" s="57"/>
      <c r="T51" s="59"/>
      <c r="U51" s="10"/>
      <c r="V51" s="57"/>
      <c r="W51" s="34"/>
      <c r="X51" s="10"/>
      <c r="Y51" s="57"/>
      <c r="Z51" s="34"/>
      <c r="AA51" s="4"/>
    </row>
    <row r="52" spans="1:27" ht="17.25" customHeight="1" x14ac:dyDescent="0.3">
      <c r="A52" s="4"/>
      <c r="B52" s="13">
        <v>44</v>
      </c>
      <c r="C52" s="38" t="s">
        <v>138</v>
      </c>
      <c r="D52" s="38"/>
      <c r="E52" s="38"/>
      <c r="F52" s="38" t="s">
        <v>139</v>
      </c>
      <c r="G52" s="38"/>
      <c r="H52" s="38"/>
      <c r="I52" s="38"/>
      <c r="J52" s="38" t="s">
        <v>140</v>
      </c>
      <c r="K52" s="12"/>
      <c r="L52" s="12"/>
      <c r="M52" s="12"/>
      <c r="N52" s="12"/>
      <c r="O52" s="611"/>
      <c r="P52" s="612"/>
      <c r="Q52" s="612"/>
      <c r="R52" s="34"/>
      <c r="S52" s="57"/>
      <c r="T52" s="59"/>
      <c r="U52" s="10"/>
      <c r="V52" s="57"/>
      <c r="W52" s="34"/>
      <c r="X52" s="10"/>
      <c r="Y52" s="57"/>
      <c r="Z52" s="34"/>
      <c r="AA52" s="4"/>
    </row>
    <row r="53" spans="1:27" ht="17.25" customHeight="1" x14ac:dyDescent="0.3">
      <c r="A53" s="4"/>
      <c r="B53" s="13">
        <v>45</v>
      </c>
      <c r="C53" s="38"/>
      <c r="D53" s="38"/>
      <c r="E53" s="38"/>
      <c r="F53" s="38" t="s">
        <v>141</v>
      </c>
      <c r="G53" s="38"/>
      <c r="H53" s="38"/>
      <c r="I53" s="38"/>
      <c r="J53" s="38" t="s">
        <v>142</v>
      </c>
      <c r="K53" s="12"/>
      <c r="L53" s="12"/>
      <c r="M53" s="12"/>
      <c r="N53" s="12"/>
      <c r="O53" s="611"/>
      <c r="P53" s="612"/>
      <c r="Q53" s="612"/>
      <c r="R53" s="34"/>
      <c r="S53" s="57"/>
      <c r="T53" s="59"/>
      <c r="U53" s="10"/>
      <c r="V53" s="57"/>
      <c r="W53" s="34"/>
      <c r="X53" s="10"/>
      <c r="Y53" s="57"/>
      <c r="Z53" s="34"/>
      <c r="AA53" s="4"/>
    </row>
    <row r="54" spans="1:27" ht="17.25" customHeight="1" x14ac:dyDescent="0.3">
      <c r="A54" s="4"/>
      <c r="B54" s="13">
        <v>46</v>
      </c>
      <c r="C54" s="38" t="s">
        <v>143</v>
      </c>
      <c r="D54" s="38"/>
      <c r="E54" s="38"/>
      <c r="F54" s="38" t="s">
        <v>47</v>
      </c>
      <c r="G54" s="38"/>
      <c r="H54" s="38"/>
      <c r="I54" s="38"/>
      <c r="J54" s="38" t="s">
        <v>86</v>
      </c>
      <c r="K54" s="12"/>
      <c r="L54" s="12"/>
      <c r="M54" s="12"/>
      <c r="N54" s="12"/>
      <c r="O54" s="611"/>
      <c r="P54" s="612"/>
      <c r="Q54" s="612"/>
      <c r="R54" s="34"/>
      <c r="S54" s="57"/>
      <c r="T54" s="59"/>
      <c r="U54" s="10"/>
      <c r="V54" s="57"/>
      <c r="W54" s="34"/>
      <c r="X54" s="10"/>
      <c r="Y54" s="57"/>
      <c r="Z54" s="34"/>
      <c r="AA54" s="4"/>
    </row>
    <row r="55" spans="1:27" ht="17.25" customHeight="1" x14ac:dyDescent="0.3">
      <c r="A55" s="28" t="s">
        <v>108</v>
      </c>
      <c r="B55" s="28"/>
      <c r="C55" s="29"/>
      <c r="D55" s="29"/>
      <c r="E55" s="29"/>
      <c r="F55" s="629"/>
      <c r="G55" s="618"/>
      <c r="H55" s="618"/>
      <c r="I55" s="618"/>
      <c r="J55" s="624"/>
      <c r="K55" s="618"/>
      <c r="L55" s="618"/>
      <c r="M55" s="618"/>
      <c r="N55" s="624"/>
      <c r="O55" s="618"/>
      <c r="P55" s="618"/>
      <c r="Q55" s="618"/>
      <c r="R55" s="53"/>
      <c r="S55" s="630"/>
      <c r="T55" s="613"/>
      <c r="U55" s="30"/>
      <c r="V55" s="631"/>
      <c r="W55" s="613"/>
      <c r="X55" s="30"/>
      <c r="Y55" s="631"/>
      <c r="Z55" s="613"/>
      <c r="AA55" s="32"/>
    </row>
    <row r="56" spans="1:27" ht="17.25" customHeight="1" x14ac:dyDescent="0.3">
      <c r="A56" s="6"/>
      <c r="B56" s="13">
        <v>1</v>
      </c>
      <c r="C56" s="38" t="s">
        <v>144</v>
      </c>
      <c r="D56" s="38" t="s">
        <v>65</v>
      </c>
      <c r="E56" s="12"/>
      <c r="F56" s="38" t="s">
        <v>145</v>
      </c>
      <c r="G56" s="38"/>
      <c r="H56" s="38"/>
      <c r="I56" s="38"/>
      <c r="J56" s="38" t="s">
        <v>91</v>
      </c>
      <c r="K56" s="12"/>
      <c r="L56" s="12"/>
      <c r="M56" s="12"/>
      <c r="N56" s="12"/>
      <c r="O56" s="611"/>
      <c r="P56" s="612"/>
      <c r="Q56" s="612"/>
      <c r="R56" s="34"/>
      <c r="S56" s="57"/>
      <c r="T56" s="59"/>
      <c r="U56" s="10"/>
      <c r="V56" s="57"/>
      <c r="W56" s="34"/>
      <c r="X56" s="10"/>
      <c r="Y56" s="57"/>
      <c r="Z56" s="34"/>
      <c r="AA56" s="4"/>
    </row>
    <row r="57" spans="1:27" ht="17.25" customHeight="1" x14ac:dyDescent="0.3">
      <c r="A57" s="6"/>
      <c r="B57" s="13">
        <v>2</v>
      </c>
      <c r="C57" s="38" t="s">
        <v>146</v>
      </c>
      <c r="D57" s="38" t="s">
        <v>65</v>
      </c>
      <c r="E57" s="12"/>
      <c r="F57" s="38" t="s">
        <v>147</v>
      </c>
      <c r="G57" s="38"/>
      <c r="H57" s="38"/>
      <c r="I57" s="38"/>
      <c r="J57" s="38" t="s">
        <v>148</v>
      </c>
      <c r="K57" s="12"/>
      <c r="L57" s="12"/>
      <c r="M57" s="12"/>
      <c r="N57" s="12"/>
      <c r="O57" s="611"/>
      <c r="P57" s="612"/>
      <c r="Q57" s="612"/>
      <c r="R57" s="34"/>
      <c r="S57" s="57"/>
      <c r="T57" s="59"/>
      <c r="U57" s="10"/>
      <c r="V57" s="57"/>
      <c r="W57" s="34"/>
      <c r="X57" s="10"/>
      <c r="Y57" s="57"/>
      <c r="Z57" s="34"/>
      <c r="AA57" s="4"/>
    </row>
    <row r="58" spans="1:27" ht="17.25" customHeight="1" x14ac:dyDescent="0.3">
      <c r="A58" s="6"/>
      <c r="B58" s="13">
        <v>3</v>
      </c>
      <c r="C58" s="38"/>
      <c r="D58" s="38" t="s">
        <v>149</v>
      </c>
      <c r="E58" s="12"/>
      <c r="F58" s="38" t="s">
        <v>150</v>
      </c>
      <c r="G58" s="38"/>
      <c r="H58" s="38"/>
      <c r="I58" s="38"/>
      <c r="J58" s="38" t="s">
        <v>151</v>
      </c>
      <c r="K58" s="12"/>
      <c r="L58" s="12"/>
      <c r="M58" s="12"/>
      <c r="N58" s="12"/>
      <c r="O58" s="611"/>
      <c r="P58" s="612"/>
      <c r="Q58" s="612"/>
      <c r="R58" s="34"/>
      <c r="S58" s="57"/>
      <c r="T58" s="59"/>
      <c r="U58" s="10"/>
      <c r="V58" s="57"/>
      <c r="W58" s="34"/>
      <c r="X58" s="10"/>
      <c r="Y58" s="57"/>
      <c r="Z58" s="34"/>
      <c r="AA58" s="4"/>
    </row>
    <row r="59" spans="1:27" ht="17.25" customHeight="1" x14ac:dyDescent="0.3">
      <c r="A59" s="6"/>
      <c r="B59" s="13">
        <v>10</v>
      </c>
      <c r="C59" s="38" t="s">
        <v>102</v>
      </c>
      <c r="D59" s="38" t="s">
        <v>65</v>
      </c>
      <c r="E59" s="61"/>
      <c r="F59" s="38" t="s">
        <v>41</v>
      </c>
      <c r="G59" s="38"/>
      <c r="H59" s="38"/>
      <c r="I59" s="38"/>
      <c r="J59" s="38" t="s">
        <v>106</v>
      </c>
      <c r="K59" s="12"/>
      <c r="L59" s="12"/>
      <c r="M59" s="12"/>
      <c r="N59" s="12"/>
      <c r="O59" s="611"/>
      <c r="P59" s="612"/>
      <c r="Q59" s="612"/>
      <c r="R59" s="34"/>
      <c r="S59" s="57"/>
      <c r="T59" s="59"/>
      <c r="U59" s="10"/>
      <c r="V59" s="57"/>
      <c r="W59" s="34"/>
      <c r="X59" s="10"/>
      <c r="Y59" s="57"/>
      <c r="Z59" s="34"/>
      <c r="AA59" s="4"/>
    </row>
    <row r="60" spans="1:27" ht="17.25" customHeight="1" x14ac:dyDescent="0.3">
      <c r="A60" s="6"/>
      <c r="B60" s="13">
        <v>11</v>
      </c>
      <c r="C60" s="38"/>
      <c r="D60" s="38" t="s">
        <v>65</v>
      </c>
      <c r="E60" s="61"/>
      <c r="F60" s="38" t="s">
        <v>27</v>
      </c>
      <c r="G60" s="38"/>
      <c r="H60" s="38"/>
      <c r="I60" s="38"/>
      <c r="J60" s="38" t="s">
        <v>107</v>
      </c>
      <c r="K60" s="12"/>
      <c r="L60" s="12"/>
      <c r="M60" s="12"/>
      <c r="N60" s="12"/>
      <c r="O60" s="611"/>
      <c r="P60" s="612"/>
      <c r="Q60" s="612"/>
      <c r="R60" s="34"/>
      <c r="S60" s="57"/>
      <c r="T60" s="59"/>
      <c r="U60" s="10"/>
      <c r="V60" s="57"/>
      <c r="W60" s="34"/>
      <c r="X60" s="10"/>
      <c r="Y60" s="57"/>
      <c r="Z60" s="34"/>
      <c r="AA60" s="4"/>
    </row>
    <row r="61" spans="1:27" ht="17.25" customHeight="1" x14ac:dyDescent="0.3">
      <c r="A61" s="6"/>
      <c r="B61" s="13">
        <v>12</v>
      </c>
      <c r="C61" s="38" t="s">
        <v>119</v>
      </c>
      <c r="D61" s="38" t="s">
        <v>65</v>
      </c>
      <c r="E61" s="61"/>
      <c r="F61" s="38" t="s">
        <v>28</v>
      </c>
      <c r="G61" s="38"/>
      <c r="H61" s="38"/>
      <c r="I61" s="38"/>
      <c r="J61" s="38" t="s">
        <v>152</v>
      </c>
      <c r="K61" s="12"/>
      <c r="L61" s="12"/>
      <c r="M61" s="12"/>
      <c r="N61" s="12"/>
      <c r="O61" s="611"/>
      <c r="P61" s="612"/>
      <c r="Q61" s="612"/>
      <c r="R61" s="34"/>
      <c r="S61" s="57"/>
      <c r="T61" s="59"/>
      <c r="U61" s="10"/>
      <c r="V61" s="57"/>
      <c r="W61" s="34"/>
      <c r="X61" s="10"/>
      <c r="Y61" s="57"/>
      <c r="Z61" s="34"/>
      <c r="AA61" s="4"/>
    </row>
    <row r="62" spans="1:27" ht="17.25" customHeight="1" x14ac:dyDescent="0.3">
      <c r="A62" s="6"/>
      <c r="B62" s="13">
        <v>13</v>
      </c>
      <c r="C62" s="38"/>
      <c r="D62" s="38" t="s">
        <v>65</v>
      </c>
      <c r="E62" s="61"/>
      <c r="F62" s="38" t="s">
        <v>29</v>
      </c>
      <c r="G62" s="38"/>
      <c r="H62" s="38"/>
      <c r="I62" s="38"/>
      <c r="J62" s="38" t="s">
        <v>153</v>
      </c>
      <c r="K62" s="12"/>
      <c r="L62" s="12"/>
      <c r="M62" s="12"/>
      <c r="N62" s="12"/>
      <c r="O62" s="611"/>
      <c r="P62" s="612"/>
      <c r="Q62" s="612"/>
      <c r="R62" s="34"/>
      <c r="S62" s="57"/>
      <c r="T62" s="59"/>
      <c r="U62" s="10"/>
      <c r="V62" s="57"/>
      <c r="W62" s="34"/>
      <c r="X62" s="10"/>
      <c r="Y62" s="57"/>
      <c r="Z62" s="34"/>
      <c r="AA62" s="4"/>
    </row>
    <row r="63" spans="1:27" ht="17.25" customHeight="1" x14ac:dyDescent="0.3">
      <c r="A63" s="6"/>
      <c r="B63" s="13">
        <v>14</v>
      </c>
      <c r="C63" s="38" t="s">
        <v>154</v>
      </c>
      <c r="D63" s="38" t="s">
        <v>149</v>
      </c>
      <c r="E63" s="61"/>
      <c r="F63" s="38" t="s">
        <v>35</v>
      </c>
      <c r="G63" s="38"/>
      <c r="H63" s="38"/>
      <c r="I63" s="38"/>
      <c r="J63" s="38" t="s">
        <v>155</v>
      </c>
      <c r="K63" s="12"/>
      <c r="L63" s="12"/>
      <c r="M63" s="12"/>
      <c r="N63" s="12"/>
      <c r="O63" s="611"/>
      <c r="P63" s="612"/>
      <c r="Q63" s="612"/>
      <c r="R63" s="34"/>
      <c r="S63" s="57"/>
      <c r="T63" s="59"/>
      <c r="U63" s="10"/>
      <c r="V63" s="57"/>
      <c r="W63" s="34"/>
      <c r="X63" s="10"/>
      <c r="Y63" s="57"/>
      <c r="Z63" s="34"/>
      <c r="AA63" s="4"/>
    </row>
    <row r="64" spans="1:27" ht="17.25" customHeight="1" x14ac:dyDescent="0.3">
      <c r="A64" s="6"/>
      <c r="B64" s="13">
        <v>15</v>
      </c>
      <c r="C64" s="38"/>
      <c r="D64" s="38" t="s">
        <v>149</v>
      </c>
      <c r="E64" s="61"/>
      <c r="F64" s="38" t="s">
        <v>36</v>
      </c>
      <c r="G64" s="38"/>
      <c r="H64" s="38"/>
      <c r="I64" s="38"/>
      <c r="J64" s="38" t="s">
        <v>156</v>
      </c>
      <c r="K64" s="12"/>
      <c r="L64" s="12"/>
      <c r="M64" s="12"/>
      <c r="N64" s="12"/>
      <c r="O64" s="611"/>
      <c r="P64" s="612"/>
      <c r="Q64" s="612"/>
      <c r="R64" s="34"/>
      <c r="S64" s="57"/>
      <c r="T64" s="59"/>
      <c r="U64" s="10"/>
      <c r="V64" s="57"/>
      <c r="W64" s="34"/>
      <c r="X64" s="10"/>
      <c r="Y64" s="57"/>
      <c r="Z64" s="34"/>
      <c r="AA64" s="4"/>
    </row>
    <row r="65" spans="1:27" ht="17.25" customHeight="1" x14ac:dyDescent="0.3">
      <c r="A65" s="4"/>
      <c r="B65" s="13">
        <v>21</v>
      </c>
      <c r="C65" s="38" t="s">
        <v>157</v>
      </c>
      <c r="D65" s="38" t="s">
        <v>149</v>
      </c>
      <c r="E65" s="12"/>
      <c r="F65" s="38" t="s">
        <v>33</v>
      </c>
      <c r="G65" s="38"/>
      <c r="H65" s="38"/>
      <c r="I65" s="38"/>
      <c r="J65" s="38" t="s">
        <v>125</v>
      </c>
      <c r="K65" s="12"/>
      <c r="L65" s="12"/>
      <c r="M65" s="12"/>
      <c r="N65" s="12"/>
      <c r="O65" s="611"/>
      <c r="P65" s="612"/>
      <c r="Q65" s="612"/>
      <c r="R65" s="34"/>
      <c r="S65" s="57"/>
      <c r="T65" s="59"/>
      <c r="U65" s="10"/>
      <c r="V65" s="57"/>
      <c r="W65" s="34"/>
      <c r="X65" s="10"/>
      <c r="Y65" s="57"/>
      <c r="Z65" s="34"/>
      <c r="AA65" s="4"/>
    </row>
    <row r="66" spans="1:27" ht="17.25" customHeight="1" x14ac:dyDescent="0.3">
      <c r="A66" s="4"/>
      <c r="B66" s="13">
        <v>22</v>
      </c>
      <c r="C66" s="38"/>
      <c r="D66" s="38" t="s">
        <v>149</v>
      </c>
      <c r="E66" s="12"/>
      <c r="F66" s="38" t="s">
        <v>34</v>
      </c>
      <c r="G66" s="38"/>
      <c r="H66" s="38"/>
      <c r="I66" s="38"/>
      <c r="J66" s="38" t="s">
        <v>126</v>
      </c>
      <c r="K66" s="12"/>
      <c r="L66" s="12"/>
      <c r="M66" s="12"/>
      <c r="N66" s="12"/>
      <c r="O66" s="611"/>
      <c r="P66" s="612"/>
      <c r="Q66" s="612"/>
      <c r="R66" s="34"/>
      <c r="S66" s="57"/>
      <c r="T66" s="59"/>
      <c r="U66" s="10"/>
      <c r="V66" s="57"/>
      <c r="W66" s="34"/>
      <c r="X66" s="10"/>
      <c r="Y66" s="57"/>
      <c r="Z66" s="34"/>
      <c r="AA66" s="4"/>
    </row>
    <row r="67" spans="1:27" ht="49.5" customHeight="1" x14ac:dyDescent="0.3">
      <c r="A67" s="4"/>
      <c r="B67" s="4"/>
      <c r="C67" s="4"/>
      <c r="D67" s="4"/>
      <c r="E67" s="4"/>
      <c r="F67" s="4"/>
      <c r="G67" s="4"/>
      <c r="H67" s="4"/>
      <c r="I67" s="4"/>
      <c r="J67" s="4"/>
      <c r="K67" s="4"/>
      <c r="L67" s="4"/>
      <c r="M67" s="4"/>
      <c r="N67" s="3"/>
      <c r="O67" s="4"/>
      <c r="P67" s="4"/>
      <c r="Q67" s="4"/>
      <c r="R67" s="62"/>
      <c r="S67" s="634"/>
      <c r="T67" s="601"/>
      <c r="U67" s="601"/>
      <c r="V67" s="601"/>
      <c r="W67" s="601"/>
      <c r="AA67" s="4"/>
    </row>
    <row r="68" spans="1:27" ht="66" customHeight="1" x14ac:dyDescent="0.3">
      <c r="A68" s="4"/>
      <c r="B68" s="4"/>
      <c r="C68" s="4"/>
      <c r="D68" s="4"/>
      <c r="E68" s="4"/>
      <c r="F68" s="4"/>
      <c r="G68" s="4"/>
      <c r="H68" s="4"/>
      <c r="I68" s="4"/>
      <c r="J68" s="4"/>
      <c r="K68" s="4"/>
      <c r="L68" s="4"/>
      <c r="M68" s="4"/>
      <c r="N68" s="4"/>
      <c r="O68" s="4"/>
      <c r="P68" s="4"/>
      <c r="Q68" s="4"/>
      <c r="R68" s="62"/>
      <c r="S68" s="634"/>
      <c r="T68" s="601"/>
      <c r="U68" s="3"/>
      <c r="V68" s="63"/>
      <c r="W68" s="4"/>
      <c r="X68" s="3"/>
      <c r="Y68" s="63"/>
      <c r="Z68" s="4"/>
      <c r="AA68" s="4"/>
    </row>
    <row r="69" spans="1:27" ht="44.25" customHeight="1" x14ac:dyDescent="0.3">
      <c r="A69" s="4"/>
      <c r="B69" s="4"/>
      <c r="C69" s="4"/>
      <c r="D69" s="4"/>
      <c r="E69" s="4"/>
      <c r="F69" s="4"/>
      <c r="G69" s="4"/>
      <c r="H69" s="4"/>
      <c r="I69" s="4"/>
      <c r="J69" s="4"/>
      <c r="K69" s="4"/>
      <c r="L69" s="4"/>
      <c r="M69" s="4"/>
      <c r="N69" s="4"/>
      <c r="O69" s="4"/>
      <c r="P69" s="4"/>
      <c r="Q69" s="4"/>
      <c r="R69" s="4"/>
      <c r="S69" s="47"/>
      <c r="T69" s="4"/>
      <c r="U69" s="4"/>
      <c r="V69" s="47"/>
      <c r="W69" s="4"/>
      <c r="X69" s="4"/>
      <c r="Y69" s="47"/>
      <c r="Z69" s="4"/>
      <c r="AA69" s="4"/>
    </row>
    <row r="70" spans="1:27" ht="24" customHeight="1" x14ac:dyDescent="0.3">
      <c r="A70" s="4"/>
      <c r="B70" s="4"/>
      <c r="C70" s="4"/>
      <c r="D70" s="4"/>
      <c r="E70" s="4"/>
      <c r="F70" s="4"/>
      <c r="G70" s="4"/>
      <c r="H70" s="4"/>
      <c r="I70" s="4"/>
      <c r="J70" s="4"/>
      <c r="K70" s="4"/>
      <c r="L70" s="4"/>
      <c r="M70" s="4"/>
      <c r="N70" s="4"/>
      <c r="O70" s="4"/>
      <c r="P70" s="4"/>
      <c r="Q70" s="4"/>
      <c r="R70" s="4"/>
      <c r="S70" s="47"/>
      <c r="T70" s="4"/>
      <c r="U70" s="4"/>
      <c r="V70" s="47"/>
      <c r="W70" s="4"/>
      <c r="X70" s="4"/>
      <c r="Y70" s="47"/>
      <c r="Z70" s="4"/>
      <c r="AA70" s="4"/>
    </row>
    <row r="71" spans="1:27" ht="24" customHeight="1" x14ac:dyDescent="0.3">
      <c r="A71" s="4"/>
      <c r="B71" s="4"/>
      <c r="C71" s="4"/>
      <c r="D71" s="4"/>
      <c r="E71" s="4"/>
      <c r="F71" s="4"/>
      <c r="G71" s="4"/>
      <c r="H71" s="4"/>
      <c r="I71" s="4"/>
      <c r="J71" s="4"/>
      <c r="K71" s="4"/>
      <c r="L71" s="4"/>
      <c r="M71" s="4"/>
      <c r="N71" s="4"/>
      <c r="O71" s="4"/>
      <c r="P71" s="4"/>
      <c r="Q71" s="4"/>
      <c r="R71" s="4"/>
      <c r="S71" s="47"/>
      <c r="T71" s="4"/>
      <c r="U71" s="4"/>
      <c r="V71" s="47"/>
      <c r="W71" s="4"/>
      <c r="X71" s="4"/>
      <c r="Y71" s="47"/>
      <c r="Z71" s="4"/>
      <c r="AA71" s="4"/>
    </row>
    <row r="72" spans="1:27" ht="24" customHeight="1" x14ac:dyDescent="0.3">
      <c r="A72" s="4"/>
      <c r="B72" s="4"/>
      <c r="C72" s="4"/>
      <c r="D72" s="4"/>
      <c r="E72" s="4"/>
      <c r="F72" s="4"/>
      <c r="G72" s="4"/>
      <c r="H72" s="4"/>
      <c r="I72" s="4"/>
      <c r="J72" s="4"/>
      <c r="K72" s="4"/>
      <c r="L72" s="4"/>
      <c r="M72" s="4"/>
      <c r="N72" s="4"/>
      <c r="O72" s="4"/>
      <c r="P72" s="4"/>
      <c r="Q72" s="4"/>
      <c r="R72" s="4"/>
      <c r="S72" s="47"/>
      <c r="T72" s="4"/>
      <c r="U72" s="4"/>
      <c r="V72" s="47"/>
      <c r="W72" s="4"/>
      <c r="X72" s="4"/>
      <c r="Y72" s="47"/>
      <c r="Z72" s="4"/>
      <c r="AA72" s="4"/>
    </row>
    <row r="73" spans="1:27" ht="24" customHeight="1" x14ac:dyDescent="0.3">
      <c r="A73" s="4"/>
      <c r="B73" s="4"/>
      <c r="C73" s="4"/>
      <c r="D73" s="4"/>
      <c r="E73" s="4"/>
      <c r="F73" s="4"/>
      <c r="G73" s="4"/>
      <c r="H73" s="4"/>
      <c r="I73" s="4"/>
      <c r="J73" s="4"/>
      <c r="K73" s="4"/>
      <c r="L73" s="4"/>
      <c r="M73" s="4"/>
      <c r="N73" s="4"/>
      <c r="O73" s="4"/>
      <c r="P73" s="4"/>
      <c r="Q73" s="4"/>
      <c r="R73" s="4"/>
      <c r="S73" s="47"/>
      <c r="T73" s="4"/>
      <c r="U73" s="4"/>
      <c r="V73" s="47"/>
      <c r="W73" s="4"/>
      <c r="X73" s="4"/>
      <c r="Y73" s="47"/>
      <c r="Z73" s="4"/>
      <c r="AA73" s="4"/>
    </row>
    <row r="74" spans="1:27" ht="24" customHeight="1" x14ac:dyDescent="0.3">
      <c r="A74" s="4"/>
      <c r="B74" s="4"/>
      <c r="C74" s="4"/>
      <c r="D74" s="4"/>
      <c r="E74" s="4"/>
      <c r="F74" s="4"/>
      <c r="G74" s="4"/>
      <c r="H74" s="4"/>
      <c r="I74" s="4"/>
      <c r="J74" s="4"/>
      <c r="K74" s="4"/>
      <c r="L74" s="4"/>
      <c r="M74" s="4"/>
      <c r="N74" s="4"/>
      <c r="O74" s="4"/>
      <c r="P74" s="4"/>
      <c r="Q74" s="4"/>
      <c r="R74" s="4"/>
      <c r="S74" s="47"/>
      <c r="T74" s="4"/>
      <c r="U74" s="4"/>
      <c r="V74" s="47"/>
      <c r="W74" s="4"/>
      <c r="X74" s="4"/>
      <c r="Y74" s="47"/>
      <c r="Z74" s="4"/>
      <c r="AA74" s="4"/>
    </row>
    <row r="75" spans="1:27" ht="24" customHeight="1" x14ac:dyDescent="0.3">
      <c r="A75" s="4"/>
      <c r="B75" s="4"/>
      <c r="C75" s="4"/>
      <c r="D75" s="4"/>
      <c r="E75" s="4"/>
      <c r="F75" s="4"/>
      <c r="G75" s="4"/>
      <c r="H75" s="4"/>
      <c r="I75" s="4"/>
      <c r="J75" s="4"/>
      <c r="K75" s="4"/>
      <c r="L75" s="4"/>
      <c r="M75" s="4"/>
      <c r="N75" s="4"/>
      <c r="O75" s="4"/>
      <c r="P75" s="4"/>
      <c r="Q75" s="4"/>
      <c r="R75" s="4"/>
      <c r="S75" s="47"/>
      <c r="T75" s="4"/>
      <c r="U75" s="4"/>
      <c r="V75" s="47"/>
      <c r="W75" s="4"/>
      <c r="X75" s="4"/>
      <c r="Y75" s="47"/>
      <c r="Z75" s="4"/>
      <c r="AA75" s="4"/>
    </row>
    <row r="76" spans="1:27" ht="24" customHeight="1" x14ac:dyDescent="0.3">
      <c r="A76" s="4"/>
      <c r="B76" s="4"/>
      <c r="C76" s="4"/>
      <c r="D76" s="4"/>
      <c r="E76" s="4"/>
      <c r="F76" s="4"/>
      <c r="G76" s="4"/>
      <c r="H76" s="4"/>
      <c r="I76" s="4"/>
      <c r="J76" s="4"/>
      <c r="K76" s="4"/>
      <c r="L76" s="4"/>
      <c r="M76" s="4"/>
      <c r="N76" s="4"/>
      <c r="O76" s="4"/>
      <c r="P76" s="4"/>
      <c r="Q76" s="4"/>
      <c r="R76" s="4"/>
      <c r="S76" s="47"/>
      <c r="T76" s="4"/>
      <c r="U76" s="4"/>
      <c r="V76" s="47"/>
      <c r="W76" s="4"/>
      <c r="X76" s="4"/>
      <c r="Y76" s="47"/>
      <c r="Z76" s="4"/>
      <c r="AA76" s="4"/>
    </row>
    <row r="77" spans="1:27" ht="24" customHeight="1" x14ac:dyDescent="0.3">
      <c r="A77" s="4"/>
      <c r="B77" s="4"/>
      <c r="C77" s="4"/>
      <c r="D77" s="4"/>
      <c r="E77" s="4"/>
      <c r="F77" s="4"/>
      <c r="G77" s="4"/>
      <c r="H77" s="4"/>
      <c r="I77" s="4"/>
      <c r="J77" s="4"/>
      <c r="K77" s="4"/>
      <c r="L77" s="4"/>
      <c r="M77" s="4"/>
      <c r="N77" s="4"/>
      <c r="O77" s="4"/>
      <c r="P77" s="4"/>
      <c r="Q77" s="4"/>
      <c r="R77" s="4"/>
      <c r="S77" s="47"/>
      <c r="T77" s="4"/>
      <c r="U77" s="4"/>
      <c r="V77" s="47"/>
      <c r="W77" s="4"/>
      <c r="X77" s="4"/>
      <c r="Y77" s="47"/>
      <c r="Z77" s="4"/>
      <c r="AA77" s="4"/>
    </row>
    <row r="78" spans="1:27" ht="24" customHeight="1" x14ac:dyDescent="0.3">
      <c r="A78" s="4"/>
      <c r="B78" s="4"/>
      <c r="C78" s="4"/>
      <c r="D78" s="4"/>
      <c r="E78" s="4"/>
      <c r="F78" s="4"/>
      <c r="G78" s="4"/>
      <c r="H78" s="4"/>
      <c r="I78" s="4"/>
      <c r="J78" s="4"/>
      <c r="K78" s="4"/>
      <c r="L78" s="4"/>
      <c r="M78" s="4"/>
      <c r="N78" s="4"/>
      <c r="O78" s="4"/>
      <c r="P78" s="4"/>
      <c r="Q78" s="4"/>
      <c r="R78" s="4"/>
      <c r="S78" s="47"/>
      <c r="T78" s="4"/>
      <c r="U78" s="4"/>
      <c r="V78" s="47"/>
      <c r="W78" s="4"/>
      <c r="X78" s="4"/>
      <c r="Y78" s="47"/>
      <c r="Z78" s="4"/>
      <c r="AA78" s="4"/>
    </row>
    <row r="79" spans="1:27" ht="24" customHeight="1" x14ac:dyDescent="0.3">
      <c r="A79" s="4"/>
      <c r="B79" s="4"/>
      <c r="C79" s="4"/>
      <c r="D79" s="4"/>
      <c r="E79" s="4"/>
      <c r="F79" s="4"/>
      <c r="G79" s="4"/>
      <c r="H79" s="4"/>
      <c r="I79" s="4"/>
      <c r="J79" s="4"/>
      <c r="K79" s="4"/>
      <c r="L79" s="4"/>
      <c r="M79" s="4"/>
      <c r="N79" s="4"/>
      <c r="O79" s="4"/>
      <c r="P79" s="4"/>
      <c r="Q79" s="4"/>
      <c r="R79" s="4"/>
      <c r="S79" s="47"/>
      <c r="T79" s="4"/>
      <c r="U79" s="4"/>
      <c r="V79" s="47"/>
      <c r="W79" s="4"/>
      <c r="X79" s="4"/>
      <c r="Y79" s="47"/>
      <c r="Z79" s="4"/>
      <c r="AA79" s="4"/>
    </row>
    <row r="80" spans="1:27" ht="24" customHeight="1" x14ac:dyDescent="0.3">
      <c r="A80" s="4"/>
      <c r="B80" s="4"/>
      <c r="C80" s="4"/>
      <c r="D80" s="4"/>
      <c r="E80" s="4"/>
      <c r="F80" s="4"/>
      <c r="G80" s="4"/>
      <c r="H80" s="4"/>
      <c r="I80" s="4"/>
      <c r="J80" s="4"/>
      <c r="K80" s="4"/>
      <c r="L80" s="4"/>
      <c r="M80" s="4"/>
      <c r="N80" s="4"/>
      <c r="O80" s="4"/>
      <c r="P80" s="4"/>
      <c r="Q80" s="4"/>
      <c r="R80" s="4"/>
      <c r="S80" s="47"/>
      <c r="T80" s="4"/>
      <c r="U80" s="4"/>
      <c r="V80" s="47"/>
      <c r="W80" s="4"/>
      <c r="X80" s="4"/>
      <c r="Y80" s="47"/>
      <c r="Z80" s="4"/>
      <c r="AA80" s="4"/>
    </row>
    <row r="81" spans="1:27" ht="24" customHeight="1" x14ac:dyDescent="0.3">
      <c r="A81" s="4"/>
      <c r="B81" s="4"/>
      <c r="C81" s="4"/>
      <c r="D81" s="4"/>
      <c r="E81" s="4"/>
      <c r="F81" s="4"/>
      <c r="G81" s="4"/>
      <c r="H81" s="4"/>
      <c r="I81" s="4"/>
      <c r="J81" s="4"/>
      <c r="K81" s="4"/>
      <c r="L81" s="4"/>
      <c r="M81" s="4"/>
      <c r="N81" s="4"/>
      <c r="O81" s="4"/>
      <c r="P81" s="4"/>
      <c r="Q81" s="4"/>
      <c r="R81" s="4"/>
      <c r="S81" s="47"/>
      <c r="T81" s="4"/>
      <c r="U81" s="4"/>
      <c r="V81" s="47"/>
      <c r="W81" s="4"/>
      <c r="X81" s="4"/>
      <c r="Y81" s="47"/>
      <c r="Z81" s="4"/>
      <c r="AA81" s="4"/>
    </row>
    <row r="82" spans="1:27" ht="24" customHeight="1" x14ac:dyDescent="0.3">
      <c r="A82" s="4"/>
      <c r="B82" s="4"/>
      <c r="C82" s="4"/>
      <c r="D82" s="4"/>
      <c r="E82" s="4"/>
      <c r="F82" s="4"/>
      <c r="G82" s="4"/>
      <c r="H82" s="4"/>
      <c r="I82" s="4"/>
      <c r="J82" s="4"/>
      <c r="K82" s="4"/>
      <c r="L82" s="4"/>
      <c r="M82" s="4"/>
      <c r="N82" s="4"/>
      <c r="O82" s="4"/>
      <c r="P82" s="4"/>
      <c r="Q82" s="4"/>
      <c r="R82" s="4"/>
      <c r="S82" s="47"/>
      <c r="T82" s="4"/>
      <c r="U82" s="4"/>
      <c r="V82" s="47"/>
      <c r="W82" s="4"/>
      <c r="X82" s="4"/>
      <c r="Y82" s="47"/>
      <c r="Z82" s="4"/>
      <c r="AA82" s="4"/>
    </row>
    <row r="83" spans="1:27" ht="24" customHeight="1" x14ac:dyDescent="0.3">
      <c r="A83" s="4"/>
      <c r="B83" s="4"/>
      <c r="C83" s="4"/>
      <c r="D83" s="4"/>
      <c r="E83" s="4"/>
      <c r="F83" s="4"/>
      <c r="G83" s="4"/>
      <c r="H83" s="4"/>
      <c r="I83" s="4"/>
      <c r="J83" s="4"/>
      <c r="K83" s="4"/>
      <c r="L83" s="4"/>
      <c r="M83" s="4"/>
      <c r="N83" s="4"/>
      <c r="O83" s="4"/>
      <c r="P83" s="4"/>
      <c r="Q83" s="4"/>
      <c r="R83" s="4"/>
      <c r="S83" s="47"/>
      <c r="T83" s="4"/>
      <c r="U83" s="4"/>
      <c r="V83" s="47"/>
      <c r="W83" s="4"/>
      <c r="X83" s="4"/>
      <c r="Y83" s="47"/>
      <c r="Z83" s="4"/>
      <c r="AA83" s="4"/>
    </row>
    <row r="84" spans="1:27" ht="24" customHeight="1" x14ac:dyDescent="0.3">
      <c r="A84" s="4"/>
      <c r="B84" s="4"/>
      <c r="C84" s="4"/>
      <c r="D84" s="4"/>
      <c r="E84" s="4"/>
      <c r="F84" s="4"/>
      <c r="G84" s="4"/>
      <c r="H84" s="4"/>
      <c r="I84" s="4"/>
      <c r="J84" s="4"/>
      <c r="K84" s="4"/>
      <c r="L84" s="4"/>
      <c r="M84" s="4"/>
      <c r="N84" s="4"/>
      <c r="O84" s="4"/>
      <c r="P84" s="4"/>
      <c r="Q84" s="4"/>
      <c r="R84" s="4"/>
      <c r="S84" s="47"/>
      <c r="T84" s="4"/>
      <c r="U84" s="4"/>
      <c r="V84" s="47"/>
      <c r="W84" s="4"/>
      <c r="X84" s="4"/>
      <c r="Y84" s="47"/>
      <c r="Z84" s="4"/>
      <c r="AA84" s="4"/>
    </row>
    <row r="85" spans="1:27" ht="24" customHeight="1" x14ac:dyDescent="0.3">
      <c r="A85" s="4"/>
      <c r="B85" s="4"/>
      <c r="C85" s="4"/>
      <c r="D85" s="4"/>
      <c r="E85" s="4"/>
      <c r="F85" s="4"/>
      <c r="G85" s="4"/>
      <c r="H85" s="4"/>
      <c r="I85" s="4"/>
      <c r="J85" s="4"/>
      <c r="K85" s="4"/>
      <c r="L85" s="4"/>
      <c r="M85" s="4"/>
      <c r="N85" s="4"/>
      <c r="O85" s="4"/>
      <c r="P85" s="4"/>
      <c r="Q85" s="4"/>
      <c r="R85" s="4"/>
      <c r="S85" s="47"/>
      <c r="T85" s="4"/>
      <c r="U85" s="4"/>
      <c r="V85" s="47"/>
      <c r="W85" s="4"/>
      <c r="X85" s="4"/>
      <c r="Y85" s="47"/>
      <c r="Z85" s="4"/>
      <c r="AA85" s="4"/>
    </row>
    <row r="86" spans="1:27" ht="24" customHeight="1" x14ac:dyDescent="0.3">
      <c r="A86" s="4"/>
      <c r="B86" s="4"/>
      <c r="C86" s="4"/>
      <c r="D86" s="4"/>
      <c r="E86" s="4"/>
      <c r="F86" s="4"/>
      <c r="G86" s="4"/>
      <c r="H86" s="4"/>
      <c r="I86" s="4"/>
      <c r="J86" s="4"/>
      <c r="K86" s="4"/>
      <c r="L86" s="4"/>
      <c r="M86" s="4"/>
      <c r="N86" s="4"/>
      <c r="O86" s="4"/>
      <c r="P86" s="4"/>
      <c r="Q86" s="4"/>
      <c r="R86" s="4"/>
      <c r="S86" s="47"/>
      <c r="T86" s="4"/>
      <c r="U86" s="4"/>
      <c r="V86" s="47"/>
      <c r="W86" s="4"/>
      <c r="X86" s="4"/>
      <c r="Y86" s="47"/>
      <c r="Z86" s="4"/>
      <c r="AA86" s="4"/>
    </row>
    <row r="87" spans="1:27" ht="24" customHeight="1" x14ac:dyDescent="0.3">
      <c r="A87" s="4"/>
      <c r="B87" s="4"/>
      <c r="C87" s="4"/>
      <c r="D87" s="4"/>
      <c r="E87" s="4"/>
      <c r="F87" s="4"/>
      <c r="G87" s="4"/>
      <c r="H87" s="4"/>
      <c r="I87" s="4"/>
      <c r="J87" s="4"/>
      <c r="K87" s="4"/>
      <c r="L87" s="4"/>
      <c r="M87" s="4"/>
      <c r="N87" s="4"/>
      <c r="O87" s="4"/>
      <c r="P87" s="4"/>
      <c r="Q87" s="4"/>
      <c r="R87" s="4"/>
      <c r="S87" s="47"/>
      <c r="T87" s="4"/>
      <c r="U87" s="4"/>
      <c r="V87" s="47"/>
      <c r="W87" s="4"/>
      <c r="X87" s="4"/>
      <c r="Y87" s="47"/>
      <c r="Z87" s="4"/>
      <c r="AA87" s="4"/>
    </row>
    <row r="88" spans="1:27" ht="24" customHeight="1" x14ac:dyDescent="0.3">
      <c r="A88" s="4"/>
      <c r="B88" s="4"/>
      <c r="C88" s="4"/>
      <c r="D88" s="4"/>
      <c r="E88" s="4"/>
      <c r="F88" s="4"/>
      <c r="G88" s="4"/>
      <c r="H88" s="4"/>
      <c r="I88" s="4"/>
      <c r="J88" s="4"/>
      <c r="K88" s="4"/>
      <c r="L88" s="4"/>
      <c r="M88" s="4"/>
      <c r="N88" s="4"/>
      <c r="O88" s="4"/>
      <c r="P88" s="4"/>
      <c r="Q88" s="4"/>
      <c r="R88" s="4"/>
      <c r="S88" s="47"/>
      <c r="T88" s="4"/>
      <c r="U88" s="4"/>
      <c r="V88" s="47"/>
      <c r="W88" s="4"/>
      <c r="X88" s="4"/>
      <c r="Y88" s="47"/>
      <c r="Z88" s="4"/>
      <c r="AA88" s="4"/>
    </row>
    <row r="89" spans="1:27" ht="24" customHeight="1" x14ac:dyDescent="0.3">
      <c r="A89" s="4"/>
      <c r="B89" s="4"/>
      <c r="C89" s="4"/>
      <c r="D89" s="4"/>
      <c r="E89" s="4"/>
      <c r="F89" s="4"/>
      <c r="G89" s="4"/>
      <c r="H89" s="4"/>
      <c r="I89" s="4"/>
      <c r="J89" s="4"/>
      <c r="K89" s="4"/>
      <c r="L89" s="4"/>
      <c r="M89" s="4"/>
      <c r="N89" s="4"/>
      <c r="O89" s="4"/>
      <c r="P89" s="4"/>
      <c r="Q89" s="4"/>
      <c r="R89" s="4"/>
      <c r="S89" s="47"/>
      <c r="T89" s="4"/>
      <c r="U89" s="4"/>
      <c r="V89" s="47"/>
      <c r="W89" s="4"/>
      <c r="X89" s="4"/>
      <c r="Y89" s="47"/>
      <c r="Z89" s="4"/>
      <c r="AA89" s="4"/>
    </row>
    <row r="90" spans="1:27" ht="24" customHeight="1" x14ac:dyDescent="0.3">
      <c r="A90" s="4"/>
      <c r="B90" s="4"/>
      <c r="C90" s="4"/>
      <c r="D90" s="4"/>
      <c r="E90" s="4"/>
      <c r="F90" s="4"/>
      <c r="G90" s="4"/>
      <c r="H90" s="4"/>
      <c r="I90" s="4"/>
      <c r="J90" s="4"/>
      <c r="K90" s="4"/>
      <c r="L90" s="4"/>
      <c r="M90" s="4"/>
      <c r="N90" s="4"/>
      <c r="O90" s="4"/>
      <c r="P90" s="4"/>
      <c r="Q90" s="4"/>
      <c r="R90" s="4"/>
      <c r="S90" s="47"/>
      <c r="T90" s="4"/>
      <c r="U90" s="4"/>
      <c r="V90" s="47"/>
      <c r="W90" s="4"/>
      <c r="X90" s="4"/>
      <c r="Y90" s="47"/>
      <c r="Z90" s="4"/>
      <c r="AA90" s="4"/>
    </row>
    <row r="91" spans="1:27" ht="24" customHeight="1" x14ac:dyDescent="0.3">
      <c r="A91" s="4"/>
      <c r="B91" s="4"/>
      <c r="C91" s="4"/>
      <c r="D91" s="4"/>
      <c r="E91" s="4"/>
      <c r="F91" s="4"/>
      <c r="G91" s="4"/>
      <c r="H91" s="4"/>
      <c r="I91" s="4"/>
      <c r="J91" s="4"/>
      <c r="K91" s="4"/>
      <c r="L91" s="4"/>
      <c r="M91" s="4"/>
      <c r="N91" s="4"/>
      <c r="O91" s="4"/>
      <c r="P91" s="4"/>
      <c r="Q91" s="4"/>
      <c r="R91" s="4"/>
      <c r="S91" s="47"/>
      <c r="T91" s="4"/>
      <c r="U91" s="4"/>
      <c r="V91" s="47"/>
      <c r="W91" s="4"/>
      <c r="X91" s="4"/>
      <c r="Y91" s="47"/>
      <c r="Z91" s="4"/>
      <c r="AA91" s="4"/>
    </row>
    <row r="92" spans="1:27" ht="24" customHeight="1" x14ac:dyDescent="0.3">
      <c r="A92" s="4"/>
      <c r="B92" s="4"/>
      <c r="C92" s="4"/>
      <c r="D92" s="4"/>
      <c r="E92" s="4"/>
      <c r="F92" s="4"/>
      <c r="G92" s="4"/>
      <c r="H92" s="4"/>
      <c r="I92" s="4"/>
      <c r="J92" s="4"/>
      <c r="K92" s="4"/>
      <c r="L92" s="4"/>
      <c r="M92" s="4"/>
      <c r="N92" s="4"/>
      <c r="O92" s="4"/>
      <c r="P92" s="4"/>
      <c r="Q92" s="4"/>
      <c r="R92" s="4"/>
      <c r="S92" s="47"/>
      <c r="T92" s="4"/>
      <c r="U92" s="4"/>
      <c r="V92" s="47"/>
      <c r="W92" s="4"/>
      <c r="X92" s="4"/>
      <c r="Y92" s="47"/>
      <c r="Z92" s="4"/>
      <c r="AA92" s="4"/>
    </row>
    <row r="93" spans="1:27" ht="24" customHeight="1" x14ac:dyDescent="0.3">
      <c r="A93" s="4"/>
      <c r="B93" s="4"/>
      <c r="C93" s="4"/>
      <c r="D93" s="4"/>
      <c r="E93" s="4"/>
      <c r="F93" s="4"/>
      <c r="G93" s="4"/>
      <c r="H93" s="4"/>
      <c r="I93" s="4"/>
      <c r="J93" s="4"/>
      <c r="K93" s="4"/>
      <c r="L93" s="4"/>
      <c r="M93" s="4"/>
      <c r="N93" s="4"/>
      <c r="O93" s="4"/>
      <c r="P93" s="4"/>
      <c r="Q93" s="4"/>
      <c r="R93" s="4"/>
      <c r="S93" s="47"/>
      <c r="T93" s="4"/>
      <c r="U93" s="4"/>
      <c r="V93" s="47"/>
      <c r="W93" s="4"/>
      <c r="X93" s="4"/>
      <c r="Y93" s="47"/>
      <c r="Z93" s="4"/>
      <c r="AA93" s="4"/>
    </row>
    <row r="94" spans="1:27" ht="24" customHeight="1" x14ac:dyDescent="0.3">
      <c r="A94" s="4"/>
      <c r="B94" s="4"/>
      <c r="C94" s="4"/>
      <c r="D94" s="4"/>
      <c r="E94" s="4"/>
      <c r="F94" s="4"/>
      <c r="G94" s="4"/>
      <c r="H94" s="4"/>
      <c r="I94" s="4"/>
      <c r="J94" s="4"/>
      <c r="K94" s="4"/>
      <c r="L94" s="4"/>
      <c r="M94" s="4"/>
      <c r="N94" s="4"/>
      <c r="O94" s="4"/>
      <c r="P94" s="4"/>
      <c r="Q94" s="4"/>
      <c r="R94" s="4"/>
      <c r="S94" s="47"/>
      <c r="T94" s="4"/>
      <c r="U94" s="4"/>
      <c r="V94" s="47"/>
      <c r="W94" s="4"/>
      <c r="X94" s="4"/>
      <c r="Y94" s="47"/>
      <c r="Z94" s="4"/>
      <c r="AA94" s="4"/>
    </row>
    <row r="95" spans="1:27" ht="24" customHeight="1" x14ac:dyDescent="0.3">
      <c r="A95" s="4"/>
      <c r="B95" s="4"/>
      <c r="C95" s="4"/>
      <c r="D95" s="4"/>
      <c r="E95" s="4"/>
      <c r="F95" s="4"/>
      <c r="G95" s="4"/>
      <c r="H95" s="4"/>
      <c r="I95" s="4"/>
      <c r="J95" s="4"/>
      <c r="K95" s="4"/>
      <c r="L95" s="4"/>
      <c r="M95" s="4"/>
      <c r="N95" s="4"/>
      <c r="O95" s="4"/>
      <c r="P95" s="4"/>
      <c r="Q95" s="4"/>
      <c r="R95" s="4"/>
      <c r="S95" s="47"/>
      <c r="T95" s="4"/>
      <c r="U95" s="4"/>
      <c r="V95" s="47"/>
      <c r="W95" s="4"/>
      <c r="X95" s="4"/>
      <c r="Y95" s="47"/>
      <c r="Z95" s="4"/>
      <c r="AA95" s="4"/>
    </row>
    <row r="96" spans="1:27" ht="24" customHeight="1" x14ac:dyDescent="0.3">
      <c r="A96" s="4"/>
      <c r="B96" s="4"/>
      <c r="C96" s="4"/>
      <c r="D96" s="4"/>
      <c r="E96" s="4"/>
      <c r="F96" s="4"/>
      <c r="G96" s="4"/>
      <c r="H96" s="4"/>
      <c r="I96" s="4"/>
      <c r="J96" s="4"/>
      <c r="K96" s="4"/>
      <c r="L96" s="4"/>
      <c r="M96" s="4"/>
      <c r="N96" s="4"/>
      <c r="O96" s="4"/>
      <c r="P96" s="4"/>
      <c r="Q96" s="4"/>
      <c r="R96" s="4"/>
      <c r="S96" s="47"/>
      <c r="T96" s="4"/>
      <c r="U96" s="4"/>
      <c r="V96" s="47"/>
      <c r="W96" s="4"/>
      <c r="X96" s="4"/>
      <c r="Y96" s="47"/>
      <c r="Z96" s="4"/>
      <c r="AA96" s="4"/>
    </row>
    <row r="97" spans="1:27" ht="24" customHeight="1" x14ac:dyDescent="0.3">
      <c r="A97" s="4"/>
      <c r="B97" s="4"/>
      <c r="C97" s="4"/>
      <c r="D97" s="4"/>
      <c r="E97" s="4"/>
      <c r="F97" s="4"/>
      <c r="G97" s="4"/>
      <c r="H97" s="4"/>
      <c r="I97" s="4"/>
      <c r="J97" s="4"/>
      <c r="K97" s="4"/>
      <c r="L97" s="4"/>
      <c r="M97" s="4"/>
      <c r="N97" s="4"/>
      <c r="O97" s="4"/>
      <c r="P97" s="4"/>
      <c r="Q97" s="4"/>
      <c r="R97" s="4"/>
      <c r="S97" s="47"/>
      <c r="T97" s="4"/>
      <c r="U97" s="4"/>
      <c r="V97" s="47"/>
      <c r="W97" s="4"/>
      <c r="X97" s="4"/>
      <c r="Y97" s="47"/>
      <c r="Z97" s="4"/>
      <c r="AA97" s="4"/>
    </row>
    <row r="98" spans="1:27" ht="24" customHeight="1" x14ac:dyDescent="0.3">
      <c r="A98" s="4"/>
      <c r="B98" s="4"/>
      <c r="C98" s="4"/>
      <c r="D98" s="4"/>
      <c r="E98" s="4"/>
      <c r="F98" s="4"/>
      <c r="G98" s="4"/>
      <c r="H98" s="4"/>
      <c r="I98" s="4"/>
      <c r="J98" s="4"/>
      <c r="K98" s="4"/>
      <c r="L98" s="4"/>
      <c r="M98" s="4"/>
      <c r="N98" s="4"/>
      <c r="O98" s="4"/>
      <c r="P98" s="4"/>
      <c r="Q98" s="4"/>
      <c r="R98" s="4"/>
      <c r="S98" s="47"/>
      <c r="T98" s="4"/>
      <c r="U98" s="4"/>
      <c r="V98" s="47"/>
      <c r="W98" s="4"/>
      <c r="X98" s="4"/>
      <c r="Y98" s="47"/>
      <c r="Z98" s="4"/>
      <c r="AA98" s="4"/>
    </row>
    <row r="99" spans="1:27" ht="24" customHeight="1" x14ac:dyDescent="0.3">
      <c r="A99" s="4"/>
      <c r="B99" s="4"/>
      <c r="C99" s="4"/>
      <c r="D99" s="4"/>
      <c r="E99" s="4"/>
      <c r="F99" s="4"/>
      <c r="G99" s="4"/>
      <c r="H99" s="4"/>
      <c r="I99" s="4"/>
      <c r="J99" s="4"/>
      <c r="K99" s="4"/>
      <c r="L99" s="4"/>
      <c r="M99" s="4"/>
      <c r="N99" s="4"/>
      <c r="O99" s="4"/>
      <c r="P99" s="4"/>
      <c r="Q99" s="4"/>
      <c r="R99" s="4"/>
      <c r="S99" s="47"/>
      <c r="T99" s="4"/>
      <c r="U99" s="4"/>
      <c r="V99" s="47"/>
      <c r="W99" s="4"/>
      <c r="X99" s="4"/>
      <c r="Y99" s="47"/>
      <c r="Z99" s="4"/>
      <c r="AA99" s="4"/>
    </row>
    <row r="100" spans="1:27" ht="24" customHeight="1" x14ac:dyDescent="0.3">
      <c r="A100" s="4"/>
      <c r="B100" s="4"/>
      <c r="C100" s="4"/>
      <c r="D100" s="4"/>
      <c r="E100" s="4"/>
      <c r="F100" s="4"/>
      <c r="G100" s="4"/>
      <c r="H100" s="4"/>
      <c r="I100" s="4"/>
      <c r="J100" s="4"/>
      <c r="K100" s="4"/>
      <c r="L100" s="4"/>
      <c r="M100" s="4"/>
      <c r="N100" s="4"/>
      <c r="O100" s="4"/>
      <c r="P100" s="4"/>
      <c r="Q100" s="4"/>
      <c r="R100" s="4"/>
      <c r="S100" s="47"/>
      <c r="T100" s="4"/>
      <c r="U100" s="4"/>
      <c r="V100" s="47"/>
      <c r="W100" s="4"/>
      <c r="X100" s="4"/>
      <c r="Y100" s="47"/>
      <c r="Z100" s="4"/>
      <c r="AA100" s="4"/>
    </row>
    <row r="101" spans="1:27" ht="24" customHeight="1" x14ac:dyDescent="0.3">
      <c r="A101" s="4"/>
      <c r="B101" s="4"/>
      <c r="C101" s="4"/>
      <c r="D101" s="4"/>
      <c r="E101" s="4"/>
      <c r="F101" s="4"/>
      <c r="G101" s="4"/>
      <c r="H101" s="4"/>
      <c r="I101" s="4"/>
      <c r="J101" s="4"/>
      <c r="K101" s="4"/>
      <c r="L101" s="4"/>
      <c r="M101" s="4"/>
      <c r="N101" s="4"/>
      <c r="O101" s="4"/>
      <c r="P101" s="4"/>
      <c r="Q101" s="4"/>
      <c r="R101" s="4"/>
      <c r="S101" s="47"/>
      <c r="T101" s="4"/>
      <c r="U101" s="4"/>
      <c r="V101" s="47"/>
      <c r="W101" s="4"/>
      <c r="X101" s="4"/>
      <c r="Y101" s="47"/>
      <c r="Z101" s="4"/>
      <c r="AA101" s="4"/>
    </row>
    <row r="102" spans="1:27" ht="24" customHeight="1" x14ac:dyDescent="0.3">
      <c r="A102" s="4"/>
      <c r="B102" s="4"/>
      <c r="C102" s="4"/>
      <c r="D102" s="4"/>
      <c r="E102" s="4"/>
      <c r="F102" s="4"/>
      <c r="G102" s="4"/>
      <c r="H102" s="4"/>
      <c r="I102" s="4"/>
      <c r="J102" s="4"/>
      <c r="K102" s="4"/>
      <c r="L102" s="4"/>
      <c r="M102" s="4"/>
      <c r="N102" s="4"/>
      <c r="O102" s="4"/>
      <c r="P102" s="4"/>
      <c r="Q102" s="4"/>
      <c r="R102" s="4"/>
      <c r="S102" s="47"/>
      <c r="T102" s="4"/>
      <c r="U102" s="4"/>
      <c r="V102" s="47"/>
      <c r="W102" s="4"/>
      <c r="X102" s="4"/>
      <c r="Y102" s="47"/>
      <c r="Z102" s="4"/>
      <c r="AA102" s="4"/>
    </row>
    <row r="103" spans="1:27" ht="24" customHeight="1" x14ac:dyDescent="0.3">
      <c r="A103" s="4"/>
      <c r="B103" s="4"/>
      <c r="C103" s="4"/>
      <c r="D103" s="4"/>
      <c r="E103" s="4"/>
      <c r="F103" s="4"/>
      <c r="G103" s="4"/>
      <c r="H103" s="4"/>
      <c r="I103" s="4"/>
      <c r="J103" s="4"/>
      <c r="K103" s="4"/>
      <c r="L103" s="4"/>
      <c r="M103" s="4"/>
      <c r="N103" s="4"/>
      <c r="O103" s="4"/>
      <c r="P103" s="4"/>
      <c r="Q103" s="4"/>
      <c r="R103" s="4"/>
      <c r="S103" s="47"/>
      <c r="T103" s="4"/>
      <c r="U103" s="4"/>
      <c r="V103" s="47"/>
      <c r="W103" s="4"/>
      <c r="X103" s="4"/>
      <c r="Y103" s="47"/>
      <c r="Z103" s="4"/>
      <c r="AA103" s="4"/>
    </row>
    <row r="104" spans="1:27" ht="24" customHeight="1" x14ac:dyDescent="0.3">
      <c r="A104" s="4"/>
      <c r="B104" s="4"/>
      <c r="C104" s="4"/>
      <c r="D104" s="4"/>
      <c r="E104" s="4"/>
      <c r="F104" s="4"/>
      <c r="G104" s="4"/>
      <c r="H104" s="4"/>
      <c r="I104" s="4"/>
      <c r="J104" s="4"/>
      <c r="K104" s="4"/>
      <c r="L104" s="4"/>
      <c r="M104" s="4"/>
      <c r="N104" s="4"/>
      <c r="O104" s="4"/>
      <c r="P104" s="4"/>
      <c r="Q104" s="4"/>
      <c r="R104" s="4"/>
      <c r="S104" s="47"/>
      <c r="T104" s="4"/>
      <c r="U104" s="4"/>
      <c r="V104" s="47"/>
      <c r="W104" s="4"/>
      <c r="X104" s="4"/>
      <c r="Y104" s="47"/>
      <c r="Z104" s="4"/>
      <c r="AA104" s="4"/>
    </row>
    <row r="105" spans="1:27" ht="24" customHeight="1" x14ac:dyDescent="0.3">
      <c r="A105" s="4"/>
      <c r="B105" s="4"/>
      <c r="C105" s="4"/>
      <c r="D105" s="4"/>
      <c r="E105" s="4"/>
      <c r="F105" s="4"/>
      <c r="G105" s="4"/>
      <c r="H105" s="4"/>
      <c r="I105" s="4"/>
      <c r="J105" s="4"/>
      <c r="K105" s="4"/>
      <c r="L105" s="4"/>
      <c r="M105" s="4"/>
      <c r="N105" s="4"/>
      <c r="O105" s="4"/>
      <c r="P105" s="4"/>
      <c r="Q105" s="4"/>
      <c r="R105" s="4"/>
      <c r="S105" s="47"/>
      <c r="T105" s="4"/>
      <c r="U105" s="4"/>
      <c r="V105" s="47"/>
      <c r="W105" s="4"/>
      <c r="X105" s="4"/>
      <c r="Y105" s="47"/>
      <c r="Z105" s="4"/>
      <c r="AA105" s="4"/>
    </row>
    <row r="106" spans="1:27" ht="24" customHeight="1" x14ac:dyDescent="0.3">
      <c r="A106" s="4"/>
      <c r="B106" s="4"/>
      <c r="C106" s="4"/>
      <c r="D106" s="4"/>
      <c r="E106" s="4"/>
      <c r="F106" s="4"/>
      <c r="G106" s="4"/>
      <c r="H106" s="4"/>
      <c r="I106" s="4"/>
      <c r="J106" s="4"/>
      <c r="K106" s="4"/>
      <c r="L106" s="4"/>
      <c r="M106" s="4"/>
      <c r="N106" s="4"/>
      <c r="O106" s="4"/>
      <c r="P106" s="4"/>
      <c r="Q106" s="4"/>
      <c r="R106" s="4"/>
      <c r="S106" s="47"/>
      <c r="T106" s="4"/>
      <c r="U106" s="4"/>
      <c r="V106" s="47"/>
      <c r="W106" s="4"/>
      <c r="X106" s="4"/>
      <c r="Y106" s="47"/>
      <c r="Z106" s="4"/>
      <c r="AA106" s="4"/>
    </row>
    <row r="107" spans="1:27" ht="24" customHeight="1" x14ac:dyDescent="0.3">
      <c r="A107" s="4"/>
      <c r="B107" s="4"/>
      <c r="C107" s="4"/>
      <c r="D107" s="4"/>
      <c r="E107" s="4"/>
      <c r="F107" s="4"/>
      <c r="G107" s="4"/>
      <c r="H107" s="4"/>
      <c r="I107" s="4"/>
      <c r="J107" s="4"/>
      <c r="K107" s="4"/>
      <c r="L107" s="4"/>
      <c r="M107" s="4"/>
      <c r="N107" s="4"/>
      <c r="O107" s="4"/>
      <c r="P107" s="4"/>
      <c r="Q107" s="4"/>
      <c r="R107" s="4"/>
      <c r="S107" s="47"/>
      <c r="T107" s="4"/>
      <c r="U107" s="4"/>
      <c r="V107" s="47"/>
      <c r="W107" s="4"/>
      <c r="X107" s="4"/>
      <c r="Y107" s="47"/>
      <c r="Z107" s="4"/>
      <c r="AA107" s="4"/>
    </row>
    <row r="108" spans="1:27" ht="24" customHeight="1" x14ac:dyDescent="0.3">
      <c r="A108" s="4"/>
      <c r="B108" s="4"/>
      <c r="C108" s="4"/>
      <c r="D108" s="4"/>
      <c r="E108" s="4"/>
      <c r="F108" s="4"/>
      <c r="G108" s="4"/>
      <c r="H108" s="4"/>
      <c r="I108" s="4"/>
      <c r="J108" s="4"/>
      <c r="K108" s="4"/>
      <c r="L108" s="4"/>
      <c r="M108" s="4"/>
      <c r="N108" s="4"/>
      <c r="O108" s="4"/>
      <c r="P108" s="4"/>
      <c r="Q108" s="4"/>
      <c r="R108" s="4"/>
      <c r="S108" s="47"/>
      <c r="T108" s="4"/>
      <c r="U108" s="4"/>
      <c r="V108" s="47"/>
      <c r="W108" s="4"/>
      <c r="X108" s="4"/>
      <c r="Y108" s="47"/>
      <c r="Z108" s="4"/>
      <c r="AA108" s="4"/>
    </row>
    <row r="109" spans="1:27" ht="24" customHeight="1" x14ac:dyDescent="0.3">
      <c r="A109" s="4"/>
      <c r="B109" s="4"/>
      <c r="C109" s="4"/>
      <c r="D109" s="4"/>
      <c r="E109" s="4"/>
      <c r="F109" s="4"/>
      <c r="G109" s="4"/>
      <c r="H109" s="4"/>
      <c r="I109" s="4"/>
      <c r="J109" s="4"/>
      <c r="K109" s="4"/>
      <c r="L109" s="4"/>
      <c r="M109" s="4"/>
      <c r="N109" s="4"/>
      <c r="O109" s="4"/>
      <c r="P109" s="4"/>
      <c r="Q109" s="4"/>
      <c r="R109" s="4"/>
      <c r="S109" s="47"/>
      <c r="T109" s="4"/>
      <c r="U109" s="4"/>
      <c r="V109" s="47"/>
      <c r="W109" s="4"/>
      <c r="X109" s="4"/>
      <c r="Y109" s="47"/>
      <c r="Z109" s="4"/>
      <c r="AA109" s="4"/>
    </row>
    <row r="110" spans="1:27" ht="24" customHeight="1" x14ac:dyDescent="0.3">
      <c r="A110" s="4"/>
      <c r="B110" s="4"/>
      <c r="C110" s="4"/>
      <c r="D110" s="4"/>
      <c r="E110" s="4"/>
      <c r="F110" s="4"/>
      <c r="G110" s="4"/>
      <c r="H110" s="4"/>
      <c r="I110" s="4"/>
      <c r="J110" s="4"/>
      <c r="K110" s="4"/>
      <c r="L110" s="4"/>
      <c r="M110" s="4"/>
      <c r="N110" s="4"/>
      <c r="O110" s="4"/>
      <c r="P110" s="4"/>
      <c r="Q110" s="4"/>
      <c r="R110" s="4"/>
      <c r="S110" s="47"/>
      <c r="T110" s="4"/>
      <c r="U110" s="4"/>
      <c r="V110" s="47"/>
      <c r="W110" s="4"/>
      <c r="X110" s="4"/>
      <c r="Y110" s="47"/>
      <c r="Z110" s="4"/>
      <c r="AA110" s="4"/>
    </row>
    <row r="111" spans="1:27" ht="24" customHeight="1" x14ac:dyDescent="0.3">
      <c r="A111" s="4"/>
      <c r="B111" s="4"/>
      <c r="C111" s="4"/>
      <c r="D111" s="4"/>
      <c r="E111" s="4"/>
      <c r="F111" s="4"/>
      <c r="G111" s="4"/>
      <c r="H111" s="4"/>
      <c r="I111" s="4"/>
      <c r="J111" s="4"/>
      <c r="K111" s="4"/>
      <c r="L111" s="4"/>
      <c r="M111" s="4"/>
      <c r="N111" s="4"/>
      <c r="O111" s="4"/>
      <c r="P111" s="4"/>
      <c r="Q111" s="4"/>
      <c r="R111" s="4"/>
      <c r="S111" s="47"/>
      <c r="T111" s="4"/>
      <c r="U111" s="4"/>
      <c r="V111" s="47"/>
      <c r="W111" s="4"/>
      <c r="X111" s="4"/>
      <c r="Y111" s="47"/>
      <c r="Z111" s="4"/>
      <c r="AA111" s="4"/>
    </row>
    <row r="112" spans="1:27" ht="24" customHeight="1" x14ac:dyDescent="0.3">
      <c r="A112" s="4"/>
      <c r="B112" s="4"/>
      <c r="C112" s="4"/>
      <c r="D112" s="4"/>
      <c r="E112" s="4"/>
      <c r="F112" s="4"/>
      <c r="G112" s="4"/>
      <c r="H112" s="4"/>
      <c r="I112" s="4"/>
      <c r="J112" s="4"/>
      <c r="K112" s="4"/>
      <c r="L112" s="4"/>
      <c r="M112" s="4"/>
      <c r="N112" s="4"/>
      <c r="O112" s="4"/>
      <c r="P112" s="4"/>
      <c r="Q112" s="4"/>
      <c r="R112" s="4"/>
      <c r="S112" s="47"/>
      <c r="T112" s="4"/>
      <c r="U112" s="4"/>
      <c r="V112" s="47"/>
      <c r="W112" s="4"/>
      <c r="X112" s="4"/>
      <c r="Y112" s="47"/>
      <c r="Z112" s="4"/>
      <c r="AA112" s="4"/>
    </row>
    <row r="113" spans="1:27" ht="24" customHeight="1" x14ac:dyDescent="0.3">
      <c r="A113" s="4"/>
      <c r="B113" s="4"/>
      <c r="C113" s="4"/>
      <c r="D113" s="4"/>
      <c r="E113" s="4"/>
      <c r="F113" s="4"/>
      <c r="G113" s="4"/>
      <c r="H113" s="4"/>
      <c r="I113" s="4"/>
      <c r="J113" s="4"/>
      <c r="K113" s="4"/>
      <c r="L113" s="4"/>
      <c r="M113" s="4"/>
      <c r="N113" s="4"/>
      <c r="O113" s="4"/>
      <c r="P113" s="4"/>
      <c r="Q113" s="4"/>
      <c r="R113" s="4"/>
      <c r="S113" s="47"/>
      <c r="T113" s="4"/>
      <c r="U113" s="4"/>
      <c r="V113" s="47"/>
      <c r="W113" s="4"/>
      <c r="X113" s="4"/>
      <c r="Y113" s="47"/>
      <c r="Z113" s="4"/>
      <c r="AA113" s="4"/>
    </row>
    <row r="114" spans="1:27" ht="24" customHeight="1" x14ac:dyDescent="0.3">
      <c r="A114" s="4"/>
      <c r="B114" s="4"/>
      <c r="C114" s="4"/>
      <c r="D114" s="4"/>
      <c r="E114" s="4"/>
      <c r="F114" s="4"/>
      <c r="G114" s="4"/>
      <c r="H114" s="4"/>
      <c r="I114" s="4"/>
      <c r="J114" s="4"/>
      <c r="K114" s="4"/>
      <c r="L114" s="4"/>
      <c r="M114" s="4"/>
      <c r="N114" s="4"/>
      <c r="O114" s="4"/>
      <c r="P114" s="4"/>
      <c r="Q114" s="4"/>
      <c r="R114" s="4"/>
      <c r="S114" s="47"/>
      <c r="T114" s="4"/>
      <c r="U114" s="4"/>
      <c r="V114" s="47"/>
      <c r="W114" s="4"/>
      <c r="X114" s="4"/>
      <c r="Y114" s="47"/>
      <c r="Z114" s="4"/>
      <c r="AA114" s="4"/>
    </row>
    <row r="115" spans="1:27" ht="24" customHeight="1" x14ac:dyDescent="0.3">
      <c r="A115" s="4"/>
      <c r="B115" s="4"/>
      <c r="C115" s="4"/>
      <c r="D115" s="4"/>
      <c r="E115" s="4"/>
      <c r="F115" s="4"/>
      <c r="G115" s="4"/>
      <c r="H115" s="4"/>
      <c r="I115" s="4"/>
      <c r="J115" s="4"/>
      <c r="K115" s="4"/>
      <c r="L115" s="4"/>
      <c r="M115" s="4"/>
      <c r="N115" s="4"/>
      <c r="O115" s="4"/>
      <c r="P115" s="4"/>
      <c r="Q115" s="4"/>
      <c r="R115" s="4"/>
      <c r="S115" s="47"/>
      <c r="T115" s="4"/>
      <c r="U115" s="4"/>
      <c r="V115" s="47"/>
      <c r="W115" s="4"/>
      <c r="X115" s="4"/>
      <c r="Y115" s="47"/>
      <c r="Z115" s="4"/>
      <c r="AA115" s="4"/>
    </row>
    <row r="116" spans="1:27" ht="24" customHeight="1" x14ac:dyDescent="0.3">
      <c r="A116" s="4"/>
      <c r="B116" s="4"/>
      <c r="C116" s="4"/>
      <c r="D116" s="4"/>
      <c r="E116" s="4"/>
      <c r="F116" s="4"/>
      <c r="G116" s="4"/>
      <c r="H116" s="4"/>
      <c r="I116" s="4"/>
      <c r="J116" s="4"/>
      <c r="K116" s="4"/>
      <c r="L116" s="4"/>
      <c r="M116" s="4"/>
      <c r="N116" s="4"/>
      <c r="O116" s="4"/>
      <c r="P116" s="4"/>
      <c r="Q116" s="4"/>
      <c r="R116" s="4"/>
      <c r="S116" s="47"/>
      <c r="T116" s="4"/>
      <c r="U116" s="4"/>
      <c r="V116" s="47"/>
      <c r="W116" s="4"/>
      <c r="X116" s="4"/>
      <c r="Y116" s="47"/>
      <c r="Z116" s="4"/>
      <c r="AA116" s="4"/>
    </row>
    <row r="117" spans="1:27" ht="24" customHeight="1" x14ac:dyDescent="0.3">
      <c r="A117" s="4"/>
      <c r="B117" s="4"/>
      <c r="C117" s="4"/>
      <c r="D117" s="4"/>
      <c r="E117" s="4"/>
      <c r="F117" s="4"/>
      <c r="G117" s="4"/>
      <c r="H117" s="4"/>
      <c r="I117" s="4"/>
      <c r="J117" s="4"/>
      <c r="K117" s="4"/>
      <c r="L117" s="4"/>
      <c r="M117" s="4"/>
      <c r="N117" s="4"/>
      <c r="O117" s="4"/>
      <c r="P117" s="4"/>
      <c r="Q117" s="4"/>
      <c r="R117" s="4"/>
      <c r="S117" s="47"/>
      <c r="T117" s="4"/>
      <c r="U117" s="4"/>
      <c r="V117" s="47"/>
      <c r="W117" s="4"/>
      <c r="X117" s="4"/>
      <c r="Y117" s="47"/>
      <c r="Z117" s="4"/>
      <c r="AA117" s="4"/>
    </row>
    <row r="118" spans="1:27" ht="24" customHeight="1" x14ac:dyDescent="0.3">
      <c r="A118" s="4"/>
      <c r="B118" s="4"/>
      <c r="C118" s="4"/>
      <c r="D118" s="4"/>
      <c r="E118" s="4"/>
      <c r="F118" s="4"/>
      <c r="G118" s="4"/>
      <c r="H118" s="4"/>
      <c r="I118" s="4"/>
      <c r="J118" s="4"/>
      <c r="K118" s="4"/>
      <c r="L118" s="4"/>
      <c r="M118" s="4"/>
      <c r="N118" s="4"/>
      <c r="O118" s="4"/>
      <c r="P118" s="4"/>
      <c r="Q118" s="4"/>
      <c r="R118" s="4"/>
      <c r="S118" s="47"/>
      <c r="T118" s="4"/>
      <c r="U118" s="4"/>
      <c r="V118" s="47"/>
      <c r="W118" s="4"/>
      <c r="X118" s="4"/>
      <c r="Y118" s="47"/>
      <c r="Z118" s="4"/>
      <c r="AA118" s="4"/>
    </row>
    <row r="119" spans="1:27" ht="24" customHeight="1" x14ac:dyDescent="0.3">
      <c r="A119" s="4"/>
      <c r="B119" s="4"/>
      <c r="C119" s="4"/>
      <c r="D119" s="4"/>
      <c r="E119" s="4"/>
      <c r="F119" s="4"/>
      <c r="G119" s="4"/>
      <c r="H119" s="4"/>
      <c r="I119" s="4"/>
      <c r="J119" s="4"/>
      <c r="K119" s="4"/>
      <c r="L119" s="4"/>
      <c r="M119" s="4"/>
      <c r="N119" s="4"/>
      <c r="O119" s="4"/>
      <c r="P119" s="4"/>
      <c r="Q119" s="4"/>
      <c r="R119" s="4"/>
      <c r="S119" s="47"/>
      <c r="T119" s="4"/>
      <c r="U119" s="4"/>
      <c r="V119" s="47"/>
      <c r="W119" s="4"/>
      <c r="X119" s="4"/>
      <c r="Y119" s="47"/>
      <c r="Z119" s="4"/>
      <c r="AA119" s="4"/>
    </row>
    <row r="120" spans="1:27" ht="24" customHeight="1" x14ac:dyDescent="0.3">
      <c r="A120" s="4"/>
      <c r="B120" s="4"/>
      <c r="C120" s="4"/>
      <c r="D120" s="4"/>
      <c r="E120" s="4"/>
      <c r="F120" s="4"/>
      <c r="G120" s="4"/>
      <c r="H120" s="4"/>
      <c r="I120" s="4"/>
      <c r="J120" s="4"/>
      <c r="K120" s="4"/>
      <c r="L120" s="4"/>
      <c r="M120" s="4"/>
      <c r="N120" s="4"/>
      <c r="O120" s="4"/>
      <c r="P120" s="4"/>
      <c r="Q120" s="4"/>
      <c r="R120" s="4"/>
      <c r="S120" s="47"/>
      <c r="T120" s="4"/>
      <c r="U120" s="4"/>
      <c r="V120" s="47"/>
      <c r="W120" s="4"/>
      <c r="X120" s="4"/>
      <c r="Y120" s="47"/>
      <c r="Z120" s="4"/>
      <c r="AA120" s="4"/>
    </row>
    <row r="121" spans="1:27" ht="24" customHeight="1" x14ac:dyDescent="0.3">
      <c r="A121" s="4"/>
      <c r="B121" s="4"/>
      <c r="C121" s="4"/>
      <c r="D121" s="4"/>
      <c r="E121" s="4"/>
      <c r="F121" s="4"/>
      <c r="G121" s="4"/>
      <c r="H121" s="4"/>
      <c r="I121" s="4"/>
      <c r="J121" s="4"/>
      <c r="K121" s="4"/>
      <c r="L121" s="4"/>
      <c r="M121" s="4"/>
      <c r="N121" s="4"/>
      <c r="O121" s="4"/>
      <c r="P121" s="4"/>
      <c r="Q121" s="4"/>
      <c r="R121" s="4"/>
      <c r="S121" s="47"/>
      <c r="T121" s="4"/>
      <c r="U121" s="4"/>
      <c r="V121" s="47"/>
      <c r="W121" s="4"/>
      <c r="X121" s="4"/>
      <c r="Y121" s="47"/>
      <c r="Z121" s="4"/>
      <c r="AA121" s="4"/>
    </row>
    <row r="122" spans="1:27" ht="24" customHeight="1" x14ac:dyDescent="0.3">
      <c r="A122" s="4"/>
      <c r="B122" s="4"/>
      <c r="C122" s="4"/>
      <c r="D122" s="4"/>
      <c r="E122" s="4"/>
      <c r="F122" s="4"/>
      <c r="G122" s="4"/>
      <c r="H122" s="4"/>
      <c r="I122" s="4"/>
      <c r="J122" s="4"/>
      <c r="K122" s="4"/>
      <c r="L122" s="4"/>
      <c r="M122" s="4"/>
      <c r="N122" s="4"/>
      <c r="O122" s="4"/>
      <c r="P122" s="4"/>
      <c r="Q122" s="4"/>
      <c r="R122" s="4"/>
      <c r="S122" s="47"/>
      <c r="T122" s="4"/>
      <c r="U122" s="4"/>
      <c r="V122" s="47"/>
      <c r="W122" s="4"/>
      <c r="X122" s="4"/>
      <c r="Y122" s="47"/>
      <c r="Z122" s="4"/>
      <c r="AA122" s="4"/>
    </row>
    <row r="123" spans="1:27" ht="24" customHeight="1" x14ac:dyDescent="0.3">
      <c r="A123" s="4"/>
      <c r="B123" s="4"/>
      <c r="C123" s="4"/>
      <c r="D123" s="4"/>
      <c r="E123" s="4"/>
      <c r="F123" s="4"/>
      <c r="G123" s="4"/>
      <c r="H123" s="4"/>
      <c r="I123" s="4"/>
      <c r="J123" s="4"/>
      <c r="K123" s="4"/>
      <c r="L123" s="4"/>
      <c r="M123" s="4"/>
      <c r="N123" s="4"/>
      <c r="O123" s="4"/>
      <c r="P123" s="4"/>
      <c r="Q123" s="4"/>
      <c r="R123" s="4"/>
      <c r="S123" s="47"/>
      <c r="T123" s="4"/>
      <c r="U123" s="4"/>
      <c r="V123" s="47"/>
      <c r="W123" s="4"/>
      <c r="X123" s="4"/>
      <c r="Y123" s="47"/>
      <c r="Z123" s="4"/>
      <c r="AA123" s="4"/>
    </row>
    <row r="124" spans="1:27" ht="24" customHeight="1" x14ac:dyDescent="0.3">
      <c r="A124" s="4"/>
      <c r="B124" s="4"/>
      <c r="C124" s="4"/>
      <c r="D124" s="4"/>
      <c r="E124" s="4"/>
      <c r="F124" s="4"/>
      <c r="G124" s="4"/>
      <c r="H124" s="4"/>
      <c r="I124" s="4"/>
      <c r="J124" s="4"/>
      <c r="K124" s="4"/>
      <c r="L124" s="4"/>
      <c r="M124" s="4"/>
      <c r="N124" s="4"/>
      <c r="O124" s="4"/>
      <c r="P124" s="4"/>
      <c r="Q124" s="4"/>
      <c r="R124" s="4"/>
      <c r="S124" s="47"/>
      <c r="T124" s="4"/>
      <c r="U124" s="4"/>
      <c r="V124" s="47"/>
      <c r="W124" s="4"/>
      <c r="X124" s="4"/>
      <c r="Y124" s="47"/>
      <c r="Z124" s="4"/>
      <c r="AA124" s="4"/>
    </row>
    <row r="125" spans="1:27" ht="24" customHeight="1" x14ac:dyDescent="0.3">
      <c r="A125" s="4"/>
      <c r="B125" s="4"/>
      <c r="C125" s="4"/>
      <c r="D125" s="4"/>
      <c r="E125" s="4"/>
      <c r="F125" s="4"/>
      <c r="G125" s="4"/>
      <c r="H125" s="4"/>
      <c r="I125" s="4"/>
      <c r="J125" s="4"/>
      <c r="K125" s="4"/>
      <c r="L125" s="4"/>
      <c r="M125" s="4"/>
      <c r="N125" s="4"/>
      <c r="O125" s="4"/>
      <c r="P125" s="4"/>
      <c r="Q125" s="4"/>
      <c r="R125" s="4"/>
      <c r="S125" s="47"/>
      <c r="T125" s="4"/>
      <c r="U125" s="4"/>
      <c r="V125" s="47"/>
      <c r="W125" s="4"/>
      <c r="X125" s="4"/>
      <c r="Y125" s="47"/>
      <c r="Z125" s="4"/>
      <c r="AA125" s="4"/>
    </row>
    <row r="126" spans="1:27" ht="24" customHeight="1" x14ac:dyDescent="0.3">
      <c r="A126" s="4"/>
      <c r="B126" s="4"/>
      <c r="C126" s="4"/>
      <c r="D126" s="4"/>
      <c r="E126" s="4"/>
      <c r="F126" s="4"/>
      <c r="G126" s="4"/>
      <c r="H126" s="4"/>
      <c r="I126" s="4"/>
      <c r="J126" s="4"/>
      <c r="K126" s="4"/>
      <c r="L126" s="4"/>
      <c r="M126" s="4"/>
      <c r="N126" s="4"/>
      <c r="O126" s="4"/>
      <c r="P126" s="4"/>
      <c r="Q126" s="4"/>
      <c r="R126" s="4"/>
      <c r="S126" s="47"/>
      <c r="T126" s="4"/>
      <c r="U126" s="4"/>
      <c r="V126" s="47"/>
      <c r="W126" s="4"/>
      <c r="X126" s="4"/>
      <c r="Y126" s="47"/>
      <c r="Z126" s="4"/>
      <c r="AA126" s="4"/>
    </row>
    <row r="127" spans="1:27" ht="24" customHeight="1" x14ac:dyDescent="0.3">
      <c r="A127" s="4"/>
      <c r="B127" s="4"/>
      <c r="C127" s="4"/>
      <c r="D127" s="4"/>
      <c r="E127" s="4"/>
      <c r="F127" s="4"/>
      <c r="G127" s="4"/>
      <c r="H127" s="4"/>
      <c r="I127" s="4"/>
      <c r="J127" s="4"/>
      <c r="K127" s="4"/>
      <c r="L127" s="4"/>
      <c r="M127" s="4"/>
      <c r="N127" s="4"/>
      <c r="O127" s="4"/>
      <c r="P127" s="4"/>
      <c r="Q127" s="4"/>
      <c r="R127" s="4"/>
      <c r="S127" s="47"/>
      <c r="T127" s="4"/>
      <c r="U127" s="4"/>
      <c r="V127" s="47"/>
      <c r="W127" s="4"/>
      <c r="X127" s="4"/>
      <c r="Y127" s="47"/>
      <c r="Z127" s="4"/>
      <c r="AA127" s="4"/>
    </row>
    <row r="128" spans="1:27" ht="24" customHeight="1" x14ac:dyDescent="0.3">
      <c r="A128" s="4"/>
      <c r="B128" s="4"/>
      <c r="C128" s="4"/>
      <c r="D128" s="4"/>
      <c r="E128" s="4"/>
      <c r="F128" s="4"/>
      <c r="G128" s="4"/>
      <c r="H128" s="4"/>
      <c r="I128" s="4"/>
      <c r="J128" s="4"/>
      <c r="K128" s="4"/>
      <c r="L128" s="4"/>
      <c r="M128" s="4"/>
      <c r="N128" s="4"/>
      <c r="O128" s="4"/>
      <c r="P128" s="4"/>
      <c r="Q128" s="4"/>
      <c r="R128" s="4"/>
      <c r="S128" s="47"/>
      <c r="T128" s="4"/>
      <c r="U128" s="4"/>
      <c r="V128" s="47"/>
      <c r="W128" s="4"/>
      <c r="X128" s="4"/>
      <c r="Y128" s="47"/>
      <c r="Z128" s="4"/>
      <c r="AA128" s="4"/>
    </row>
    <row r="129" spans="1:27" ht="24" customHeight="1" x14ac:dyDescent="0.3">
      <c r="A129" s="4"/>
      <c r="B129" s="4"/>
      <c r="C129" s="4"/>
      <c r="D129" s="4"/>
      <c r="E129" s="4"/>
      <c r="F129" s="4"/>
      <c r="G129" s="4"/>
      <c r="H129" s="4"/>
      <c r="I129" s="4"/>
      <c r="J129" s="4"/>
      <c r="K129" s="4"/>
      <c r="L129" s="4"/>
      <c r="M129" s="4"/>
      <c r="N129" s="4"/>
      <c r="O129" s="4"/>
      <c r="P129" s="4"/>
      <c r="Q129" s="4"/>
      <c r="R129" s="4"/>
      <c r="S129" s="47"/>
      <c r="T129" s="4"/>
      <c r="U129" s="4"/>
      <c r="V129" s="47"/>
      <c r="W129" s="4"/>
      <c r="X129" s="4"/>
      <c r="Y129" s="47"/>
      <c r="Z129" s="4"/>
      <c r="AA129" s="4"/>
    </row>
    <row r="130" spans="1:27" ht="24" customHeight="1" x14ac:dyDescent="0.3">
      <c r="A130" s="4"/>
      <c r="B130" s="4"/>
      <c r="C130" s="4"/>
      <c r="D130" s="4"/>
      <c r="E130" s="4"/>
      <c r="F130" s="4"/>
      <c r="G130" s="4"/>
      <c r="H130" s="4"/>
      <c r="I130" s="4"/>
      <c r="J130" s="4"/>
      <c r="K130" s="4"/>
      <c r="L130" s="4"/>
      <c r="M130" s="4"/>
      <c r="N130" s="4"/>
      <c r="O130" s="4"/>
      <c r="P130" s="4"/>
      <c r="Q130" s="4"/>
      <c r="R130" s="4"/>
      <c r="S130" s="47"/>
      <c r="T130" s="4"/>
      <c r="U130" s="4"/>
      <c r="V130" s="47"/>
      <c r="W130" s="4"/>
      <c r="X130" s="4"/>
      <c r="Y130" s="47"/>
      <c r="Z130" s="4"/>
      <c r="AA130" s="4"/>
    </row>
    <row r="131" spans="1:27" ht="24" customHeight="1" x14ac:dyDescent="0.3">
      <c r="A131" s="4"/>
      <c r="B131" s="4"/>
      <c r="C131" s="4"/>
      <c r="D131" s="4"/>
      <c r="E131" s="4"/>
      <c r="F131" s="4"/>
      <c r="G131" s="4"/>
      <c r="H131" s="4"/>
      <c r="I131" s="4"/>
      <c r="J131" s="4"/>
      <c r="K131" s="4"/>
      <c r="L131" s="4"/>
      <c r="M131" s="4"/>
      <c r="N131" s="4"/>
      <c r="O131" s="4"/>
      <c r="P131" s="4"/>
      <c r="Q131" s="4"/>
      <c r="R131" s="4"/>
      <c r="S131" s="47"/>
      <c r="T131" s="4"/>
      <c r="U131" s="4"/>
      <c r="V131" s="47"/>
      <c r="W131" s="4"/>
      <c r="X131" s="4"/>
      <c r="Y131" s="47"/>
      <c r="Z131" s="4"/>
      <c r="AA131" s="4"/>
    </row>
    <row r="132" spans="1:27" ht="24" customHeight="1" x14ac:dyDescent="0.3">
      <c r="A132" s="4"/>
      <c r="B132" s="4"/>
      <c r="C132" s="4"/>
      <c r="D132" s="4"/>
      <c r="E132" s="4"/>
      <c r="F132" s="4"/>
      <c r="G132" s="4"/>
      <c r="H132" s="4"/>
      <c r="I132" s="4"/>
      <c r="J132" s="4"/>
      <c r="K132" s="4"/>
      <c r="L132" s="4"/>
      <c r="M132" s="4"/>
      <c r="N132" s="4"/>
      <c r="O132" s="4"/>
      <c r="P132" s="4"/>
      <c r="Q132" s="4"/>
      <c r="R132" s="4"/>
      <c r="S132" s="47"/>
      <c r="T132" s="4"/>
      <c r="U132" s="4"/>
      <c r="V132" s="47"/>
      <c r="W132" s="4"/>
      <c r="X132" s="4"/>
      <c r="Y132" s="47"/>
      <c r="Z132" s="4"/>
      <c r="AA132" s="4"/>
    </row>
    <row r="133" spans="1:27" ht="24" customHeight="1" x14ac:dyDescent="0.3">
      <c r="A133" s="4"/>
      <c r="B133" s="4"/>
      <c r="C133" s="4"/>
      <c r="D133" s="4"/>
      <c r="E133" s="4"/>
      <c r="F133" s="4"/>
      <c r="G133" s="4"/>
      <c r="H133" s="4"/>
      <c r="I133" s="4"/>
      <c r="J133" s="4"/>
      <c r="K133" s="4"/>
      <c r="L133" s="4"/>
      <c r="M133" s="4"/>
      <c r="N133" s="4"/>
      <c r="O133" s="4"/>
      <c r="P133" s="4"/>
      <c r="Q133" s="4"/>
      <c r="R133" s="4"/>
      <c r="S133" s="47"/>
      <c r="T133" s="4"/>
      <c r="U133" s="4"/>
      <c r="V133" s="47"/>
      <c r="W133" s="4"/>
      <c r="X133" s="4"/>
      <c r="Y133" s="47"/>
      <c r="Z133" s="4"/>
      <c r="AA133" s="4"/>
    </row>
    <row r="134" spans="1:27" ht="24" customHeight="1" x14ac:dyDescent="0.3">
      <c r="A134" s="4"/>
      <c r="B134" s="4"/>
      <c r="C134" s="4"/>
      <c r="D134" s="4"/>
      <c r="E134" s="4"/>
      <c r="F134" s="4"/>
      <c r="G134" s="4"/>
      <c r="H134" s="4"/>
      <c r="I134" s="4"/>
      <c r="J134" s="4"/>
      <c r="K134" s="4"/>
      <c r="L134" s="4"/>
      <c r="M134" s="4"/>
      <c r="N134" s="4"/>
      <c r="O134" s="4"/>
      <c r="P134" s="4"/>
      <c r="Q134" s="4"/>
      <c r="R134" s="4"/>
      <c r="S134" s="47"/>
      <c r="T134" s="4"/>
      <c r="U134" s="4"/>
      <c r="V134" s="47"/>
      <c r="W134" s="4"/>
      <c r="X134" s="4"/>
      <c r="Y134" s="47"/>
      <c r="Z134" s="4"/>
      <c r="AA134" s="4"/>
    </row>
    <row r="135" spans="1:27" ht="24" customHeight="1" x14ac:dyDescent="0.3">
      <c r="A135" s="4"/>
      <c r="B135" s="4"/>
      <c r="C135" s="4"/>
      <c r="D135" s="4"/>
      <c r="E135" s="4"/>
      <c r="F135" s="4"/>
      <c r="G135" s="4"/>
      <c r="H135" s="4"/>
      <c r="I135" s="4"/>
      <c r="J135" s="4"/>
      <c r="K135" s="4"/>
      <c r="L135" s="4"/>
      <c r="M135" s="4"/>
      <c r="N135" s="4"/>
      <c r="O135" s="4"/>
      <c r="P135" s="4"/>
      <c r="Q135" s="4"/>
      <c r="R135" s="4"/>
      <c r="S135" s="47"/>
      <c r="T135" s="4"/>
      <c r="U135" s="4"/>
      <c r="V135" s="47"/>
      <c r="W135" s="4"/>
      <c r="X135" s="4"/>
      <c r="Y135" s="47"/>
      <c r="Z135" s="4"/>
      <c r="AA135" s="4"/>
    </row>
    <row r="136" spans="1:27" ht="24" customHeight="1" x14ac:dyDescent="0.3">
      <c r="A136" s="4"/>
      <c r="B136" s="4"/>
      <c r="C136" s="4"/>
      <c r="D136" s="4"/>
      <c r="E136" s="4"/>
      <c r="F136" s="4"/>
      <c r="G136" s="4"/>
      <c r="H136" s="4"/>
      <c r="I136" s="4"/>
      <c r="J136" s="4"/>
      <c r="K136" s="4"/>
      <c r="L136" s="4"/>
      <c r="M136" s="4"/>
      <c r="N136" s="4"/>
      <c r="O136" s="4"/>
      <c r="P136" s="4"/>
      <c r="Q136" s="4"/>
      <c r="R136" s="4"/>
      <c r="S136" s="47"/>
      <c r="T136" s="4"/>
      <c r="U136" s="4"/>
      <c r="V136" s="47"/>
      <c r="W136" s="4"/>
      <c r="X136" s="4"/>
      <c r="Y136" s="47"/>
      <c r="Z136" s="4"/>
      <c r="AA136" s="4"/>
    </row>
    <row r="137" spans="1:27" ht="24" customHeight="1" x14ac:dyDescent="0.3">
      <c r="A137" s="4"/>
      <c r="B137" s="4"/>
      <c r="C137" s="4"/>
      <c r="D137" s="4"/>
      <c r="E137" s="4"/>
      <c r="F137" s="4"/>
      <c r="G137" s="4"/>
      <c r="H137" s="4"/>
      <c r="I137" s="4"/>
      <c r="J137" s="4"/>
      <c r="K137" s="4"/>
      <c r="L137" s="4"/>
      <c r="M137" s="4"/>
      <c r="N137" s="4"/>
      <c r="O137" s="4"/>
      <c r="P137" s="4"/>
      <c r="Q137" s="4"/>
      <c r="R137" s="4"/>
      <c r="S137" s="47"/>
      <c r="T137" s="4"/>
      <c r="U137" s="4"/>
      <c r="V137" s="47"/>
      <c r="W137" s="4"/>
      <c r="X137" s="4"/>
      <c r="Y137" s="47"/>
      <c r="Z137" s="4"/>
      <c r="AA137" s="4"/>
    </row>
    <row r="138" spans="1:27" ht="24" customHeight="1" x14ac:dyDescent="0.3">
      <c r="A138" s="4"/>
      <c r="B138" s="4"/>
      <c r="C138" s="4"/>
      <c r="D138" s="4"/>
      <c r="E138" s="4"/>
      <c r="F138" s="4"/>
      <c r="G138" s="4"/>
      <c r="H138" s="4"/>
      <c r="I138" s="4"/>
      <c r="J138" s="4"/>
      <c r="K138" s="4"/>
      <c r="L138" s="4"/>
      <c r="M138" s="4"/>
      <c r="N138" s="4"/>
      <c r="O138" s="4"/>
      <c r="P138" s="4"/>
      <c r="Q138" s="4"/>
      <c r="R138" s="4"/>
      <c r="S138" s="47"/>
      <c r="T138" s="4"/>
      <c r="U138" s="4"/>
      <c r="V138" s="47"/>
      <c r="W138" s="4"/>
      <c r="X138" s="4"/>
      <c r="Y138" s="47"/>
      <c r="Z138" s="4"/>
      <c r="AA138" s="4"/>
    </row>
    <row r="139" spans="1:27" ht="24" customHeight="1" x14ac:dyDescent="0.3">
      <c r="A139" s="4"/>
      <c r="B139" s="4"/>
      <c r="C139" s="4"/>
      <c r="D139" s="4"/>
      <c r="E139" s="4"/>
      <c r="F139" s="4"/>
      <c r="G139" s="4"/>
      <c r="H139" s="4"/>
      <c r="I139" s="4"/>
      <c r="J139" s="4"/>
      <c r="K139" s="4"/>
      <c r="L139" s="4"/>
      <c r="M139" s="4"/>
      <c r="N139" s="4"/>
      <c r="O139" s="4"/>
      <c r="P139" s="4"/>
      <c r="Q139" s="4"/>
      <c r="R139" s="4"/>
      <c r="S139" s="47"/>
      <c r="T139" s="4"/>
      <c r="U139" s="4"/>
      <c r="V139" s="47"/>
      <c r="W139" s="4"/>
      <c r="X139" s="4"/>
      <c r="Y139" s="47"/>
      <c r="Z139" s="4"/>
      <c r="AA139" s="4"/>
    </row>
    <row r="140" spans="1:27" ht="24" customHeight="1" x14ac:dyDescent="0.3">
      <c r="A140" s="4"/>
      <c r="B140" s="4"/>
      <c r="C140" s="4"/>
      <c r="D140" s="4"/>
      <c r="E140" s="4"/>
      <c r="F140" s="4"/>
      <c r="G140" s="4"/>
      <c r="H140" s="4"/>
      <c r="I140" s="4"/>
      <c r="J140" s="4"/>
      <c r="K140" s="4"/>
      <c r="L140" s="4"/>
      <c r="M140" s="4"/>
      <c r="N140" s="4"/>
      <c r="O140" s="4"/>
      <c r="P140" s="4"/>
      <c r="Q140" s="4"/>
      <c r="R140" s="4"/>
      <c r="S140" s="47"/>
      <c r="T140" s="4"/>
      <c r="U140" s="4"/>
      <c r="V140" s="47"/>
      <c r="W140" s="4"/>
      <c r="X140" s="4"/>
      <c r="Y140" s="47"/>
      <c r="Z140" s="4"/>
      <c r="AA140" s="4"/>
    </row>
    <row r="141" spans="1:27" ht="24" customHeight="1" x14ac:dyDescent="0.3">
      <c r="A141" s="4"/>
      <c r="B141" s="4"/>
      <c r="C141" s="4"/>
      <c r="D141" s="4"/>
      <c r="E141" s="4"/>
      <c r="F141" s="4"/>
      <c r="G141" s="4"/>
      <c r="H141" s="4"/>
      <c r="I141" s="4"/>
      <c r="J141" s="4"/>
      <c r="K141" s="4"/>
      <c r="L141" s="4"/>
      <c r="M141" s="4"/>
      <c r="N141" s="4"/>
      <c r="O141" s="4"/>
      <c r="P141" s="4"/>
      <c r="Q141" s="4"/>
      <c r="R141" s="4"/>
      <c r="S141" s="47"/>
      <c r="T141" s="4"/>
      <c r="U141" s="4"/>
      <c r="V141" s="47"/>
      <c r="W141" s="4"/>
      <c r="X141" s="4"/>
      <c r="Y141" s="47"/>
      <c r="Z141" s="4"/>
      <c r="AA141" s="4"/>
    </row>
    <row r="142" spans="1:27" ht="24" customHeight="1" x14ac:dyDescent="0.3">
      <c r="A142" s="4"/>
      <c r="B142" s="4"/>
      <c r="C142" s="4"/>
      <c r="D142" s="4"/>
      <c r="E142" s="4"/>
      <c r="F142" s="4"/>
      <c r="G142" s="4"/>
      <c r="H142" s="4"/>
      <c r="I142" s="4"/>
      <c r="J142" s="4"/>
      <c r="K142" s="4"/>
      <c r="L142" s="4"/>
      <c r="M142" s="4"/>
      <c r="N142" s="4"/>
      <c r="O142" s="4"/>
      <c r="P142" s="4"/>
      <c r="Q142" s="4"/>
      <c r="R142" s="4"/>
      <c r="S142" s="47"/>
      <c r="T142" s="4"/>
      <c r="U142" s="4"/>
      <c r="V142" s="47"/>
      <c r="W142" s="4"/>
      <c r="X142" s="4"/>
      <c r="Y142" s="47"/>
      <c r="Z142" s="4"/>
      <c r="AA142" s="4"/>
    </row>
    <row r="143" spans="1:27" ht="24" customHeight="1" x14ac:dyDescent="0.3">
      <c r="A143" s="4"/>
      <c r="B143" s="4"/>
      <c r="C143" s="4"/>
      <c r="D143" s="4"/>
      <c r="E143" s="4"/>
      <c r="F143" s="4"/>
      <c r="G143" s="4"/>
      <c r="H143" s="4"/>
      <c r="I143" s="4"/>
      <c r="J143" s="4"/>
      <c r="K143" s="4"/>
      <c r="L143" s="4"/>
      <c r="M143" s="4"/>
      <c r="N143" s="4"/>
      <c r="O143" s="4"/>
      <c r="P143" s="4"/>
      <c r="Q143" s="4"/>
      <c r="R143" s="4"/>
      <c r="S143" s="47"/>
      <c r="T143" s="4"/>
      <c r="U143" s="4"/>
      <c r="V143" s="47"/>
      <c r="W143" s="4"/>
      <c r="X143" s="4"/>
      <c r="Y143" s="47"/>
      <c r="Z143" s="4"/>
      <c r="AA143" s="4"/>
    </row>
    <row r="144" spans="1:27" ht="24" customHeight="1" x14ac:dyDescent="0.3">
      <c r="A144" s="4"/>
      <c r="B144" s="4"/>
      <c r="C144" s="4"/>
      <c r="D144" s="4"/>
      <c r="E144" s="4"/>
      <c r="F144" s="4"/>
      <c r="G144" s="4"/>
      <c r="H144" s="4"/>
      <c r="I144" s="4"/>
      <c r="J144" s="4"/>
      <c r="K144" s="4"/>
      <c r="L144" s="4"/>
      <c r="M144" s="4"/>
      <c r="N144" s="4"/>
      <c r="O144" s="4"/>
      <c r="P144" s="4"/>
      <c r="Q144" s="4"/>
      <c r="R144" s="4"/>
      <c r="S144" s="47"/>
      <c r="T144" s="4"/>
      <c r="U144" s="4"/>
      <c r="V144" s="47"/>
      <c r="W144" s="4"/>
      <c r="X144" s="4"/>
      <c r="Y144" s="47"/>
      <c r="Z144" s="4"/>
      <c r="AA144" s="4"/>
    </row>
    <row r="145" spans="1:27" ht="24" customHeight="1" x14ac:dyDescent="0.3">
      <c r="A145" s="4"/>
      <c r="B145" s="4"/>
      <c r="C145" s="4"/>
      <c r="D145" s="4"/>
      <c r="E145" s="4"/>
      <c r="F145" s="4"/>
      <c r="G145" s="4"/>
      <c r="H145" s="4"/>
      <c r="I145" s="4"/>
      <c r="J145" s="4"/>
      <c r="K145" s="4"/>
      <c r="L145" s="4"/>
      <c r="M145" s="4"/>
      <c r="N145" s="4"/>
      <c r="O145" s="4"/>
      <c r="P145" s="4"/>
      <c r="Q145" s="4"/>
      <c r="R145" s="4"/>
      <c r="S145" s="47"/>
      <c r="T145" s="4"/>
      <c r="U145" s="4"/>
      <c r="V145" s="47"/>
      <c r="W145" s="4"/>
      <c r="X145" s="4"/>
      <c r="Y145" s="47"/>
      <c r="Z145" s="4"/>
      <c r="AA145" s="4"/>
    </row>
    <row r="146" spans="1:27" ht="24" customHeight="1" x14ac:dyDescent="0.3">
      <c r="A146" s="4"/>
      <c r="B146" s="4"/>
      <c r="C146" s="4"/>
      <c r="D146" s="4"/>
      <c r="E146" s="4"/>
      <c r="F146" s="4"/>
      <c r="G146" s="4"/>
      <c r="H146" s="4"/>
      <c r="I146" s="4"/>
      <c r="J146" s="4"/>
      <c r="K146" s="4"/>
      <c r="L146" s="4"/>
      <c r="M146" s="4"/>
      <c r="N146" s="4"/>
      <c r="O146" s="4"/>
      <c r="P146" s="4"/>
      <c r="Q146" s="4"/>
      <c r="R146" s="4"/>
      <c r="S146" s="47"/>
      <c r="T146" s="4"/>
      <c r="U146" s="4"/>
      <c r="V146" s="47"/>
      <c r="W146" s="4"/>
      <c r="X146" s="4"/>
      <c r="Y146" s="47"/>
      <c r="Z146" s="4"/>
      <c r="AA146" s="4"/>
    </row>
    <row r="147" spans="1:27" ht="24" customHeight="1" x14ac:dyDescent="0.3">
      <c r="A147" s="4"/>
      <c r="B147" s="4"/>
      <c r="C147" s="4"/>
      <c r="D147" s="4"/>
      <c r="E147" s="4"/>
      <c r="F147" s="4"/>
      <c r="G147" s="4"/>
      <c r="H147" s="4"/>
      <c r="I147" s="4"/>
      <c r="J147" s="4"/>
      <c r="K147" s="4"/>
      <c r="L147" s="4"/>
      <c r="M147" s="4"/>
      <c r="N147" s="4"/>
      <c r="O147" s="4"/>
      <c r="P147" s="4"/>
      <c r="Q147" s="4"/>
      <c r="R147" s="4"/>
      <c r="S147" s="47"/>
      <c r="T147" s="4"/>
      <c r="U147" s="4"/>
      <c r="V147" s="47"/>
      <c r="W147" s="4"/>
      <c r="X147" s="4"/>
      <c r="Y147" s="47"/>
      <c r="Z147" s="4"/>
      <c r="AA147" s="4"/>
    </row>
    <row r="148" spans="1:27" ht="24" customHeight="1" x14ac:dyDescent="0.3">
      <c r="A148" s="4"/>
      <c r="B148" s="4"/>
      <c r="C148" s="4"/>
      <c r="D148" s="4"/>
      <c r="E148" s="4"/>
      <c r="F148" s="4"/>
      <c r="G148" s="4"/>
      <c r="H148" s="4"/>
      <c r="I148" s="4"/>
      <c r="J148" s="4"/>
      <c r="K148" s="4"/>
      <c r="L148" s="4"/>
      <c r="M148" s="4"/>
      <c r="N148" s="4"/>
      <c r="O148" s="4"/>
      <c r="P148" s="4"/>
      <c r="Q148" s="4"/>
      <c r="R148" s="4"/>
      <c r="S148" s="47"/>
      <c r="T148" s="4"/>
      <c r="U148" s="4"/>
      <c r="V148" s="47"/>
      <c r="W148" s="4"/>
      <c r="X148" s="4"/>
      <c r="Y148" s="47"/>
      <c r="Z148" s="4"/>
      <c r="AA148" s="4"/>
    </row>
    <row r="149" spans="1:27" ht="24" customHeight="1" x14ac:dyDescent="0.3">
      <c r="A149" s="4"/>
      <c r="B149" s="4"/>
      <c r="C149" s="4"/>
      <c r="D149" s="4"/>
      <c r="E149" s="4"/>
      <c r="F149" s="4"/>
      <c r="G149" s="4"/>
      <c r="H149" s="4"/>
      <c r="I149" s="4"/>
      <c r="J149" s="4"/>
      <c r="K149" s="4"/>
      <c r="L149" s="4"/>
      <c r="M149" s="4"/>
      <c r="N149" s="4"/>
      <c r="O149" s="4"/>
      <c r="P149" s="4"/>
      <c r="Q149" s="4"/>
      <c r="R149" s="4"/>
      <c r="S149" s="47"/>
      <c r="T149" s="4"/>
      <c r="U149" s="4"/>
      <c r="V149" s="47"/>
      <c r="W149" s="4"/>
      <c r="X149" s="4"/>
      <c r="Y149" s="47"/>
      <c r="Z149" s="4"/>
      <c r="AA149" s="4"/>
    </row>
    <row r="150" spans="1:27" ht="24" customHeight="1" x14ac:dyDescent="0.3">
      <c r="A150" s="4"/>
      <c r="B150" s="4"/>
      <c r="C150" s="4"/>
      <c r="D150" s="4"/>
      <c r="E150" s="4"/>
      <c r="F150" s="4"/>
      <c r="G150" s="4"/>
      <c r="H150" s="4"/>
      <c r="I150" s="4"/>
      <c r="J150" s="4"/>
      <c r="K150" s="4"/>
      <c r="L150" s="4"/>
      <c r="M150" s="4"/>
      <c r="N150" s="4"/>
      <c r="O150" s="4"/>
      <c r="P150" s="4"/>
      <c r="Q150" s="4"/>
      <c r="R150" s="4"/>
      <c r="S150" s="47"/>
      <c r="T150" s="4"/>
      <c r="U150" s="4"/>
      <c r="V150" s="47"/>
      <c r="W150" s="4"/>
      <c r="X150" s="4"/>
      <c r="Y150" s="47"/>
      <c r="Z150" s="4"/>
      <c r="AA150" s="4"/>
    </row>
    <row r="151" spans="1:27" ht="24" customHeight="1" x14ac:dyDescent="0.3">
      <c r="A151" s="4"/>
      <c r="B151" s="4"/>
      <c r="C151" s="4"/>
      <c r="D151" s="4"/>
      <c r="E151" s="4"/>
      <c r="F151" s="4"/>
      <c r="G151" s="4"/>
      <c r="H151" s="4"/>
      <c r="I151" s="4"/>
      <c r="J151" s="4"/>
      <c r="K151" s="4"/>
      <c r="L151" s="4"/>
      <c r="M151" s="4"/>
      <c r="N151" s="4"/>
      <c r="O151" s="4"/>
      <c r="P151" s="4"/>
      <c r="Q151" s="4"/>
      <c r="R151" s="4"/>
      <c r="S151" s="47"/>
      <c r="T151" s="4"/>
      <c r="U151" s="4"/>
      <c r="V151" s="47"/>
      <c r="W151" s="4"/>
      <c r="X151" s="4"/>
      <c r="Y151" s="47"/>
      <c r="Z151" s="4"/>
      <c r="AA151" s="4"/>
    </row>
    <row r="152" spans="1:27" ht="24" customHeight="1" x14ac:dyDescent="0.3">
      <c r="A152" s="4"/>
      <c r="B152" s="4"/>
      <c r="C152" s="4"/>
      <c r="D152" s="4"/>
      <c r="E152" s="4"/>
      <c r="F152" s="4"/>
      <c r="G152" s="4"/>
      <c r="H152" s="4"/>
      <c r="I152" s="4"/>
      <c r="J152" s="4"/>
      <c r="K152" s="4"/>
      <c r="L152" s="4"/>
      <c r="M152" s="4"/>
      <c r="N152" s="4"/>
      <c r="O152" s="4"/>
      <c r="P152" s="4"/>
      <c r="Q152" s="4"/>
      <c r="R152" s="4"/>
      <c r="S152" s="47"/>
      <c r="T152" s="4"/>
      <c r="U152" s="4"/>
      <c r="V152" s="47"/>
      <c r="W152" s="4"/>
      <c r="X152" s="4"/>
      <c r="Y152" s="47"/>
      <c r="Z152" s="4"/>
      <c r="AA152" s="4"/>
    </row>
    <row r="153" spans="1:27" ht="24" customHeight="1" x14ac:dyDescent="0.3">
      <c r="A153" s="4"/>
      <c r="B153" s="4"/>
      <c r="C153" s="4"/>
      <c r="D153" s="4"/>
      <c r="E153" s="4"/>
      <c r="F153" s="4"/>
      <c r="G153" s="4"/>
      <c r="H153" s="4"/>
      <c r="I153" s="4"/>
      <c r="J153" s="4"/>
      <c r="K153" s="4"/>
      <c r="L153" s="4"/>
      <c r="M153" s="4"/>
      <c r="N153" s="4"/>
      <c r="O153" s="4"/>
      <c r="P153" s="4"/>
      <c r="Q153" s="4"/>
      <c r="R153" s="4"/>
      <c r="S153" s="47"/>
      <c r="T153" s="4"/>
      <c r="U153" s="4"/>
      <c r="V153" s="47"/>
      <c r="W153" s="4"/>
      <c r="X153" s="4"/>
      <c r="Y153" s="47"/>
      <c r="Z153" s="4"/>
      <c r="AA153" s="4"/>
    </row>
    <row r="154" spans="1:27" ht="24" customHeight="1" x14ac:dyDescent="0.3">
      <c r="A154" s="4"/>
      <c r="B154" s="4"/>
      <c r="C154" s="4"/>
      <c r="D154" s="4"/>
      <c r="E154" s="4"/>
      <c r="F154" s="4"/>
      <c r="G154" s="4"/>
      <c r="H154" s="4"/>
      <c r="I154" s="4"/>
      <c r="J154" s="4"/>
      <c r="K154" s="4"/>
      <c r="L154" s="4"/>
      <c r="M154" s="4"/>
      <c r="N154" s="4"/>
      <c r="O154" s="4"/>
      <c r="P154" s="4"/>
      <c r="Q154" s="4"/>
      <c r="R154" s="4"/>
      <c r="S154" s="47"/>
      <c r="T154" s="4"/>
      <c r="U154" s="4"/>
      <c r="V154" s="47"/>
      <c r="W154" s="4"/>
      <c r="X154" s="4"/>
      <c r="Y154" s="47"/>
      <c r="Z154" s="4"/>
      <c r="AA154" s="4"/>
    </row>
    <row r="155" spans="1:27" ht="24" customHeight="1" x14ac:dyDescent="0.3">
      <c r="A155" s="4"/>
      <c r="B155" s="4"/>
      <c r="C155" s="4"/>
      <c r="D155" s="4"/>
      <c r="E155" s="4"/>
      <c r="F155" s="4"/>
      <c r="G155" s="4"/>
      <c r="H155" s="4"/>
      <c r="I155" s="4"/>
      <c r="J155" s="4"/>
      <c r="K155" s="4"/>
      <c r="L155" s="4"/>
      <c r="M155" s="4"/>
      <c r="N155" s="4"/>
      <c r="O155" s="4"/>
      <c r="P155" s="4"/>
      <c r="Q155" s="4"/>
      <c r="R155" s="4"/>
      <c r="S155" s="47"/>
      <c r="T155" s="4"/>
      <c r="U155" s="4"/>
      <c r="V155" s="47"/>
      <c r="W155" s="4"/>
      <c r="X155" s="4"/>
      <c r="Y155" s="47"/>
      <c r="Z155" s="4"/>
      <c r="AA155" s="4"/>
    </row>
    <row r="156" spans="1:27" ht="24" customHeight="1" x14ac:dyDescent="0.3">
      <c r="A156" s="4"/>
      <c r="B156" s="4"/>
      <c r="C156" s="4"/>
      <c r="D156" s="4"/>
      <c r="E156" s="4"/>
      <c r="F156" s="4"/>
      <c r="G156" s="4"/>
      <c r="H156" s="4"/>
      <c r="I156" s="4"/>
      <c r="J156" s="4"/>
      <c r="K156" s="4"/>
      <c r="L156" s="4"/>
      <c r="M156" s="4"/>
      <c r="N156" s="4"/>
      <c r="O156" s="4"/>
      <c r="P156" s="4"/>
      <c r="Q156" s="4"/>
      <c r="R156" s="4"/>
      <c r="S156" s="47"/>
      <c r="T156" s="4"/>
      <c r="U156" s="4"/>
      <c r="V156" s="47"/>
      <c r="W156" s="4"/>
      <c r="X156" s="4"/>
      <c r="Y156" s="47"/>
      <c r="Z156" s="4"/>
      <c r="AA156" s="4"/>
    </row>
    <row r="157" spans="1:27" ht="24" customHeight="1" x14ac:dyDescent="0.3">
      <c r="A157" s="4"/>
      <c r="B157" s="4"/>
      <c r="C157" s="4"/>
      <c r="D157" s="4"/>
      <c r="E157" s="4"/>
      <c r="F157" s="4"/>
      <c r="G157" s="4"/>
      <c r="H157" s="4"/>
      <c r="I157" s="4"/>
      <c r="J157" s="4"/>
      <c r="K157" s="4"/>
      <c r="L157" s="4"/>
      <c r="M157" s="4"/>
      <c r="N157" s="4"/>
      <c r="O157" s="4"/>
      <c r="P157" s="4"/>
      <c r="Q157" s="4"/>
      <c r="R157" s="4"/>
      <c r="S157" s="47"/>
      <c r="T157" s="4"/>
      <c r="U157" s="4"/>
      <c r="V157" s="47"/>
      <c r="W157" s="4"/>
      <c r="X157" s="4"/>
      <c r="Y157" s="47"/>
      <c r="Z157" s="4"/>
      <c r="AA157" s="4"/>
    </row>
    <row r="158" spans="1:27" ht="24" customHeight="1" x14ac:dyDescent="0.3">
      <c r="A158" s="4"/>
      <c r="B158" s="4"/>
      <c r="C158" s="4"/>
      <c r="D158" s="4"/>
      <c r="E158" s="4"/>
      <c r="F158" s="4"/>
      <c r="G158" s="4"/>
      <c r="H158" s="4"/>
      <c r="I158" s="4"/>
      <c r="J158" s="4"/>
      <c r="K158" s="4"/>
      <c r="L158" s="4"/>
      <c r="M158" s="4"/>
      <c r="N158" s="4"/>
      <c r="O158" s="4"/>
      <c r="P158" s="4"/>
      <c r="Q158" s="4"/>
      <c r="R158" s="4"/>
      <c r="S158" s="47"/>
      <c r="T158" s="4"/>
      <c r="U158" s="4"/>
      <c r="V158" s="47"/>
      <c r="W158" s="4"/>
      <c r="X158" s="4"/>
      <c r="Y158" s="47"/>
      <c r="Z158" s="4"/>
      <c r="AA158" s="4"/>
    </row>
    <row r="159" spans="1:27" ht="24" customHeight="1" x14ac:dyDescent="0.3">
      <c r="A159" s="4"/>
      <c r="B159" s="4"/>
      <c r="C159" s="4"/>
      <c r="D159" s="4"/>
      <c r="E159" s="4"/>
      <c r="F159" s="4"/>
      <c r="G159" s="4"/>
      <c r="H159" s="4"/>
      <c r="I159" s="4"/>
      <c r="J159" s="4"/>
      <c r="K159" s="4"/>
      <c r="L159" s="4"/>
      <c r="M159" s="4"/>
      <c r="N159" s="4"/>
      <c r="O159" s="4"/>
      <c r="P159" s="4"/>
      <c r="Q159" s="4"/>
      <c r="R159" s="4"/>
      <c r="S159" s="47"/>
      <c r="T159" s="4"/>
      <c r="U159" s="4"/>
      <c r="V159" s="47"/>
      <c r="W159" s="4"/>
      <c r="X159" s="4"/>
      <c r="Y159" s="47"/>
      <c r="Z159" s="4"/>
      <c r="AA159" s="4"/>
    </row>
    <row r="160" spans="1:27" ht="24" customHeight="1" x14ac:dyDescent="0.3">
      <c r="A160" s="4"/>
      <c r="B160" s="4"/>
      <c r="C160" s="4"/>
      <c r="D160" s="4"/>
      <c r="E160" s="4"/>
      <c r="F160" s="4"/>
      <c r="G160" s="4"/>
      <c r="H160" s="4"/>
      <c r="I160" s="4"/>
      <c r="J160" s="4"/>
      <c r="K160" s="4"/>
      <c r="L160" s="4"/>
      <c r="M160" s="4"/>
      <c r="N160" s="4"/>
      <c r="O160" s="4"/>
      <c r="P160" s="4"/>
      <c r="Q160" s="4"/>
      <c r="R160" s="4"/>
      <c r="S160" s="47"/>
      <c r="T160" s="4"/>
      <c r="U160" s="4"/>
      <c r="V160" s="47"/>
      <c r="W160" s="4"/>
      <c r="X160" s="4"/>
      <c r="Y160" s="47"/>
      <c r="Z160" s="4"/>
      <c r="AA160" s="4"/>
    </row>
    <row r="161" spans="1:27" ht="24" customHeight="1" x14ac:dyDescent="0.3">
      <c r="A161" s="4"/>
      <c r="B161" s="4"/>
      <c r="C161" s="4"/>
      <c r="D161" s="4"/>
      <c r="E161" s="4"/>
      <c r="F161" s="4"/>
      <c r="G161" s="4"/>
      <c r="H161" s="4"/>
      <c r="I161" s="4"/>
      <c r="J161" s="4"/>
      <c r="K161" s="4"/>
      <c r="L161" s="4"/>
      <c r="M161" s="4"/>
      <c r="N161" s="4"/>
      <c r="O161" s="4"/>
      <c r="P161" s="4"/>
      <c r="Q161" s="4"/>
      <c r="R161" s="4"/>
      <c r="S161" s="47"/>
      <c r="T161" s="4"/>
      <c r="U161" s="4"/>
      <c r="V161" s="47"/>
      <c r="W161" s="4"/>
      <c r="X161" s="4"/>
      <c r="Y161" s="47"/>
      <c r="Z161" s="4"/>
      <c r="AA161" s="4"/>
    </row>
    <row r="162" spans="1:27" ht="24" customHeight="1" x14ac:dyDescent="0.3">
      <c r="A162" s="4"/>
      <c r="B162" s="4"/>
      <c r="C162" s="4"/>
      <c r="D162" s="4"/>
      <c r="E162" s="4"/>
      <c r="F162" s="4"/>
      <c r="G162" s="4"/>
      <c r="H162" s="4"/>
      <c r="I162" s="4"/>
      <c r="J162" s="4"/>
      <c r="K162" s="4"/>
      <c r="L162" s="4"/>
      <c r="M162" s="4"/>
      <c r="N162" s="4"/>
      <c r="O162" s="4"/>
      <c r="P162" s="4"/>
      <c r="Q162" s="4"/>
      <c r="R162" s="4"/>
      <c r="S162" s="47"/>
      <c r="T162" s="4"/>
      <c r="U162" s="4"/>
      <c r="V162" s="47"/>
      <c r="W162" s="4"/>
      <c r="X162" s="4"/>
      <c r="Y162" s="47"/>
      <c r="Z162" s="4"/>
      <c r="AA162" s="4"/>
    </row>
    <row r="163" spans="1:27" ht="24" customHeight="1" x14ac:dyDescent="0.3">
      <c r="A163" s="4"/>
      <c r="B163" s="4"/>
      <c r="C163" s="4"/>
      <c r="D163" s="4"/>
      <c r="E163" s="4"/>
      <c r="F163" s="4"/>
      <c r="G163" s="4"/>
      <c r="H163" s="4"/>
      <c r="I163" s="4"/>
      <c r="J163" s="4"/>
      <c r="K163" s="4"/>
      <c r="L163" s="4"/>
      <c r="M163" s="4"/>
      <c r="N163" s="4"/>
      <c r="O163" s="4"/>
      <c r="P163" s="4"/>
      <c r="Q163" s="4"/>
      <c r="R163" s="4"/>
      <c r="S163" s="47"/>
      <c r="T163" s="4"/>
      <c r="U163" s="4"/>
      <c r="V163" s="47"/>
      <c r="W163" s="4"/>
      <c r="X163" s="4"/>
      <c r="Y163" s="47"/>
      <c r="Z163" s="4"/>
      <c r="AA163" s="4"/>
    </row>
    <row r="164" spans="1:27" ht="24" customHeight="1" x14ac:dyDescent="0.3">
      <c r="A164" s="4"/>
      <c r="B164" s="4"/>
      <c r="C164" s="4"/>
      <c r="D164" s="4"/>
      <c r="E164" s="4"/>
      <c r="F164" s="4"/>
      <c r="G164" s="4"/>
      <c r="H164" s="4"/>
      <c r="I164" s="4"/>
      <c r="J164" s="4"/>
      <c r="K164" s="4"/>
      <c r="L164" s="4"/>
      <c r="M164" s="4"/>
      <c r="N164" s="4"/>
      <c r="O164" s="4"/>
      <c r="P164" s="4"/>
      <c r="Q164" s="4"/>
      <c r="R164" s="4"/>
      <c r="S164" s="47"/>
      <c r="T164" s="4"/>
      <c r="U164" s="4"/>
      <c r="V164" s="47"/>
      <c r="W164" s="4"/>
      <c r="X164" s="4"/>
      <c r="Y164" s="47"/>
      <c r="Z164" s="4"/>
      <c r="AA164" s="4"/>
    </row>
    <row r="165" spans="1:27" ht="24" customHeight="1" x14ac:dyDescent="0.3">
      <c r="A165" s="4"/>
      <c r="B165" s="4"/>
      <c r="C165" s="4"/>
      <c r="D165" s="4"/>
      <c r="E165" s="4"/>
      <c r="F165" s="4"/>
      <c r="G165" s="4"/>
      <c r="H165" s="4"/>
      <c r="I165" s="4"/>
      <c r="J165" s="4"/>
      <c r="K165" s="4"/>
      <c r="L165" s="4"/>
      <c r="M165" s="4"/>
      <c r="N165" s="4"/>
      <c r="O165" s="4"/>
      <c r="P165" s="4"/>
      <c r="Q165" s="4"/>
      <c r="R165" s="4"/>
      <c r="S165" s="47"/>
      <c r="T165" s="4"/>
      <c r="U165" s="4"/>
      <c r="V165" s="47"/>
      <c r="W165" s="4"/>
      <c r="X165" s="4"/>
      <c r="Y165" s="47"/>
      <c r="Z165" s="4"/>
      <c r="AA165" s="4"/>
    </row>
    <row r="166" spans="1:27" ht="24" customHeight="1" x14ac:dyDescent="0.3">
      <c r="A166" s="4"/>
      <c r="B166" s="4"/>
      <c r="C166" s="4"/>
      <c r="D166" s="4"/>
      <c r="E166" s="4"/>
      <c r="F166" s="4"/>
      <c r="G166" s="4"/>
      <c r="H166" s="4"/>
      <c r="I166" s="4"/>
      <c r="J166" s="4"/>
      <c r="K166" s="4"/>
      <c r="L166" s="4"/>
      <c r="M166" s="4"/>
      <c r="N166" s="4"/>
      <c r="O166" s="4"/>
      <c r="P166" s="4"/>
      <c r="Q166" s="4"/>
      <c r="R166" s="4"/>
      <c r="S166" s="47"/>
      <c r="T166" s="4"/>
      <c r="U166" s="4"/>
      <c r="V166" s="47"/>
      <c r="W166" s="4"/>
      <c r="X166" s="4"/>
      <c r="Y166" s="47"/>
      <c r="Z166" s="4"/>
      <c r="AA166" s="4"/>
    </row>
    <row r="167" spans="1:27" ht="24" customHeight="1" x14ac:dyDescent="0.3">
      <c r="A167" s="4"/>
      <c r="B167" s="4"/>
      <c r="C167" s="4"/>
      <c r="D167" s="4"/>
      <c r="E167" s="4"/>
      <c r="F167" s="4"/>
      <c r="G167" s="4"/>
      <c r="H167" s="4"/>
      <c r="I167" s="4"/>
      <c r="J167" s="4"/>
      <c r="K167" s="4"/>
      <c r="L167" s="4"/>
      <c r="M167" s="4"/>
      <c r="N167" s="4"/>
      <c r="O167" s="4"/>
      <c r="P167" s="4"/>
      <c r="Q167" s="4"/>
      <c r="R167" s="4"/>
      <c r="S167" s="47"/>
      <c r="T167" s="4"/>
      <c r="U167" s="4"/>
      <c r="V167" s="47"/>
      <c r="W167" s="4"/>
      <c r="X167" s="4"/>
      <c r="Y167" s="47"/>
      <c r="Z167" s="4"/>
      <c r="AA167" s="4"/>
    </row>
    <row r="168" spans="1:27" ht="24" customHeight="1" x14ac:dyDescent="0.3">
      <c r="A168" s="4"/>
      <c r="B168" s="4"/>
      <c r="C168" s="4"/>
      <c r="D168" s="4"/>
      <c r="E168" s="4"/>
      <c r="F168" s="4"/>
      <c r="G168" s="4"/>
      <c r="H168" s="4"/>
      <c r="I168" s="4"/>
      <c r="J168" s="4"/>
      <c r="K168" s="4"/>
      <c r="L168" s="4"/>
      <c r="M168" s="4"/>
      <c r="N168" s="4"/>
      <c r="O168" s="4"/>
      <c r="P168" s="4"/>
      <c r="Q168" s="4"/>
      <c r="R168" s="4"/>
      <c r="S168" s="47"/>
      <c r="T168" s="4"/>
      <c r="U168" s="4"/>
      <c r="V168" s="47"/>
      <c r="W168" s="4"/>
      <c r="X168" s="4"/>
      <c r="Y168" s="47"/>
      <c r="Z168" s="4"/>
      <c r="AA168" s="4"/>
    </row>
    <row r="169" spans="1:27" ht="24" customHeight="1" x14ac:dyDescent="0.3">
      <c r="A169" s="4"/>
      <c r="B169" s="4"/>
      <c r="C169" s="4"/>
      <c r="D169" s="4"/>
      <c r="E169" s="4"/>
      <c r="F169" s="4"/>
      <c r="G169" s="4"/>
      <c r="H169" s="4"/>
      <c r="I169" s="4"/>
      <c r="J169" s="4"/>
      <c r="K169" s="4"/>
      <c r="L169" s="4"/>
      <c r="M169" s="4"/>
      <c r="N169" s="4"/>
      <c r="O169" s="4"/>
      <c r="P169" s="4"/>
      <c r="Q169" s="4"/>
      <c r="R169" s="4"/>
      <c r="S169" s="47"/>
      <c r="T169" s="4"/>
      <c r="U169" s="4"/>
      <c r="V169" s="47"/>
      <c r="W169" s="4"/>
      <c r="X169" s="4"/>
      <c r="Y169" s="47"/>
      <c r="Z169" s="4"/>
      <c r="AA169" s="4"/>
    </row>
    <row r="170" spans="1:27" ht="24" customHeight="1" x14ac:dyDescent="0.3">
      <c r="A170" s="4"/>
      <c r="B170" s="4"/>
      <c r="C170" s="4"/>
      <c r="D170" s="4"/>
      <c r="E170" s="4"/>
      <c r="F170" s="4"/>
      <c r="G170" s="4"/>
      <c r="H170" s="4"/>
      <c r="I170" s="4"/>
      <c r="J170" s="4"/>
      <c r="K170" s="4"/>
      <c r="L170" s="4"/>
      <c r="M170" s="4"/>
      <c r="N170" s="4"/>
      <c r="O170" s="4"/>
      <c r="P170" s="4"/>
      <c r="Q170" s="4"/>
      <c r="R170" s="4"/>
      <c r="S170" s="47"/>
      <c r="T170" s="4"/>
      <c r="U170" s="4"/>
      <c r="V170" s="47"/>
      <c r="W170" s="4"/>
      <c r="X170" s="4"/>
      <c r="Y170" s="47"/>
      <c r="Z170" s="4"/>
      <c r="AA170" s="4"/>
    </row>
    <row r="171" spans="1:27" ht="24" customHeight="1" x14ac:dyDescent="0.3">
      <c r="A171" s="4"/>
      <c r="B171" s="4"/>
      <c r="C171" s="4"/>
      <c r="D171" s="4"/>
      <c r="E171" s="4"/>
      <c r="F171" s="4"/>
      <c r="G171" s="4"/>
      <c r="H171" s="4"/>
      <c r="I171" s="4"/>
      <c r="J171" s="4"/>
      <c r="K171" s="4"/>
      <c r="L171" s="4"/>
      <c r="M171" s="4"/>
      <c r="N171" s="4"/>
      <c r="O171" s="4"/>
      <c r="P171" s="4"/>
      <c r="Q171" s="4"/>
      <c r="R171" s="4"/>
      <c r="S171" s="47"/>
      <c r="T171" s="4"/>
      <c r="U171" s="4"/>
      <c r="V171" s="47"/>
      <c r="W171" s="4"/>
      <c r="X171" s="4"/>
      <c r="Y171" s="47"/>
      <c r="Z171" s="4"/>
      <c r="AA171" s="4"/>
    </row>
    <row r="172" spans="1:27" ht="24" customHeight="1" x14ac:dyDescent="0.3">
      <c r="A172" s="4"/>
      <c r="B172" s="4"/>
      <c r="C172" s="4"/>
      <c r="D172" s="4"/>
      <c r="E172" s="4"/>
      <c r="F172" s="4"/>
      <c r="G172" s="4"/>
      <c r="H172" s="4"/>
      <c r="I172" s="4"/>
      <c r="J172" s="4"/>
      <c r="K172" s="4"/>
      <c r="L172" s="4"/>
      <c r="M172" s="4"/>
      <c r="N172" s="4"/>
      <c r="O172" s="4"/>
      <c r="P172" s="4"/>
      <c r="Q172" s="4"/>
      <c r="R172" s="4"/>
      <c r="S172" s="47"/>
      <c r="T172" s="4"/>
      <c r="U172" s="4"/>
      <c r="V172" s="47"/>
      <c r="W172" s="4"/>
      <c r="X172" s="4"/>
      <c r="Y172" s="47"/>
      <c r="Z172" s="4"/>
      <c r="AA172" s="4"/>
    </row>
    <row r="173" spans="1:27" ht="24" customHeight="1" x14ac:dyDescent="0.3">
      <c r="A173" s="4"/>
      <c r="B173" s="4"/>
      <c r="C173" s="4"/>
      <c r="D173" s="4"/>
      <c r="E173" s="4"/>
      <c r="F173" s="4"/>
      <c r="G173" s="4"/>
      <c r="H173" s="4"/>
      <c r="I173" s="4"/>
      <c r="J173" s="4"/>
      <c r="K173" s="4"/>
      <c r="L173" s="4"/>
      <c r="M173" s="4"/>
      <c r="N173" s="4"/>
      <c r="O173" s="4"/>
      <c r="P173" s="4"/>
      <c r="Q173" s="4"/>
      <c r="R173" s="4"/>
      <c r="S173" s="47"/>
      <c r="T173" s="4"/>
      <c r="U173" s="4"/>
      <c r="V173" s="47"/>
      <c r="W173" s="4"/>
      <c r="X173" s="4"/>
      <c r="Y173" s="47"/>
      <c r="Z173" s="4"/>
      <c r="AA173" s="4"/>
    </row>
    <row r="174" spans="1:27" ht="24" customHeight="1" x14ac:dyDescent="0.3">
      <c r="A174" s="4"/>
      <c r="B174" s="4"/>
      <c r="C174" s="4"/>
      <c r="D174" s="4"/>
      <c r="E174" s="4"/>
      <c r="F174" s="4"/>
      <c r="G174" s="4"/>
      <c r="H174" s="4"/>
      <c r="I174" s="4"/>
      <c r="J174" s="4"/>
      <c r="K174" s="4"/>
      <c r="L174" s="4"/>
      <c r="M174" s="4"/>
      <c r="N174" s="4"/>
      <c r="O174" s="4"/>
      <c r="P174" s="4"/>
      <c r="Q174" s="4"/>
      <c r="R174" s="4"/>
      <c r="S174" s="47"/>
      <c r="T174" s="4"/>
      <c r="U174" s="4"/>
      <c r="V174" s="47"/>
      <c r="W174" s="4"/>
      <c r="X174" s="4"/>
      <c r="Y174" s="47"/>
      <c r="Z174" s="4"/>
      <c r="AA174" s="4"/>
    </row>
    <row r="175" spans="1:27" ht="24" customHeight="1" x14ac:dyDescent="0.3">
      <c r="A175" s="4"/>
      <c r="B175" s="4"/>
      <c r="C175" s="4"/>
      <c r="D175" s="4"/>
      <c r="E175" s="4"/>
      <c r="F175" s="4"/>
      <c r="G175" s="4"/>
      <c r="H175" s="4"/>
      <c r="I175" s="4"/>
      <c r="J175" s="4"/>
      <c r="K175" s="4"/>
      <c r="L175" s="4"/>
      <c r="M175" s="4"/>
      <c r="N175" s="4"/>
      <c r="O175" s="4"/>
      <c r="P175" s="4"/>
      <c r="Q175" s="4"/>
      <c r="R175" s="4"/>
      <c r="S175" s="47"/>
      <c r="T175" s="4"/>
      <c r="U175" s="4"/>
      <c r="V175" s="47"/>
      <c r="W175" s="4"/>
      <c r="X175" s="4"/>
      <c r="Y175" s="47"/>
      <c r="Z175" s="4"/>
      <c r="AA175" s="4"/>
    </row>
    <row r="176" spans="1:27" ht="24" customHeight="1" x14ac:dyDescent="0.3">
      <c r="A176" s="4"/>
      <c r="B176" s="4"/>
      <c r="C176" s="4"/>
      <c r="D176" s="4"/>
      <c r="E176" s="4"/>
      <c r="F176" s="4"/>
      <c r="G176" s="4"/>
      <c r="H176" s="4"/>
      <c r="I176" s="4"/>
      <c r="J176" s="4"/>
      <c r="K176" s="4"/>
      <c r="L176" s="4"/>
      <c r="M176" s="4"/>
      <c r="N176" s="4"/>
      <c r="O176" s="4"/>
      <c r="P176" s="4"/>
      <c r="Q176" s="4"/>
      <c r="R176" s="4"/>
      <c r="S176" s="47"/>
      <c r="T176" s="4"/>
      <c r="U176" s="4"/>
      <c r="V176" s="47"/>
      <c r="W176" s="4"/>
      <c r="X176" s="4"/>
      <c r="Y176" s="47"/>
      <c r="Z176" s="4"/>
      <c r="AA176" s="4"/>
    </row>
    <row r="177" spans="1:27" ht="24" customHeight="1" x14ac:dyDescent="0.3">
      <c r="A177" s="4"/>
      <c r="B177" s="4"/>
      <c r="C177" s="4"/>
      <c r="D177" s="4"/>
      <c r="E177" s="4"/>
      <c r="F177" s="4"/>
      <c r="G177" s="4"/>
      <c r="H177" s="4"/>
      <c r="I177" s="4"/>
      <c r="J177" s="4"/>
      <c r="K177" s="4"/>
      <c r="L177" s="4"/>
      <c r="M177" s="4"/>
      <c r="N177" s="4"/>
      <c r="O177" s="4"/>
      <c r="P177" s="4"/>
      <c r="Q177" s="4"/>
      <c r="R177" s="4"/>
      <c r="S177" s="47"/>
      <c r="T177" s="4"/>
      <c r="U177" s="4"/>
      <c r="V177" s="47"/>
      <c r="W177" s="4"/>
      <c r="X177" s="4"/>
      <c r="Y177" s="47"/>
      <c r="Z177" s="4"/>
      <c r="AA177" s="4"/>
    </row>
    <row r="178" spans="1:27" ht="24" customHeight="1" x14ac:dyDescent="0.3">
      <c r="A178" s="4"/>
      <c r="B178" s="4"/>
      <c r="C178" s="4"/>
      <c r="D178" s="4"/>
      <c r="E178" s="4"/>
      <c r="F178" s="4"/>
      <c r="G178" s="4"/>
      <c r="H178" s="4"/>
      <c r="I178" s="4"/>
      <c r="J178" s="4"/>
      <c r="K178" s="4"/>
      <c r="L178" s="4"/>
      <c r="M178" s="4"/>
      <c r="N178" s="4"/>
      <c r="O178" s="4"/>
      <c r="P178" s="4"/>
      <c r="Q178" s="4"/>
      <c r="R178" s="4"/>
      <c r="S178" s="47"/>
      <c r="T178" s="4"/>
      <c r="U178" s="4"/>
      <c r="V178" s="47"/>
      <c r="W178" s="4"/>
      <c r="X178" s="4"/>
      <c r="Y178" s="47"/>
      <c r="Z178" s="4"/>
      <c r="AA178" s="4"/>
    </row>
    <row r="179" spans="1:27" ht="24" customHeight="1" x14ac:dyDescent="0.3">
      <c r="A179" s="4"/>
      <c r="B179" s="4"/>
      <c r="C179" s="4"/>
      <c r="D179" s="4"/>
      <c r="E179" s="4"/>
      <c r="F179" s="4"/>
      <c r="G179" s="4"/>
      <c r="H179" s="4"/>
      <c r="I179" s="4"/>
      <c r="J179" s="4"/>
      <c r="K179" s="4"/>
      <c r="L179" s="4"/>
      <c r="M179" s="4"/>
      <c r="N179" s="4"/>
      <c r="O179" s="4"/>
      <c r="P179" s="4"/>
      <c r="Q179" s="4"/>
      <c r="R179" s="4"/>
      <c r="S179" s="47"/>
      <c r="T179" s="4"/>
      <c r="U179" s="4"/>
      <c r="V179" s="47"/>
      <c r="W179" s="4"/>
      <c r="X179" s="4"/>
      <c r="Y179" s="47"/>
      <c r="Z179" s="4"/>
      <c r="AA179" s="4"/>
    </row>
    <row r="180" spans="1:27" ht="24" customHeight="1" x14ac:dyDescent="0.3">
      <c r="A180" s="4"/>
      <c r="B180" s="4"/>
      <c r="C180" s="4"/>
      <c r="D180" s="4"/>
      <c r="E180" s="4"/>
      <c r="F180" s="4"/>
      <c r="G180" s="4"/>
      <c r="H180" s="4"/>
      <c r="I180" s="4"/>
      <c r="J180" s="4"/>
      <c r="K180" s="4"/>
      <c r="L180" s="4"/>
      <c r="M180" s="4"/>
      <c r="N180" s="4"/>
      <c r="O180" s="4"/>
      <c r="P180" s="4"/>
      <c r="Q180" s="4"/>
      <c r="R180" s="4"/>
      <c r="S180" s="47"/>
      <c r="T180" s="4"/>
      <c r="U180" s="4"/>
      <c r="V180" s="47"/>
      <c r="W180" s="4"/>
      <c r="X180" s="4"/>
      <c r="Y180" s="47"/>
      <c r="Z180" s="4"/>
      <c r="AA180" s="4"/>
    </row>
    <row r="181" spans="1:27" ht="24" customHeight="1" x14ac:dyDescent="0.3">
      <c r="A181" s="4"/>
      <c r="B181" s="4"/>
      <c r="C181" s="4"/>
      <c r="D181" s="4"/>
      <c r="E181" s="4"/>
      <c r="F181" s="4"/>
      <c r="G181" s="4"/>
      <c r="H181" s="4"/>
      <c r="I181" s="4"/>
      <c r="J181" s="4"/>
      <c r="K181" s="4"/>
      <c r="L181" s="4"/>
      <c r="M181" s="4"/>
      <c r="N181" s="4"/>
      <c r="O181" s="4"/>
      <c r="P181" s="4"/>
      <c r="Q181" s="4"/>
      <c r="R181" s="4"/>
      <c r="S181" s="47"/>
      <c r="T181" s="4"/>
      <c r="U181" s="4"/>
      <c r="V181" s="47"/>
      <c r="W181" s="4"/>
      <c r="X181" s="4"/>
      <c r="Y181" s="47"/>
      <c r="Z181" s="4"/>
      <c r="AA181" s="4"/>
    </row>
    <row r="182" spans="1:27" ht="24" customHeight="1" x14ac:dyDescent="0.3">
      <c r="A182" s="4"/>
      <c r="B182" s="4"/>
      <c r="C182" s="4"/>
      <c r="D182" s="4"/>
      <c r="E182" s="4"/>
      <c r="F182" s="4"/>
      <c r="G182" s="4"/>
      <c r="H182" s="4"/>
      <c r="I182" s="4"/>
      <c r="J182" s="4"/>
      <c r="K182" s="4"/>
      <c r="L182" s="4"/>
      <c r="M182" s="4"/>
      <c r="N182" s="4"/>
      <c r="O182" s="4"/>
      <c r="P182" s="4"/>
      <c r="Q182" s="4"/>
      <c r="R182" s="4"/>
      <c r="S182" s="47"/>
      <c r="T182" s="4"/>
      <c r="U182" s="4"/>
      <c r="V182" s="47"/>
      <c r="W182" s="4"/>
      <c r="X182" s="4"/>
      <c r="Y182" s="47"/>
      <c r="Z182" s="4"/>
      <c r="AA182" s="4"/>
    </row>
    <row r="183" spans="1:27" ht="24" customHeight="1" x14ac:dyDescent="0.3">
      <c r="A183" s="4"/>
      <c r="B183" s="4"/>
      <c r="C183" s="4"/>
      <c r="D183" s="4"/>
      <c r="E183" s="4"/>
      <c r="F183" s="4"/>
      <c r="G183" s="4"/>
      <c r="H183" s="4"/>
      <c r="I183" s="4"/>
      <c r="J183" s="4"/>
      <c r="K183" s="4"/>
      <c r="L183" s="4"/>
      <c r="M183" s="4"/>
      <c r="N183" s="4"/>
      <c r="O183" s="4"/>
      <c r="P183" s="4"/>
      <c r="Q183" s="4"/>
      <c r="R183" s="4"/>
      <c r="S183" s="47"/>
      <c r="T183" s="4"/>
      <c r="U183" s="4"/>
      <c r="V183" s="47"/>
      <c r="W183" s="4"/>
      <c r="X183" s="4"/>
      <c r="Y183" s="47"/>
      <c r="Z183" s="4"/>
      <c r="AA183" s="4"/>
    </row>
    <row r="184" spans="1:27" ht="24" customHeight="1" x14ac:dyDescent="0.3">
      <c r="A184" s="4"/>
      <c r="B184" s="4"/>
      <c r="C184" s="4"/>
      <c r="D184" s="4"/>
      <c r="E184" s="4"/>
      <c r="F184" s="4"/>
      <c r="G184" s="4"/>
      <c r="H184" s="4"/>
      <c r="I184" s="4"/>
      <c r="J184" s="4"/>
      <c r="K184" s="4"/>
      <c r="L184" s="4"/>
      <c r="M184" s="4"/>
      <c r="N184" s="4"/>
      <c r="O184" s="4"/>
      <c r="P184" s="4"/>
      <c r="Q184" s="4"/>
      <c r="R184" s="4"/>
      <c r="S184" s="47"/>
      <c r="T184" s="4"/>
      <c r="U184" s="4"/>
      <c r="V184" s="47"/>
      <c r="W184" s="4"/>
      <c r="X184" s="4"/>
      <c r="Y184" s="47"/>
      <c r="Z184" s="4"/>
      <c r="AA184" s="4"/>
    </row>
    <row r="185" spans="1:27" ht="24" customHeight="1" x14ac:dyDescent="0.3">
      <c r="A185" s="4"/>
      <c r="B185" s="4"/>
      <c r="C185" s="4"/>
      <c r="D185" s="4"/>
      <c r="E185" s="4"/>
      <c r="F185" s="4"/>
      <c r="G185" s="4"/>
      <c r="H185" s="4"/>
      <c r="I185" s="4"/>
      <c r="J185" s="4"/>
      <c r="K185" s="4"/>
      <c r="L185" s="4"/>
      <c r="M185" s="4"/>
      <c r="N185" s="4"/>
      <c r="O185" s="4"/>
      <c r="P185" s="4"/>
      <c r="Q185" s="4"/>
      <c r="R185" s="4"/>
      <c r="S185" s="47"/>
      <c r="T185" s="4"/>
      <c r="U185" s="4"/>
      <c r="V185" s="47"/>
      <c r="W185" s="4"/>
      <c r="X185" s="4"/>
      <c r="Y185" s="47"/>
      <c r="Z185" s="4"/>
      <c r="AA185" s="4"/>
    </row>
    <row r="186" spans="1:27" ht="24" customHeight="1" x14ac:dyDescent="0.3">
      <c r="A186" s="4"/>
      <c r="B186" s="4"/>
      <c r="C186" s="4"/>
      <c r="D186" s="4"/>
      <c r="E186" s="4"/>
      <c r="F186" s="4"/>
      <c r="G186" s="4"/>
      <c r="H186" s="4"/>
      <c r="I186" s="4"/>
      <c r="J186" s="4"/>
      <c r="K186" s="4"/>
      <c r="L186" s="4"/>
      <c r="M186" s="4"/>
      <c r="N186" s="4"/>
      <c r="O186" s="4"/>
      <c r="P186" s="4"/>
      <c r="Q186" s="4"/>
      <c r="R186" s="4"/>
      <c r="S186" s="47"/>
      <c r="T186" s="4"/>
      <c r="U186" s="4"/>
      <c r="V186" s="47"/>
      <c r="W186" s="4"/>
      <c r="X186" s="4"/>
      <c r="Y186" s="47"/>
      <c r="Z186" s="4"/>
      <c r="AA186" s="4"/>
    </row>
    <row r="187" spans="1:27" ht="24" customHeight="1" x14ac:dyDescent="0.3">
      <c r="A187" s="4"/>
      <c r="B187" s="4"/>
      <c r="C187" s="4"/>
      <c r="D187" s="4"/>
      <c r="E187" s="4"/>
      <c r="F187" s="4"/>
      <c r="G187" s="4"/>
      <c r="H187" s="4"/>
      <c r="I187" s="4"/>
      <c r="J187" s="4"/>
      <c r="K187" s="4"/>
      <c r="L187" s="4"/>
      <c r="M187" s="4"/>
      <c r="N187" s="4"/>
      <c r="O187" s="4"/>
      <c r="P187" s="4"/>
      <c r="Q187" s="4"/>
      <c r="R187" s="4"/>
      <c r="S187" s="47"/>
      <c r="T187" s="4"/>
      <c r="U187" s="4"/>
      <c r="V187" s="47"/>
      <c r="W187" s="4"/>
      <c r="X187" s="4"/>
      <c r="Y187" s="47"/>
      <c r="Z187" s="4"/>
      <c r="AA187" s="4"/>
    </row>
    <row r="188" spans="1:27" ht="24" customHeight="1" x14ac:dyDescent="0.3">
      <c r="A188" s="4"/>
      <c r="B188" s="4"/>
      <c r="C188" s="4"/>
      <c r="D188" s="4"/>
      <c r="E188" s="4"/>
      <c r="F188" s="4"/>
      <c r="G188" s="4"/>
      <c r="H188" s="4"/>
      <c r="I188" s="4"/>
      <c r="J188" s="4"/>
      <c r="K188" s="4"/>
      <c r="L188" s="4"/>
      <c r="M188" s="4"/>
      <c r="N188" s="4"/>
      <c r="O188" s="4"/>
      <c r="P188" s="4"/>
      <c r="Q188" s="4"/>
      <c r="R188" s="4"/>
      <c r="S188" s="47"/>
      <c r="T188" s="4"/>
      <c r="U188" s="4"/>
      <c r="V188" s="47"/>
      <c r="W188" s="4"/>
      <c r="X188" s="4"/>
      <c r="Y188" s="47"/>
      <c r="Z188" s="4"/>
      <c r="AA188" s="4"/>
    </row>
    <row r="189" spans="1:27" ht="24" customHeight="1" x14ac:dyDescent="0.3">
      <c r="A189" s="4"/>
      <c r="B189" s="4"/>
      <c r="C189" s="4"/>
      <c r="D189" s="4"/>
      <c r="E189" s="4"/>
      <c r="F189" s="4"/>
      <c r="G189" s="4"/>
      <c r="H189" s="4"/>
      <c r="I189" s="4"/>
      <c r="J189" s="4"/>
      <c r="K189" s="4"/>
      <c r="L189" s="4"/>
      <c r="M189" s="4"/>
      <c r="N189" s="4"/>
      <c r="O189" s="4"/>
      <c r="P189" s="4"/>
      <c r="Q189" s="4"/>
      <c r="R189" s="4"/>
      <c r="S189" s="47"/>
      <c r="T189" s="4"/>
      <c r="U189" s="4"/>
      <c r="V189" s="47"/>
      <c r="W189" s="4"/>
      <c r="X189" s="4"/>
      <c r="Y189" s="47"/>
      <c r="Z189" s="4"/>
      <c r="AA189" s="4"/>
    </row>
    <row r="190" spans="1:27" ht="24" customHeight="1" x14ac:dyDescent="0.3">
      <c r="A190" s="4"/>
      <c r="B190" s="4"/>
      <c r="C190" s="4"/>
      <c r="D190" s="4"/>
      <c r="E190" s="4"/>
      <c r="F190" s="4"/>
      <c r="G190" s="4"/>
      <c r="H190" s="4"/>
      <c r="I190" s="4"/>
      <c r="J190" s="4"/>
      <c r="K190" s="4"/>
      <c r="L190" s="4"/>
      <c r="M190" s="4"/>
      <c r="N190" s="4"/>
      <c r="O190" s="4"/>
      <c r="P190" s="4"/>
      <c r="Q190" s="4"/>
      <c r="R190" s="4"/>
      <c r="S190" s="47"/>
      <c r="T190" s="4"/>
      <c r="U190" s="4"/>
      <c r="V190" s="47"/>
      <c r="W190" s="4"/>
      <c r="X190" s="4"/>
      <c r="Y190" s="47"/>
      <c r="Z190" s="4"/>
      <c r="AA190" s="4"/>
    </row>
    <row r="191" spans="1:27" ht="24" customHeight="1" x14ac:dyDescent="0.3">
      <c r="A191" s="4"/>
      <c r="B191" s="4"/>
      <c r="C191" s="4"/>
      <c r="D191" s="4"/>
      <c r="E191" s="4"/>
      <c r="F191" s="4"/>
      <c r="G191" s="4"/>
      <c r="H191" s="4"/>
      <c r="I191" s="4"/>
      <c r="J191" s="4"/>
      <c r="K191" s="4"/>
      <c r="L191" s="4"/>
      <c r="M191" s="4"/>
      <c r="N191" s="4"/>
      <c r="O191" s="4"/>
      <c r="P191" s="4"/>
      <c r="Q191" s="4"/>
      <c r="R191" s="4"/>
      <c r="S191" s="47"/>
      <c r="T191" s="4"/>
      <c r="U191" s="4"/>
      <c r="V191" s="47"/>
      <c r="W191" s="4"/>
      <c r="X191" s="4"/>
      <c r="Y191" s="47"/>
      <c r="Z191" s="4"/>
      <c r="AA191" s="4"/>
    </row>
    <row r="192" spans="1:27" ht="24" customHeight="1" x14ac:dyDescent="0.3">
      <c r="A192" s="4"/>
      <c r="B192" s="4"/>
      <c r="C192" s="4"/>
      <c r="D192" s="4"/>
      <c r="E192" s="4"/>
      <c r="F192" s="4"/>
      <c r="G192" s="4"/>
      <c r="H192" s="4"/>
      <c r="I192" s="4"/>
      <c r="J192" s="4"/>
      <c r="K192" s="4"/>
      <c r="L192" s="4"/>
      <c r="M192" s="4"/>
      <c r="N192" s="4"/>
      <c r="O192" s="4"/>
      <c r="P192" s="4"/>
      <c r="Q192" s="4"/>
      <c r="R192" s="4"/>
      <c r="S192" s="47"/>
      <c r="T192" s="4"/>
      <c r="U192" s="4"/>
      <c r="V192" s="47"/>
      <c r="W192" s="4"/>
      <c r="X192" s="4"/>
      <c r="Y192" s="47"/>
      <c r="Z192" s="4"/>
      <c r="AA192" s="4"/>
    </row>
    <row r="193" spans="1:27" ht="24" customHeight="1" x14ac:dyDescent="0.3">
      <c r="A193" s="4"/>
      <c r="B193" s="4"/>
      <c r="C193" s="4"/>
      <c r="D193" s="4"/>
      <c r="E193" s="4"/>
      <c r="F193" s="4"/>
      <c r="G193" s="4"/>
      <c r="H193" s="4"/>
      <c r="I193" s="4"/>
      <c r="J193" s="4"/>
      <c r="K193" s="4"/>
      <c r="L193" s="4"/>
      <c r="M193" s="4"/>
      <c r="N193" s="4"/>
      <c r="O193" s="4"/>
      <c r="P193" s="4"/>
      <c r="Q193" s="4"/>
      <c r="R193" s="4"/>
      <c r="S193" s="47"/>
      <c r="T193" s="4"/>
      <c r="U193" s="4"/>
      <c r="V193" s="47"/>
      <c r="W193" s="4"/>
      <c r="X193" s="4"/>
      <c r="Y193" s="47"/>
      <c r="Z193" s="4"/>
      <c r="AA193" s="4"/>
    </row>
    <row r="194" spans="1:27" ht="24" customHeight="1" x14ac:dyDescent="0.3">
      <c r="A194" s="4"/>
      <c r="B194" s="4"/>
      <c r="C194" s="4"/>
      <c r="D194" s="4"/>
      <c r="E194" s="4"/>
      <c r="F194" s="4"/>
      <c r="G194" s="4"/>
      <c r="H194" s="4"/>
      <c r="I194" s="4"/>
      <c r="J194" s="4"/>
      <c r="K194" s="4"/>
      <c r="L194" s="4"/>
      <c r="M194" s="4"/>
      <c r="N194" s="4"/>
      <c r="O194" s="4"/>
      <c r="P194" s="4"/>
      <c r="Q194" s="4"/>
      <c r="R194" s="4"/>
      <c r="S194" s="47"/>
      <c r="T194" s="4"/>
      <c r="U194" s="4"/>
      <c r="V194" s="47"/>
      <c r="W194" s="4"/>
      <c r="X194" s="4"/>
      <c r="Y194" s="47"/>
      <c r="Z194" s="4"/>
      <c r="AA194" s="4"/>
    </row>
    <row r="195" spans="1:27" ht="24" customHeight="1" x14ac:dyDescent="0.3">
      <c r="A195" s="4"/>
      <c r="B195" s="4"/>
      <c r="C195" s="4"/>
      <c r="D195" s="4"/>
      <c r="E195" s="4"/>
      <c r="F195" s="4"/>
      <c r="G195" s="4"/>
      <c r="H195" s="4"/>
      <c r="I195" s="4"/>
      <c r="J195" s="4"/>
      <c r="K195" s="4"/>
      <c r="L195" s="4"/>
      <c r="M195" s="4"/>
      <c r="N195" s="4"/>
      <c r="O195" s="4"/>
      <c r="P195" s="4"/>
      <c r="Q195" s="4"/>
      <c r="R195" s="4"/>
      <c r="S195" s="47"/>
      <c r="T195" s="4"/>
      <c r="U195" s="4"/>
      <c r="V195" s="47"/>
      <c r="W195" s="4"/>
      <c r="X195" s="4"/>
      <c r="Y195" s="47"/>
      <c r="Z195" s="4"/>
      <c r="AA195" s="4"/>
    </row>
    <row r="196" spans="1:27" ht="24" customHeight="1" x14ac:dyDescent="0.3">
      <c r="A196" s="4"/>
      <c r="B196" s="4"/>
      <c r="C196" s="4"/>
      <c r="D196" s="4"/>
      <c r="E196" s="4"/>
      <c r="F196" s="4"/>
      <c r="G196" s="4"/>
      <c r="H196" s="4"/>
      <c r="I196" s="4"/>
      <c r="J196" s="4"/>
      <c r="K196" s="4"/>
      <c r="L196" s="4"/>
      <c r="M196" s="4"/>
      <c r="N196" s="4"/>
      <c r="O196" s="4"/>
      <c r="P196" s="4"/>
      <c r="Q196" s="4"/>
      <c r="R196" s="4"/>
      <c r="S196" s="47"/>
      <c r="T196" s="4"/>
      <c r="U196" s="4"/>
      <c r="V196" s="47"/>
      <c r="W196" s="4"/>
      <c r="X196" s="4"/>
      <c r="Y196" s="47"/>
      <c r="Z196" s="4"/>
      <c r="AA196" s="4"/>
    </row>
    <row r="197" spans="1:27" ht="24" customHeight="1" x14ac:dyDescent="0.3">
      <c r="A197" s="4"/>
      <c r="B197" s="4"/>
      <c r="C197" s="4"/>
      <c r="D197" s="4"/>
      <c r="E197" s="4"/>
      <c r="F197" s="4"/>
      <c r="G197" s="4"/>
      <c r="H197" s="4"/>
      <c r="I197" s="4"/>
      <c r="J197" s="4"/>
      <c r="K197" s="4"/>
      <c r="L197" s="4"/>
      <c r="M197" s="4"/>
      <c r="N197" s="4"/>
      <c r="O197" s="4"/>
      <c r="P197" s="4"/>
      <c r="Q197" s="4"/>
      <c r="R197" s="4"/>
      <c r="S197" s="47"/>
      <c r="T197" s="4"/>
      <c r="U197" s="4"/>
      <c r="V197" s="47"/>
      <c r="W197" s="4"/>
      <c r="X197" s="4"/>
      <c r="Y197" s="47"/>
      <c r="Z197" s="4"/>
      <c r="AA197" s="4"/>
    </row>
    <row r="198" spans="1:27" ht="24" customHeight="1" x14ac:dyDescent="0.3">
      <c r="A198" s="4"/>
      <c r="B198" s="4"/>
      <c r="C198" s="4"/>
      <c r="D198" s="4"/>
      <c r="E198" s="4"/>
      <c r="F198" s="4"/>
      <c r="G198" s="4"/>
      <c r="H198" s="4"/>
      <c r="I198" s="4"/>
      <c r="J198" s="4"/>
      <c r="K198" s="4"/>
      <c r="L198" s="4"/>
      <c r="M198" s="4"/>
      <c r="N198" s="4"/>
      <c r="O198" s="4"/>
      <c r="P198" s="4"/>
      <c r="Q198" s="4"/>
      <c r="R198" s="4"/>
      <c r="S198" s="47"/>
      <c r="T198" s="4"/>
      <c r="U198" s="4"/>
      <c r="V198" s="47"/>
      <c r="W198" s="4"/>
      <c r="X198" s="4"/>
      <c r="Y198" s="47"/>
      <c r="Z198" s="4"/>
      <c r="AA198" s="4"/>
    </row>
    <row r="199" spans="1:27" ht="24" customHeight="1" x14ac:dyDescent="0.3">
      <c r="A199" s="4"/>
      <c r="B199" s="4"/>
      <c r="C199" s="4"/>
      <c r="D199" s="4"/>
      <c r="E199" s="4"/>
      <c r="F199" s="4"/>
      <c r="G199" s="4"/>
      <c r="H199" s="4"/>
      <c r="I199" s="4"/>
      <c r="J199" s="4"/>
      <c r="K199" s="4"/>
      <c r="L199" s="4"/>
      <c r="M199" s="4"/>
      <c r="N199" s="4"/>
      <c r="O199" s="4"/>
      <c r="P199" s="4"/>
      <c r="Q199" s="4"/>
      <c r="R199" s="4"/>
      <c r="S199" s="47"/>
      <c r="T199" s="4"/>
      <c r="U199" s="4"/>
      <c r="V199" s="47"/>
      <c r="W199" s="4"/>
      <c r="X199" s="4"/>
      <c r="Y199" s="47"/>
      <c r="Z199" s="4"/>
      <c r="AA199" s="4"/>
    </row>
    <row r="200" spans="1:27" ht="24" customHeight="1" x14ac:dyDescent="0.3">
      <c r="A200" s="4"/>
      <c r="B200" s="4"/>
      <c r="C200" s="4"/>
      <c r="D200" s="4"/>
      <c r="E200" s="4"/>
      <c r="F200" s="4"/>
      <c r="G200" s="4"/>
      <c r="H200" s="4"/>
      <c r="I200" s="4"/>
      <c r="J200" s="4"/>
      <c r="K200" s="4"/>
      <c r="L200" s="4"/>
      <c r="M200" s="4"/>
      <c r="N200" s="4"/>
      <c r="O200" s="4"/>
      <c r="P200" s="4"/>
      <c r="Q200" s="4"/>
      <c r="R200" s="4"/>
      <c r="S200" s="47"/>
      <c r="T200" s="4"/>
      <c r="U200" s="4"/>
      <c r="V200" s="47"/>
      <c r="W200" s="4"/>
      <c r="X200" s="4"/>
      <c r="Y200" s="47"/>
      <c r="Z200" s="4"/>
      <c r="AA200" s="4"/>
    </row>
    <row r="201" spans="1:27" ht="24" customHeight="1" x14ac:dyDescent="0.3">
      <c r="A201" s="4"/>
      <c r="B201" s="4"/>
      <c r="C201" s="4"/>
      <c r="D201" s="4"/>
      <c r="E201" s="4"/>
      <c r="F201" s="4"/>
      <c r="G201" s="4"/>
      <c r="H201" s="4"/>
      <c r="I201" s="4"/>
      <c r="J201" s="4"/>
      <c r="K201" s="4"/>
      <c r="L201" s="4"/>
      <c r="M201" s="4"/>
      <c r="N201" s="4"/>
      <c r="O201" s="4"/>
      <c r="P201" s="4"/>
      <c r="Q201" s="4"/>
      <c r="R201" s="4"/>
      <c r="S201" s="47"/>
      <c r="T201" s="4"/>
      <c r="U201" s="4"/>
      <c r="V201" s="47"/>
      <c r="W201" s="4"/>
      <c r="X201" s="4"/>
      <c r="Y201" s="47"/>
      <c r="Z201" s="4"/>
      <c r="AA201" s="4"/>
    </row>
    <row r="202" spans="1:27" ht="24" customHeight="1" x14ac:dyDescent="0.3">
      <c r="A202" s="4"/>
      <c r="B202" s="4"/>
      <c r="C202" s="4"/>
      <c r="D202" s="4"/>
      <c r="E202" s="4"/>
      <c r="F202" s="4"/>
      <c r="G202" s="4"/>
      <c r="H202" s="4"/>
      <c r="I202" s="4"/>
      <c r="J202" s="4"/>
      <c r="K202" s="4"/>
      <c r="L202" s="4"/>
      <c r="M202" s="4"/>
      <c r="N202" s="4"/>
      <c r="O202" s="4"/>
      <c r="P202" s="4"/>
      <c r="Q202" s="4"/>
      <c r="R202" s="4"/>
      <c r="S202" s="47"/>
      <c r="T202" s="4"/>
      <c r="U202" s="4"/>
      <c r="V202" s="47"/>
      <c r="W202" s="4"/>
      <c r="X202" s="4"/>
      <c r="Y202" s="47"/>
      <c r="Z202" s="4"/>
      <c r="AA202" s="4"/>
    </row>
    <row r="203" spans="1:27" ht="24" customHeight="1" x14ac:dyDescent="0.3">
      <c r="A203" s="4"/>
      <c r="B203" s="4"/>
      <c r="C203" s="4"/>
      <c r="D203" s="4"/>
      <c r="E203" s="4"/>
      <c r="F203" s="4"/>
      <c r="G203" s="4"/>
      <c r="H203" s="4"/>
      <c r="I203" s="4"/>
      <c r="J203" s="4"/>
      <c r="K203" s="4"/>
      <c r="L203" s="4"/>
      <c r="M203" s="4"/>
      <c r="N203" s="4"/>
      <c r="O203" s="4"/>
      <c r="P203" s="4"/>
      <c r="Q203" s="4"/>
      <c r="R203" s="4"/>
      <c r="S203" s="47"/>
      <c r="T203" s="4"/>
      <c r="U203" s="4"/>
      <c r="V203" s="47"/>
      <c r="W203" s="4"/>
      <c r="X203" s="4"/>
      <c r="Y203" s="47"/>
      <c r="Z203" s="4"/>
      <c r="AA203" s="4"/>
    </row>
    <row r="204" spans="1:27" ht="24" customHeight="1" x14ac:dyDescent="0.3">
      <c r="A204" s="4"/>
      <c r="B204" s="4"/>
      <c r="C204" s="4"/>
      <c r="D204" s="4"/>
      <c r="E204" s="4"/>
      <c r="F204" s="4"/>
      <c r="G204" s="4"/>
      <c r="H204" s="4"/>
      <c r="I204" s="4"/>
      <c r="J204" s="4"/>
      <c r="K204" s="4"/>
      <c r="L204" s="4"/>
      <c r="M204" s="4"/>
      <c r="N204" s="4"/>
      <c r="O204" s="4"/>
      <c r="P204" s="4"/>
      <c r="Q204" s="4"/>
      <c r="R204" s="4"/>
      <c r="S204" s="47"/>
      <c r="T204" s="4"/>
      <c r="U204" s="4"/>
      <c r="V204" s="47"/>
      <c r="W204" s="4"/>
      <c r="X204" s="4"/>
      <c r="Y204" s="47"/>
      <c r="Z204" s="4"/>
      <c r="AA204" s="4"/>
    </row>
    <row r="205" spans="1:27" ht="24" customHeight="1" x14ac:dyDescent="0.3">
      <c r="A205" s="4"/>
      <c r="B205" s="4"/>
      <c r="C205" s="4"/>
      <c r="D205" s="4"/>
      <c r="E205" s="4"/>
      <c r="F205" s="4"/>
      <c r="G205" s="4"/>
      <c r="H205" s="4"/>
      <c r="I205" s="4"/>
      <c r="J205" s="4"/>
      <c r="K205" s="4"/>
      <c r="L205" s="4"/>
      <c r="M205" s="4"/>
      <c r="N205" s="4"/>
      <c r="O205" s="4"/>
      <c r="P205" s="4"/>
      <c r="Q205" s="4"/>
      <c r="R205" s="4"/>
      <c r="S205" s="47"/>
      <c r="T205" s="4"/>
      <c r="U205" s="4"/>
      <c r="V205" s="47"/>
      <c r="W205" s="4"/>
      <c r="X205" s="4"/>
      <c r="Y205" s="47"/>
      <c r="Z205" s="4"/>
      <c r="AA205" s="4"/>
    </row>
    <row r="206" spans="1:27" ht="24" customHeight="1" x14ac:dyDescent="0.3">
      <c r="A206" s="4"/>
      <c r="B206" s="4"/>
      <c r="C206" s="4"/>
      <c r="D206" s="4"/>
      <c r="E206" s="4"/>
      <c r="F206" s="4"/>
      <c r="G206" s="4"/>
      <c r="H206" s="4"/>
      <c r="I206" s="4"/>
      <c r="J206" s="4"/>
      <c r="K206" s="4"/>
      <c r="L206" s="4"/>
      <c r="M206" s="4"/>
      <c r="N206" s="4"/>
      <c r="O206" s="4"/>
      <c r="P206" s="4"/>
      <c r="Q206" s="4"/>
      <c r="R206" s="4"/>
      <c r="S206" s="47"/>
      <c r="T206" s="4"/>
      <c r="U206" s="4"/>
      <c r="V206" s="47"/>
      <c r="W206" s="4"/>
      <c r="X206" s="4"/>
      <c r="Y206" s="47"/>
      <c r="Z206" s="4"/>
      <c r="AA206" s="4"/>
    </row>
    <row r="207" spans="1:27" ht="24" customHeight="1" x14ac:dyDescent="0.3">
      <c r="A207" s="4"/>
      <c r="B207" s="4"/>
      <c r="C207" s="4"/>
      <c r="D207" s="4"/>
      <c r="E207" s="4"/>
      <c r="F207" s="4"/>
      <c r="G207" s="4"/>
      <c r="H207" s="4"/>
      <c r="I207" s="4"/>
      <c r="J207" s="4"/>
      <c r="K207" s="4"/>
      <c r="L207" s="4"/>
      <c r="M207" s="4"/>
      <c r="N207" s="4"/>
      <c r="O207" s="4"/>
      <c r="P207" s="4"/>
      <c r="Q207" s="4"/>
      <c r="R207" s="4"/>
      <c r="S207" s="47"/>
      <c r="T207" s="4"/>
      <c r="U207" s="4"/>
      <c r="V207" s="47"/>
      <c r="W207" s="4"/>
      <c r="X207" s="4"/>
      <c r="Y207" s="47"/>
      <c r="Z207" s="4"/>
      <c r="AA207" s="4"/>
    </row>
    <row r="208" spans="1:27" ht="24" customHeight="1" x14ac:dyDescent="0.3">
      <c r="A208" s="4"/>
      <c r="B208" s="4"/>
      <c r="C208" s="4"/>
      <c r="D208" s="4"/>
      <c r="E208" s="4"/>
      <c r="F208" s="4"/>
      <c r="G208" s="4"/>
      <c r="H208" s="4"/>
      <c r="I208" s="4"/>
      <c r="J208" s="4"/>
      <c r="K208" s="4"/>
      <c r="L208" s="4"/>
      <c r="M208" s="4"/>
      <c r="N208" s="4"/>
      <c r="O208" s="4"/>
      <c r="P208" s="4"/>
      <c r="Q208" s="4"/>
      <c r="R208" s="4"/>
      <c r="S208" s="47"/>
      <c r="T208" s="4"/>
      <c r="U208" s="4"/>
      <c r="V208" s="47"/>
      <c r="W208" s="4"/>
      <c r="X208" s="4"/>
      <c r="Y208" s="47"/>
      <c r="Z208" s="4"/>
      <c r="AA208" s="4"/>
    </row>
    <row r="209" spans="1:27" ht="24" customHeight="1" x14ac:dyDescent="0.3">
      <c r="A209" s="4"/>
      <c r="B209" s="4"/>
      <c r="C209" s="4"/>
      <c r="D209" s="4"/>
      <c r="E209" s="4"/>
      <c r="F209" s="4"/>
      <c r="G209" s="4"/>
      <c r="H209" s="4"/>
      <c r="I209" s="4"/>
      <c r="J209" s="4"/>
      <c r="K209" s="4"/>
      <c r="L209" s="4"/>
      <c r="M209" s="4"/>
      <c r="N209" s="4"/>
      <c r="O209" s="4"/>
      <c r="P209" s="4"/>
      <c r="Q209" s="4"/>
      <c r="R209" s="4"/>
      <c r="S209" s="47"/>
      <c r="T209" s="4"/>
      <c r="U209" s="4"/>
      <c r="V209" s="47"/>
      <c r="W209" s="4"/>
      <c r="X209" s="4"/>
      <c r="Y209" s="47"/>
      <c r="Z209" s="4"/>
      <c r="AA209" s="4"/>
    </row>
    <row r="210" spans="1:27" ht="24" customHeight="1" x14ac:dyDescent="0.3">
      <c r="A210" s="4"/>
      <c r="B210" s="4"/>
      <c r="C210" s="4"/>
      <c r="D210" s="4"/>
      <c r="E210" s="4"/>
      <c r="F210" s="4"/>
      <c r="G210" s="4"/>
      <c r="H210" s="4"/>
      <c r="I210" s="4"/>
      <c r="J210" s="4"/>
      <c r="K210" s="4"/>
      <c r="L210" s="4"/>
      <c r="M210" s="4"/>
      <c r="N210" s="4"/>
      <c r="O210" s="4"/>
      <c r="P210" s="4"/>
      <c r="Q210" s="4"/>
      <c r="R210" s="4"/>
      <c r="S210" s="47"/>
      <c r="T210" s="4"/>
      <c r="U210" s="4"/>
      <c r="V210" s="47"/>
      <c r="W210" s="4"/>
      <c r="X210" s="4"/>
      <c r="Y210" s="47"/>
      <c r="Z210" s="4"/>
      <c r="AA210" s="4"/>
    </row>
    <row r="211" spans="1:27" ht="24" customHeight="1" x14ac:dyDescent="0.3">
      <c r="A211" s="4"/>
      <c r="B211" s="4"/>
      <c r="C211" s="4"/>
      <c r="D211" s="4"/>
      <c r="E211" s="4"/>
      <c r="F211" s="4"/>
      <c r="G211" s="4"/>
      <c r="H211" s="4"/>
      <c r="I211" s="4"/>
      <c r="J211" s="4"/>
      <c r="K211" s="4"/>
      <c r="L211" s="4"/>
      <c r="M211" s="4"/>
      <c r="N211" s="4"/>
      <c r="O211" s="4"/>
      <c r="P211" s="4"/>
      <c r="Q211" s="4"/>
      <c r="R211" s="4"/>
      <c r="S211" s="47"/>
      <c r="T211" s="4"/>
      <c r="U211" s="4"/>
      <c r="V211" s="47"/>
      <c r="W211" s="4"/>
      <c r="X211" s="4"/>
      <c r="Y211" s="47"/>
      <c r="Z211" s="4"/>
      <c r="AA211" s="4"/>
    </row>
    <row r="212" spans="1:27" ht="24" customHeight="1" x14ac:dyDescent="0.3">
      <c r="A212" s="4"/>
      <c r="B212" s="4"/>
      <c r="C212" s="4"/>
      <c r="D212" s="4"/>
      <c r="E212" s="4"/>
      <c r="F212" s="4"/>
      <c r="G212" s="4"/>
      <c r="H212" s="4"/>
      <c r="I212" s="4"/>
      <c r="J212" s="4"/>
      <c r="K212" s="4"/>
      <c r="L212" s="4"/>
      <c r="M212" s="4"/>
      <c r="N212" s="4"/>
      <c r="O212" s="4"/>
      <c r="P212" s="4"/>
      <c r="Q212" s="4"/>
      <c r="R212" s="4"/>
      <c r="S212" s="47"/>
      <c r="T212" s="4"/>
      <c r="U212" s="4"/>
      <c r="V212" s="47"/>
      <c r="W212" s="4"/>
      <c r="X212" s="4"/>
      <c r="Y212" s="47"/>
      <c r="Z212" s="4"/>
      <c r="AA212" s="4"/>
    </row>
    <row r="213" spans="1:27" ht="24" customHeight="1" x14ac:dyDescent="0.3">
      <c r="A213" s="4"/>
      <c r="B213" s="4"/>
      <c r="C213" s="4"/>
      <c r="D213" s="4"/>
      <c r="E213" s="4"/>
      <c r="F213" s="4"/>
      <c r="G213" s="4"/>
      <c r="H213" s="4"/>
      <c r="I213" s="4"/>
      <c r="J213" s="4"/>
      <c r="K213" s="4"/>
      <c r="L213" s="4"/>
      <c r="M213" s="4"/>
      <c r="N213" s="4"/>
      <c r="O213" s="4"/>
      <c r="P213" s="4"/>
      <c r="Q213" s="4"/>
      <c r="R213" s="4"/>
      <c r="S213" s="47"/>
      <c r="T213" s="4"/>
      <c r="U213" s="4"/>
      <c r="V213" s="47"/>
      <c r="W213" s="4"/>
      <c r="X213" s="4"/>
      <c r="Y213" s="47"/>
      <c r="Z213" s="4"/>
      <c r="AA213" s="4"/>
    </row>
    <row r="214" spans="1:27" ht="24" customHeight="1" x14ac:dyDescent="0.3">
      <c r="A214" s="4"/>
      <c r="B214" s="4"/>
      <c r="C214" s="4"/>
      <c r="D214" s="4"/>
      <c r="E214" s="4"/>
      <c r="F214" s="4"/>
      <c r="G214" s="4"/>
      <c r="H214" s="4"/>
      <c r="I214" s="4"/>
      <c r="J214" s="4"/>
      <c r="K214" s="4"/>
      <c r="L214" s="4"/>
      <c r="M214" s="4"/>
      <c r="N214" s="4"/>
      <c r="O214" s="4"/>
      <c r="P214" s="4"/>
      <c r="Q214" s="4"/>
      <c r="R214" s="4"/>
      <c r="S214" s="47"/>
      <c r="T214" s="4"/>
      <c r="U214" s="4"/>
      <c r="V214" s="47"/>
      <c r="W214" s="4"/>
      <c r="X214" s="4"/>
      <c r="Y214" s="47"/>
      <c r="Z214" s="4"/>
      <c r="AA214" s="4"/>
    </row>
    <row r="215" spans="1:27" ht="24" customHeight="1" x14ac:dyDescent="0.3">
      <c r="A215" s="4"/>
      <c r="B215" s="4"/>
      <c r="C215" s="4"/>
      <c r="D215" s="4"/>
      <c r="E215" s="4"/>
      <c r="F215" s="4"/>
      <c r="G215" s="4"/>
      <c r="H215" s="4"/>
      <c r="I215" s="4"/>
      <c r="J215" s="4"/>
      <c r="K215" s="4"/>
      <c r="L215" s="4"/>
      <c r="M215" s="4"/>
      <c r="N215" s="4"/>
      <c r="O215" s="4"/>
      <c r="P215" s="4"/>
      <c r="Q215" s="4"/>
      <c r="R215" s="4"/>
      <c r="S215" s="47"/>
      <c r="T215" s="4"/>
      <c r="U215" s="4"/>
      <c r="V215" s="47"/>
      <c r="W215" s="4"/>
      <c r="X215" s="4"/>
      <c r="Y215" s="47"/>
      <c r="Z215" s="4"/>
      <c r="AA215" s="4"/>
    </row>
    <row r="216" spans="1:27" ht="24" customHeight="1" x14ac:dyDescent="0.3">
      <c r="A216" s="4"/>
      <c r="B216" s="4"/>
      <c r="C216" s="4"/>
      <c r="D216" s="4"/>
      <c r="E216" s="4"/>
      <c r="F216" s="4"/>
      <c r="G216" s="4"/>
      <c r="H216" s="4"/>
      <c r="I216" s="4"/>
      <c r="J216" s="4"/>
      <c r="K216" s="4"/>
      <c r="L216" s="4"/>
      <c r="M216" s="4"/>
      <c r="N216" s="4"/>
      <c r="O216" s="4"/>
      <c r="P216" s="4"/>
      <c r="Q216" s="4"/>
      <c r="R216" s="4"/>
      <c r="S216" s="47"/>
      <c r="T216" s="4"/>
      <c r="U216" s="4"/>
      <c r="V216" s="47"/>
      <c r="W216" s="4"/>
      <c r="X216" s="4"/>
      <c r="Y216" s="47"/>
      <c r="Z216" s="4"/>
      <c r="AA216" s="4"/>
    </row>
    <row r="217" spans="1:27" ht="24" customHeight="1" x14ac:dyDescent="0.3">
      <c r="A217" s="4"/>
      <c r="B217" s="4"/>
      <c r="C217" s="4"/>
      <c r="D217" s="4"/>
      <c r="E217" s="4"/>
      <c r="F217" s="4"/>
      <c r="G217" s="4"/>
      <c r="H217" s="4"/>
      <c r="I217" s="4"/>
      <c r="J217" s="4"/>
      <c r="K217" s="4"/>
      <c r="L217" s="4"/>
      <c r="M217" s="4"/>
      <c r="N217" s="4"/>
      <c r="O217" s="4"/>
      <c r="P217" s="4"/>
      <c r="Q217" s="4"/>
      <c r="R217" s="4"/>
      <c r="S217" s="47"/>
      <c r="T217" s="4"/>
      <c r="U217" s="4"/>
      <c r="V217" s="47"/>
      <c r="W217" s="4"/>
      <c r="X217" s="4"/>
      <c r="Y217" s="47"/>
      <c r="Z217" s="4"/>
      <c r="AA217" s="4"/>
    </row>
    <row r="218" spans="1:27" ht="24" customHeight="1" x14ac:dyDescent="0.3">
      <c r="A218" s="4"/>
      <c r="B218" s="4"/>
      <c r="C218" s="4"/>
      <c r="D218" s="4"/>
      <c r="E218" s="4"/>
      <c r="F218" s="4"/>
      <c r="G218" s="4"/>
      <c r="H218" s="4"/>
      <c r="I218" s="4"/>
      <c r="J218" s="4"/>
      <c r="K218" s="4"/>
      <c r="L218" s="4"/>
      <c r="M218" s="4"/>
      <c r="N218" s="4"/>
      <c r="O218" s="4"/>
      <c r="P218" s="4"/>
      <c r="Q218" s="4"/>
      <c r="R218" s="4"/>
      <c r="S218" s="47"/>
      <c r="T218" s="4"/>
      <c r="U218" s="4"/>
      <c r="V218" s="47"/>
      <c r="W218" s="4"/>
      <c r="X218" s="4"/>
      <c r="Y218" s="47"/>
      <c r="Z218" s="4"/>
      <c r="AA218" s="4"/>
    </row>
    <row r="219" spans="1:27" ht="24" customHeight="1" x14ac:dyDescent="0.3">
      <c r="A219" s="4"/>
      <c r="B219" s="4"/>
      <c r="C219" s="4"/>
      <c r="D219" s="4"/>
      <c r="E219" s="4"/>
      <c r="F219" s="4"/>
      <c r="G219" s="4"/>
      <c r="H219" s="4"/>
      <c r="I219" s="4"/>
      <c r="J219" s="4"/>
      <c r="K219" s="4"/>
      <c r="L219" s="4"/>
      <c r="M219" s="4"/>
      <c r="N219" s="4"/>
      <c r="O219" s="4"/>
      <c r="P219" s="4"/>
      <c r="Q219" s="4"/>
      <c r="R219" s="4"/>
      <c r="S219" s="47"/>
      <c r="T219" s="4"/>
      <c r="U219" s="4"/>
      <c r="V219" s="47"/>
      <c r="W219" s="4"/>
      <c r="X219" s="4"/>
      <c r="Y219" s="47"/>
      <c r="Z219" s="4"/>
      <c r="AA219" s="4"/>
    </row>
    <row r="220" spans="1:27" ht="24" customHeight="1" x14ac:dyDescent="0.3">
      <c r="A220" s="4"/>
      <c r="B220" s="4"/>
      <c r="C220" s="4"/>
      <c r="D220" s="4"/>
      <c r="E220" s="4"/>
      <c r="F220" s="4"/>
      <c r="G220" s="4"/>
      <c r="H220" s="4"/>
      <c r="I220" s="4"/>
      <c r="J220" s="4"/>
      <c r="K220" s="4"/>
      <c r="L220" s="4"/>
      <c r="M220" s="4"/>
      <c r="N220" s="4"/>
      <c r="O220" s="4"/>
      <c r="P220" s="4"/>
      <c r="Q220" s="4"/>
      <c r="R220" s="4"/>
      <c r="S220" s="47"/>
      <c r="T220" s="4"/>
      <c r="U220" s="4"/>
      <c r="V220" s="47"/>
      <c r="W220" s="4"/>
      <c r="X220" s="4"/>
      <c r="Y220" s="47"/>
      <c r="Z220" s="4"/>
      <c r="AA220" s="4"/>
    </row>
    <row r="221" spans="1:27" ht="24" customHeight="1" x14ac:dyDescent="0.3">
      <c r="A221" s="4"/>
      <c r="B221" s="4"/>
      <c r="C221" s="4"/>
      <c r="D221" s="4"/>
      <c r="E221" s="4"/>
      <c r="F221" s="4"/>
      <c r="G221" s="4"/>
      <c r="H221" s="4"/>
      <c r="I221" s="4"/>
      <c r="J221" s="4"/>
      <c r="K221" s="4"/>
      <c r="L221" s="4"/>
      <c r="M221" s="4"/>
      <c r="N221" s="4"/>
      <c r="O221" s="4"/>
      <c r="P221" s="4"/>
      <c r="Q221" s="4"/>
      <c r="R221" s="4"/>
      <c r="S221" s="47"/>
      <c r="T221" s="4"/>
      <c r="U221" s="4"/>
      <c r="V221" s="47"/>
      <c r="W221" s="4"/>
      <c r="X221" s="4"/>
      <c r="Y221" s="47"/>
      <c r="Z221" s="4"/>
      <c r="AA221" s="4"/>
    </row>
    <row r="222" spans="1:27" ht="24" customHeight="1" x14ac:dyDescent="0.3">
      <c r="A222" s="4"/>
      <c r="B222" s="4"/>
      <c r="C222" s="4"/>
      <c r="D222" s="4"/>
      <c r="E222" s="4"/>
      <c r="F222" s="4"/>
      <c r="G222" s="4"/>
      <c r="H222" s="4"/>
      <c r="I222" s="4"/>
      <c r="J222" s="4"/>
      <c r="K222" s="4"/>
      <c r="L222" s="4"/>
      <c r="M222" s="4"/>
      <c r="N222" s="4"/>
      <c r="O222" s="4"/>
      <c r="P222" s="4"/>
      <c r="Q222" s="4"/>
      <c r="R222" s="4"/>
      <c r="S222" s="47"/>
      <c r="T222" s="4"/>
      <c r="U222" s="4"/>
      <c r="V222" s="47"/>
      <c r="W222" s="4"/>
      <c r="X222" s="4"/>
      <c r="Y222" s="47"/>
      <c r="Z222" s="4"/>
      <c r="AA222" s="4"/>
    </row>
    <row r="223" spans="1:27" ht="24" customHeight="1" x14ac:dyDescent="0.3">
      <c r="A223" s="4"/>
      <c r="B223" s="4"/>
      <c r="C223" s="4"/>
      <c r="D223" s="4"/>
      <c r="E223" s="4"/>
      <c r="F223" s="4"/>
      <c r="G223" s="4"/>
      <c r="H223" s="4"/>
      <c r="I223" s="4"/>
      <c r="J223" s="4"/>
      <c r="K223" s="4"/>
      <c r="L223" s="4"/>
      <c r="M223" s="4"/>
      <c r="N223" s="4"/>
      <c r="O223" s="4"/>
      <c r="P223" s="4"/>
      <c r="Q223" s="4"/>
      <c r="R223" s="4"/>
      <c r="S223" s="47"/>
      <c r="T223" s="4"/>
      <c r="U223" s="4"/>
      <c r="V223" s="47"/>
      <c r="W223" s="4"/>
      <c r="X223" s="4"/>
      <c r="Y223" s="47"/>
      <c r="Z223" s="4"/>
      <c r="AA223" s="4"/>
    </row>
    <row r="224" spans="1:27" ht="24" customHeight="1" x14ac:dyDescent="0.3">
      <c r="A224" s="4"/>
      <c r="B224" s="4"/>
      <c r="C224" s="4"/>
      <c r="D224" s="4"/>
      <c r="E224" s="4"/>
      <c r="F224" s="4"/>
      <c r="G224" s="4"/>
      <c r="H224" s="4"/>
      <c r="I224" s="4"/>
      <c r="J224" s="4"/>
      <c r="K224" s="4"/>
      <c r="L224" s="4"/>
      <c r="M224" s="4"/>
      <c r="N224" s="4"/>
      <c r="O224" s="4"/>
      <c r="P224" s="4"/>
      <c r="Q224" s="4"/>
      <c r="R224" s="4"/>
      <c r="S224" s="47"/>
      <c r="T224" s="4"/>
      <c r="U224" s="4"/>
      <c r="V224" s="47"/>
      <c r="W224" s="4"/>
      <c r="X224" s="4"/>
      <c r="Y224" s="47"/>
      <c r="Z224" s="4"/>
      <c r="AA224" s="4"/>
    </row>
    <row r="225" spans="1:27" ht="24" customHeight="1" x14ac:dyDescent="0.3">
      <c r="A225" s="4"/>
      <c r="B225" s="4"/>
      <c r="C225" s="4"/>
      <c r="D225" s="4"/>
      <c r="E225" s="4"/>
      <c r="F225" s="4"/>
      <c r="G225" s="4"/>
      <c r="H225" s="4"/>
      <c r="I225" s="4"/>
      <c r="J225" s="4"/>
      <c r="K225" s="4"/>
      <c r="L225" s="4"/>
      <c r="M225" s="4"/>
      <c r="N225" s="4"/>
      <c r="O225" s="4"/>
      <c r="P225" s="4"/>
      <c r="Q225" s="4"/>
      <c r="R225" s="4"/>
      <c r="S225" s="47"/>
      <c r="T225" s="4"/>
      <c r="U225" s="4"/>
      <c r="V225" s="47"/>
      <c r="W225" s="4"/>
      <c r="X225" s="4"/>
      <c r="Y225" s="47"/>
      <c r="Z225" s="4"/>
      <c r="AA225" s="4"/>
    </row>
    <row r="226" spans="1:27" ht="24" customHeight="1" x14ac:dyDescent="0.3">
      <c r="A226" s="4"/>
      <c r="B226" s="4"/>
      <c r="C226" s="4"/>
      <c r="D226" s="4"/>
      <c r="E226" s="4"/>
      <c r="F226" s="4"/>
      <c r="G226" s="4"/>
      <c r="H226" s="4"/>
      <c r="I226" s="4"/>
      <c r="J226" s="4"/>
      <c r="K226" s="4"/>
      <c r="L226" s="4"/>
      <c r="M226" s="4"/>
      <c r="N226" s="4"/>
      <c r="O226" s="4"/>
      <c r="P226" s="4"/>
      <c r="Q226" s="4"/>
      <c r="R226" s="4"/>
      <c r="S226" s="47"/>
      <c r="T226" s="4"/>
      <c r="U226" s="4"/>
      <c r="V226" s="47"/>
      <c r="W226" s="4"/>
      <c r="X226" s="4"/>
      <c r="Y226" s="47"/>
      <c r="Z226" s="4"/>
      <c r="AA226" s="4"/>
    </row>
    <row r="227" spans="1:27" ht="24" customHeight="1" x14ac:dyDescent="0.3">
      <c r="A227" s="4"/>
      <c r="B227" s="4"/>
      <c r="C227" s="4"/>
      <c r="D227" s="4"/>
      <c r="E227" s="4"/>
      <c r="F227" s="4"/>
      <c r="G227" s="4"/>
      <c r="H227" s="4"/>
      <c r="I227" s="4"/>
      <c r="J227" s="4"/>
      <c r="K227" s="4"/>
      <c r="L227" s="4"/>
      <c r="M227" s="4"/>
      <c r="N227" s="4"/>
      <c r="O227" s="4"/>
      <c r="P227" s="4"/>
      <c r="Q227" s="4"/>
      <c r="R227" s="4"/>
      <c r="S227" s="47"/>
      <c r="T227" s="4"/>
      <c r="U227" s="4"/>
      <c r="V227" s="47"/>
      <c r="W227" s="4"/>
      <c r="X227" s="4"/>
      <c r="Y227" s="47"/>
      <c r="Z227" s="4"/>
      <c r="AA227" s="4"/>
    </row>
    <row r="228" spans="1:27" ht="24" customHeight="1" x14ac:dyDescent="0.3">
      <c r="A228" s="4"/>
      <c r="B228" s="4"/>
      <c r="C228" s="4"/>
      <c r="D228" s="4"/>
      <c r="E228" s="4"/>
      <c r="F228" s="4"/>
      <c r="G228" s="4"/>
      <c r="H228" s="4"/>
      <c r="I228" s="4"/>
      <c r="J228" s="4"/>
      <c r="K228" s="4"/>
      <c r="L228" s="4"/>
      <c r="M228" s="4"/>
      <c r="N228" s="4"/>
      <c r="O228" s="4"/>
      <c r="P228" s="4"/>
      <c r="Q228" s="4"/>
      <c r="R228" s="4"/>
      <c r="S228" s="47"/>
      <c r="T228" s="4"/>
      <c r="U228" s="4"/>
      <c r="V228" s="47"/>
      <c r="W228" s="4"/>
      <c r="X228" s="4"/>
      <c r="Y228" s="47"/>
      <c r="Z228" s="4"/>
      <c r="AA228" s="4"/>
    </row>
    <row r="229" spans="1:27" ht="24" customHeight="1" x14ac:dyDescent="0.3">
      <c r="A229" s="4"/>
      <c r="B229" s="4"/>
      <c r="C229" s="4"/>
      <c r="D229" s="4"/>
      <c r="E229" s="4"/>
      <c r="F229" s="4"/>
      <c r="G229" s="4"/>
      <c r="H229" s="4"/>
      <c r="I229" s="4"/>
      <c r="J229" s="4"/>
      <c r="K229" s="4"/>
      <c r="L229" s="4"/>
      <c r="M229" s="4"/>
      <c r="N229" s="4"/>
      <c r="O229" s="4"/>
      <c r="P229" s="4"/>
      <c r="Q229" s="4"/>
      <c r="R229" s="4"/>
      <c r="S229" s="47"/>
      <c r="T229" s="4"/>
      <c r="U229" s="4"/>
      <c r="V229" s="47"/>
      <c r="W229" s="4"/>
      <c r="X229" s="4"/>
      <c r="Y229" s="47"/>
      <c r="Z229" s="4"/>
      <c r="AA229" s="4"/>
    </row>
    <row r="230" spans="1:27" ht="24" customHeight="1" x14ac:dyDescent="0.3">
      <c r="A230" s="4"/>
      <c r="B230" s="4"/>
      <c r="C230" s="4"/>
      <c r="D230" s="4"/>
      <c r="E230" s="4"/>
      <c r="F230" s="4"/>
      <c r="G230" s="4"/>
      <c r="H230" s="4"/>
      <c r="I230" s="4"/>
      <c r="J230" s="4"/>
      <c r="K230" s="4"/>
      <c r="L230" s="4"/>
      <c r="M230" s="4"/>
      <c r="N230" s="4"/>
      <c r="O230" s="4"/>
      <c r="P230" s="4"/>
      <c r="Q230" s="4"/>
      <c r="R230" s="4"/>
      <c r="S230" s="47"/>
      <c r="T230" s="4"/>
      <c r="U230" s="4"/>
      <c r="V230" s="47"/>
      <c r="W230" s="4"/>
      <c r="X230" s="4"/>
      <c r="Y230" s="47"/>
      <c r="Z230" s="4"/>
      <c r="AA230" s="4"/>
    </row>
    <row r="231" spans="1:27" ht="24" customHeight="1" x14ac:dyDescent="0.3">
      <c r="A231" s="4"/>
      <c r="B231" s="4"/>
      <c r="C231" s="4"/>
      <c r="D231" s="4"/>
      <c r="E231" s="4"/>
      <c r="F231" s="4"/>
      <c r="G231" s="4"/>
      <c r="H231" s="4"/>
      <c r="I231" s="4"/>
      <c r="J231" s="4"/>
      <c r="K231" s="4"/>
      <c r="L231" s="4"/>
      <c r="M231" s="4"/>
      <c r="N231" s="4"/>
      <c r="O231" s="4"/>
      <c r="P231" s="4"/>
      <c r="Q231" s="4"/>
      <c r="R231" s="4"/>
      <c r="S231" s="47"/>
      <c r="T231" s="4"/>
      <c r="U231" s="4"/>
      <c r="V231" s="47"/>
      <c r="W231" s="4"/>
      <c r="X231" s="4"/>
      <c r="Y231" s="47"/>
      <c r="Z231" s="4"/>
      <c r="AA231" s="4"/>
    </row>
    <row r="232" spans="1:27" ht="24" customHeight="1" x14ac:dyDescent="0.3">
      <c r="A232" s="4"/>
      <c r="B232" s="4"/>
      <c r="C232" s="4"/>
      <c r="D232" s="4"/>
      <c r="E232" s="4"/>
      <c r="F232" s="4"/>
      <c r="G232" s="4"/>
      <c r="H232" s="4"/>
      <c r="I232" s="4"/>
      <c r="J232" s="4"/>
      <c r="K232" s="4"/>
      <c r="L232" s="4"/>
      <c r="M232" s="4"/>
      <c r="N232" s="4"/>
      <c r="O232" s="4"/>
      <c r="P232" s="4"/>
      <c r="Q232" s="4"/>
      <c r="R232" s="4"/>
      <c r="S232" s="47"/>
      <c r="T232" s="4"/>
      <c r="U232" s="4"/>
      <c r="V232" s="47"/>
      <c r="W232" s="4"/>
      <c r="X232" s="4"/>
      <c r="Y232" s="47"/>
      <c r="Z232" s="4"/>
      <c r="AA232" s="4"/>
    </row>
    <row r="233" spans="1:27" ht="24" customHeight="1" x14ac:dyDescent="0.3">
      <c r="A233" s="4"/>
      <c r="B233" s="4"/>
      <c r="C233" s="4"/>
      <c r="D233" s="4"/>
      <c r="E233" s="4"/>
      <c r="F233" s="4"/>
      <c r="G233" s="4"/>
      <c r="H233" s="4"/>
      <c r="I233" s="4"/>
      <c r="J233" s="4"/>
      <c r="K233" s="4"/>
      <c r="L233" s="4"/>
      <c r="M233" s="4"/>
      <c r="N233" s="4"/>
      <c r="O233" s="4"/>
      <c r="P233" s="4"/>
      <c r="Q233" s="4"/>
      <c r="R233" s="4"/>
      <c r="S233" s="47"/>
      <c r="T233" s="4"/>
      <c r="U233" s="4"/>
      <c r="V233" s="47"/>
      <c r="W233" s="4"/>
      <c r="X233" s="4"/>
      <c r="Y233" s="47"/>
      <c r="Z233" s="4"/>
      <c r="AA233" s="4"/>
    </row>
    <row r="234" spans="1:27" ht="24" customHeight="1" x14ac:dyDescent="0.3">
      <c r="A234" s="4"/>
      <c r="B234" s="4"/>
      <c r="C234" s="4"/>
      <c r="D234" s="4"/>
      <c r="E234" s="4"/>
      <c r="F234" s="4"/>
      <c r="G234" s="4"/>
      <c r="H234" s="4"/>
      <c r="I234" s="4"/>
      <c r="J234" s="4"/>
      <c r="K234" s="4"/>
      <c r="L234" s="4"/>
      <c r="M234" s="4"/>
      <c r="N234" s="4"/>
      <c r="O234" s="4"/>
      <c r="P234" s="4"/>
      <c r="Q234" s="4"/>
      <c r="R234" s="4"/>
      <c r="S234" s="47"/>
      <c r="T234" s="4"/>
      <c r="U234" s="4"/>
      <c r="V234" s="47"/>
      <c r="W234" s="4"/>
      <c r="X234" s="4"/>
      <c r="Y234" s="47"/>
      <c r="Z234" s="4"/>
      <c r="AA234" s="4"/>
    </row>
    <row r="235" spans="1:27" ht="24" customHeight="1" x14ac:dyDescent="0.3">
      <c r="A235" s="4"/>
      <c r="B235" s="4"/>
      <c r="C235" s="4"/>
      <c r="D235" s="4"/>
      <c r="E235" s="4"/>
      <c r="F235" s="4"/>
      <c r="G235" s="4"/>
      <c r="H235" s="4"/>
      <c r="I235" s="4"/>
      <c r="J235" s="4"/>
      <c r="K235" s="4"/>
      <c r="L235" s="4"/>
      <c r="M235" s="4"/>
      <c r="N235" s="4"/>
      <c r="O235" s="4"/>
      <c r="P235" s="4"/>
      <c r="Q235" s="4"/>
      <c r="R235" s="4"/>
      <c r="S235" s="47"/>
      <c r="T235" s="4"/>
      <c r="U235" s="4"/>
      <c r="V235" s="47"/>
      <c r="W235" s="4"/>
      <c r="X235" s="4"/>
      <c r="Y235" s="47"/>
      <c r="Z235" s="4"/>
      <c r="AA235" s="4"/>
    </row>
    <row r="236" spans="1:27" ht="24" customHeight="1" x14ac:dyDescent="0.3">
      <c r="A236" s="4"/>
      <c r="B236" s="4"/>
      <c r="C236" s="4"/>
      <c r="D236" s="4"/>
      <c r="E236" s="4"/>
      <c r="F236" s="4"/>
      <c r="G236" s="4"/>
      <c r="H236" s="4"/>
      <c r="I236" s="4"/>
      <c r="J236" s="4"/>
      <c r="K236" s="4"/>
      <c r="L236" s="4"/>
      <c r="M236" s="4"/>
      <c r="N236" s="4"/>
      <c r="O236" s="4"/>
      <c r="P236" s="4"/>
      <c r="Q236" s="4"/>
      <c r="R236" s="4"/>
      <c r="S236" s="47"/>
      <c r="T236" s="4"/>
      <c r="U236" s="4"/>
      <c r="V236" s="47"/>
      <c r="W236" s="4"/>
      <c r="X236" s="4"/>
      <c r="Y236" s="47"/>
      <c r="Z236" s="4"/>
      <c r="AA236" s="4"/>
    </row>
    <row r="237" spans="1:27" ht="24" customHeight="1" x14ac:dyDescent="0.3">
      <c r="A237" s="4"/>
      <c r="B237" s="4"/>
      <c r="C237" s="4"/>
      <c r="D237" s="4"/>
      <c r="E237" s="4"/>
      <c r="F237" s="4"/>
      <c r="G237" s="4"/>
      <c r="H237" s="4"/>
      <c r="I237" s="4"/>
      <c r="J237" s="4"/>
      <c r="K237" s="4"/>
      <c r="L237" s="4"/>
      <c r="M237" s="4"/>
      <c r="N237" s="4"/>
      <c r="O237" s="4"/>
      <c r="P237" s="4"/>
      <c r="Q237" s="4"/>
      <c r="R237" s="4"/>
      <c r="S237" s="47"/>
      <c r="T237" s="4"/>
      <c r="U237" s="4"/>
      <c r="V237" s="47"/>
      <c r="W237" s="4"/>
      <c r="X237" s="4"/>
      <c r="Y237" s="47"/>
      <c r="Z237" s="4"/>
      <c r="AA237" s="4"/>
    </row>
    <row r="238" spans="1:27" ht="24" customHeight="1" x14ac:dyDescent="0.3">
      <c r="A238" s="4"/>
      <c r="B238" s="4"/>
      <c r="C238" s="4"/>
      <c r="D238" s="4"/>
      <c r="E238" s="4"/>
      <c r="F238" s="4"/>
      <c r="G238" s="4"/>
      <c r="H238" s="4"/>
      <c r="I238" s="4"/>
      <c r="J238" s="4"/>
      <c r="K238" s="4"/>
      <c r="L238" s="4"/>
      <c r="M238" s="4"/>
      <c r="N238" s="4"/>
      <c r="O238" s="4"/>
      <c r="P238" s="4"/>
      <c r="Q238" s="4"/>
      <c r="R238" s="4"/>
      <c r="S238" s="47"/>
      <c r="T238" s="4"/>
      <c r="U238" s="4"/>
      <c r="V238" s="47"/>
      <c r="W238" s="4"/>
      <c r="X238" s="4"/>
      <c r="Y238" s="47"/>
      <c r="Z238" s="4"/>
      <c r="AA238" s="4"/>
    </row>
    <row r="239" spans="1:27" ht="24" customHeight="1" x14ac:dyDescent="0.3">
      <c r="A239" s="4"/>
      <c r="B239" s="4"/>
      <c r="C239" s="4"/>
      <c r="D239" s="4"/>
      <c r="E239" s="4"/>
      <c r="F239" s="4"/>
      <c r="G239" s="4"/>
      <c r="H239" s="4"/>
      <c r="I239" s="4"/>
      <c r="J239" s="4"/>
      <c r="K239" s="4"/>
      <c r="L239" s="4"/>
      <c r="M239" s="4"/>
      <c r="N239" s="4"/>
      <c r="O239" s="4"/>
      <c r="P239" s="4"/>
      <c r="Q239" s="4"/>
      <c r="R239" s="4"/>
      <c r="S239" s="47"/>
      <c r="T239" s="4"/>
      <c r="U239" s="4"/>
      <c r="V239" s="47"/>
      <c r="W239" s="4"/>
      <c r="X239" s="4"/>
      <c r="Y239" s="47"/>
      <c r="Z239" s="4"/>
      <c r="AA239" s="4"/>
    </row>
    <row r="240" spans="1:27" ht="24" customHeight="1" x14ac:dyDescent="0.3">
      <c r="A240" s="4"/>
      <c r="B240" s="4"/>
      <c r="C240" s="4"/>
      <c r="D240" s="4"/>
      <c r="E240" s="4"/>
      <c r="F240" s="4"/>
      <c r="G240" s="4"/>
      <c r="H240" s="4"/>
      <c r="I240" s="4"/>
      <c r="J240" s="4"/>
      <c r="K240" s="4"/>
      <c r="L240" s="4"/>
      <c r="M240" s="4"/>
      <c r="N240" s="4"/>
      <c r="O240" s="4"/>
      <c r="P240" s="4"/>
      <c r="Q240" s="4"/>
      <c r="R240" s="4"/>
      <c r="S240" s="47"/>
      <c r="T240" s="4"/>
      <c r="U240" s="4"/>
      <c r="V240" s="47"/>
      <c r="W240" s="4"/>
      <c r="X240" s="4"/>
      <c r="Y240" s="47"/>
      <c r="Z240" s="4"/>
      <c r="AA240" s="4"/>
    </row>
    <row r="241" spans="1:27" ht="24" customHeight="1" x14ac:dyDescent="0.3">
      <c r="A241" s="4"/>
      <c r="B241" s="4"/>
      <c r="C241" s="4"/>
      <c r="D241" s="4"/>
      <c r="E241" s="4"/>
      <c r="F241" s="4"/>
      <c r="G241" s="4"/>
      <c r="H241" s="4"/>
      <c r="I241" s="4"/>
      <c r="J241" s="4"/>
      <c r="K241" s="4"/>
      <c r="L241" s="4"/>
      <c r="M241" s="4"/>
      <c r="N241" s="4"/>
      <c r="O241" s="4"/>
      <c r="P241" s="4"/>
      <c r="Q241" s="4"/>
      <c r="R241" s="4"/>
      <c r="S241" s="47"/>
      <c r="T241" s="4"/>
      <c r="U241" s="4"/>
      <c r="V241" s="47"/>
      <c r="W241" s="4"/>
      <c r="X241" s="4"/>
      <c r="Y241" s="47"/>
      <c r="Z241" s="4"/>
      <c r="AA241" s="4"/>
    </row>
    <row r="242" spans="1:27" ht="24" customHeight="1" x14ac:dyDescent="0.3">
      <c r="A242" s="4"/>
      <c r="B242" s="4"/>
      <c r="C242" s="4"/>
      <c r="D242" s="4"/>
      <c r="E242" s="4"/>
      <c r="F242" s="4"/>
      <c r="G242" s="4"/>
      <c r="H242" s="4"/>
      <c r="I242" s="4"/>
      <c r="J242" s="4"/>
      <c r="K242" s="4"/>
      <c r="L242" s="4"/>
      <c r="M242" s="4"/>
      <c r="N242" s="4"/>
      <c r="O242" s="4"/>
      <c r="P242" s="4"/>
      <c r="Q242" s="4"/>
      <c r="R242" s="4"/>
      <c r="S242" s="47"/>
      <c r="T242" s="4"/>
      <c r="U242" s="4"/>
      <c r="V242" s="47"/>
      <c r="W242" s="4"/>
      <c r="X242" s="4"/>
      <c r="Y242" s="47"/>
      <c r="Z242" s="4"/>
      <c r="AA242" s="4"/>
    </row>
    <row r="243" spans="1:27" ht="24" customHeight="1" x14ac:dyDescent="0.3">
      <c r="A243" s="4"/>
      <c r="B243" s="4"/>
      <c r="C243" s="4"/>
      <c r="D243" s="4"/>
      <c r="E243" s="4"/>
      <c r="F243" s="4"/>
      <c r="G243" s="4"/>
      <c r="H243" s="4"/>
      <c r="I243" s="4"/>
      <c r="J243" s="4"/>
      <c r="K243" s="4"/>
      <c r="L243" s="4"/>
      <c r="M243" s="4"/>
      <c r="N243" s="4"/>
      <c r="O243" s="4"/>
      <c r="P243" s="4"/>
      <c r="Q243" s="4"/>
      <c r="R243" s="4"/>
      <c r="S243" s="47"/>
      <c r="T243" s="4"/>
      <c r="U243" s="4"/>
      <c r="V243" s="47"/>
      <c r="W243" s="4"/>
      <c r="X243" s="4"/>
      <c r="Y243" s="47"/>
      <c r="Z243" s="4"/>
      <c r="AA243" s="4"/>
    </row>
    <row r="244" spans="1:27" ht="24" customHeight="1" x14ac:dyDescent="0.3">
      <c r="A244" s="4"/>
      <c r="B244" s="4"/>
      <c r="C244" s="4"/>
      <c r="D244" s="4"/>
      <c r="E244" s="4"/>
      <c r="F244" s="4"/>
      <c r="G244" s="4"/>
      <c r="H244" s="4"/>
      <c r="I244" s="4"/>
      <c r="J244" s="4"/>
      <c r="K244" s="4"/>
      <c r="L244" s="4"/>
      <c r="M244" s="4"/>
      <c r="N244" s="4"/>
      <c r="O244" s="4"/>
      <c r="P244" s="4"/>
      <c r="Q244" s="4"/>
      <c r="R244" s="4"/>
      <c r="S244" s="47"/>
      <c r="T244" s="4"/>
      <c r="U244" s="4"/>
      <c r="V244" s="47"/>
      <c r="W244" s="4"/>
      <c r="X244" s="4"/>
      <c r="Y244" s="47"/>
      <c r="Z244" s="4"/>
      <c r="AA244" s="4"/>
    </row>
    <row r="245" spans="1:27" ht="24" customHeight="1" x14ac:dyDescent="0.3">
      <c r="A245" s="4"/>
      <c r="B245" s="4"/>
      <c r="C245" s="4"/>
      <c r="D245" s="4"/>
      <c r="E245" s="4"/>
      <c r="F245" s="4"/>
      <c r="G245" s="4"/>
      <c r="H245" s="4"/>
      <c r="I245" s="4"/>
      <c r="J245" s="4"/>
      <c r="K245" s="4"/>
      <c r="L245" s="4"/>
      <c r="M245" s="4"/>
      <c r="N245" s="4"/>
      <c r="O245" s="4"/>
      <c r="P245" s="4"/>
      <c r="Q245" s="4"/>
      <c r="R245" s="4"/>
      <c r="S245" s="47"/>
      <c r="T245" s="4"/>
      <c r="U245" s="4"/>
      <c r="V245" s="47"/>
      <c r="W245" s="4"/>
      <c r="X245" s="4"/>
      <c r="Y245" s="47"/>
      <c r="Z245" s="4"/>
      <c r="AA245" s="4"/>
    </row>
    <row r="246" spans="1:27" ht="24" customHeight="1" x14ac:dyDescent="0.3">
      <c r="A246" s="4"/>
      <c r="B246" s="4"/>
      <c r="C246" s="4"/>
      <c r="D246" s="4"/>
      <c r="E246" s="4"/>
      <c r="F246" s="4"/>
      <c r="G246" s="4"/>
      <c r="H246" s="4"/>
      <c r="I246" s="4"/>
      <c r="J246" s="4"/>
      <c r="K246" s="4"/>
      <c r="L246" s="4"/>
      <c r="M246" s="4"/>
      <c r="N246" s="4"/>
      <c r="O246" s="4"/>
      <c r="P246" s="4"/>
      <c r="Q246" s="4"/>
      <c r="R246" s="4"/>
      <c r="S246" s="47"/>
      <c r="T246" s="4"/>
      <c r="U246" s="4"/>
      <c r="V246" s="47"/>
      <c r="W246" s="4"/>
      <c r="X246" s="4"/>
      <c r="Y246" s="47"/>
      <c r="Z246" s="4"/>
      <c r="AA246" s="4"/>
    </row>
    <row r="247" spans="1:27" ht="24" customHeight="1" x14ac:dyDescent="0.3">
      <c r="A247" s="4"/>
      <c r="B247" s="4"/>
      <c r="C247" s="4"/>
      <c r="D247" s="4"/>
      <c r="E247" s="4"/>
      <c r="F247" s="4"/>
      <c r="G247" s="4"/>
      <c r="H247" s="4"/>
      <c r="I247" s="4"/>
      <c r="J247" s="4"/>
      <c r="K247" s="4"/>
      <c r="L247" s="4"/>
      <c r="M247" s="4"/>
      <c r="N247" s="4"/>
      <c r="O247" s="4"/>
      <c r="P247" s="4"/>
      <c r="Q247" s="4"/>
      <c r="R247" s="4"/>
      <c r="S247" s="47"/>
      <c r="T247" s="4"/>
      <c r="U247" s="4"/>
      <c r="V247" s="47"/>
      <c r="W247" s="4"/>
      <c r="X247" s="4"/>
      <c r="Y247" s="47"/>
      <c r="Z247" s="4"/>
      <c r="AA247" s="4"/>
    </row>
    <row r="248" spans="1:27" ht="24" customHeight="1" x14ac:dyDescent="0.3">
      <c r="A248" s="4"/>
      <c r="B248" s="4"/>
      <c r="C248" s="4"/>
      <c r="D248" s="4"/>
      <c r="E248" s="4"/>
      <c r="F248" s="4"/>
      <c r="G248" s="4"/>
      <c r="H248" s="4"/>
      <c r="I248" s="4"/>
      <c r="J248" s="4"/>
      <c r="K248" s="4"/>
      <c r="L248" s="4"/>
      <c r="M248" s="4"/>
      <c r="N248" s="4"/>
      <c r="O248" s="4"/>
      <c r="P248" s="4"/>
      <c r="Q248" s="4"/>
      <c r="R248" s="4"/>
      <c r="S248" s="47"/>
      <c r="T248" s="4"/>
      <c r="U248" s="4"/>
      <c r="V248" s="47"/>
      <c r="W248" s="4"/>
      <c r="X248" s="4"/>
      <c r="Y248" s="47"/>
      <c r="Z248" s="4"/>
      <c r="AA248" s="4"/>
    </row>
    <row r="249" spans="1:27" ht="24" customHeight="1" x14ac:dyDescent="0.3">
      <c r="A249" s="4"/>
      <c r="B249" s="4"/>
      <c r="C249" s="4"/>
      <c r="D249" s="4"/>
      <c r="E249" s="4"/>
      <c r="F249" s="4"/>
      <c r="G249" s="4"/>
      <c r="H249" s="4"/>
      <c r="I249" s="4"/>
      <c r="J249" s="4"/>
      <c r="K249" s="4"/>
      <c r="L249" s="4"/>
      <c r="M249" s="4"/>
      <c r="N249" s="4"/>
      <c r="O249" s="4"/>
      <c r="P249" s="4"/>
      <c r="Q249" s="4"/>
      <c r="R249" s="4"/>
      <c r="S249" s="47"/>
      <c r="T249" s="4"/>
      <c r="U249" s="4"/>
      <c r="V249" s="47"/>
      <c r="W249" s="4"/>
      <c r="X249" s="4"/>
      <c r="Y249" s="47"/>
      <c r="Z249" s="4"/>
      <c r="AA249" s="4"/>
    </row>
    <row r="250" spans="1:27" ht="24" customHeight="1" x14ac:dyDescent="0.3">
      <c r="A250" s="4"/>
      <c r="B250" s="4"/>
      <c r="C250" s="4"/>
      <c r="D250" s="4"/>
      <c r="E250" s="4"/>
      <c r="F250" s="4"/>
      <c r="G250" s="4"/>
      <c r="H250" s="4"/>
      <c r="I250" s="4"/>
      <c r="J250" s="4"/>
      <c r="K250" s="4"/>
      <c r="L250" s="4"/>
      <c r="M250" s="4"/>
      <c r="N250" s="4"/>
      <c r="O250" s="4"/>
      <c r="P250" s="4"/>
      <c r="Q250" s="4"/>
      <c r="R250" s="4"/>
      <c r="S250" s="47"/>
      <c r="T250" s="4"/>
      <c r="U250" s="4"/>
      <c r="V250" s="47"/>
      <c r="W250" s="4"/>
      <c r="X250" s="4"/>
      <c r="Y250" s="47"/>
      <c r="Z250" s="4"/>
      <c r="AA250" s="4"/>
    </row>
    <row r="251" spans="1:27" ht="24" customHeight="1" x14ac:dyDescent="0.3">
      <c r="A251" s="4"/>
      <c r="B251" s="4"/>
      <c r="C251" s="4"/>
      <c r="D251" s="4"/>
      <c r="E251" s="4"/>
      <c r="F251" s="4"/>
      <c r="G251" s="4"/>
      <c r="H251" s="4"/>
      <c r="I251" s="4"/>
      <c r="J251" s="4"/>
      <c r="K251" s="4"/>
      <c r="L251" s="4"/>
      <c r="M251" s="4"/>
      <c r="N251" s="4"/>
      <c r="O251" s="4"/>
      <c r="P251" s="4"/>
      <c r="Q251" s="4"/>
      <c r="R251" s="4"/>
      <c r="S251" s="47"/>
      <c r="T251" s="4"/>
      <c r="U251" s="4"/>
      <c r="V251" s="47"/>
      <c r="W251" s="4"/>
      <c r="X251" s="4"/>
      <c r="Y251" s="47"/>
      <c r="Z251" s="4"/>
      <c r="AA251" s="4"/>
    </row>
    <row r="252" spans="1:27" ht="24" customHeight="1" x14ac:dyDescent="0.3">
      <c r="A252" s="4"/>
      <c r="B252" s="4"/>
      <c r="C252" s="4"/>
      <c r="D252" s="4"/>
      <c r="E252" s="4"/>
      <c r="F252" s="4"/>
      <c r="G252" s="4"/>
      <c r="H252" s="4"/>
      <c r="I252" s="4"/>
      <c r="J252" s="4"/>
      <c r="K252" s="4"/>
      <c r="L252" s="4"/>
      <c r="M252" s="4"/>
      <c r="N252" s="4"/>
      <c r="O252" s="4"/>
      <c r="P252" s="4"/>
      <c r="Q252" s="4"/>
      <c r="R252" s="4"/>
      <c r="S252" s="47"/>
      <c r="T252" s="4"/>
      <c r="U252" s="4"/>
      <c r="V252" s="47"/>
      <c r="W252" s="4"/>
      <c r="X252" s="4"/>
      <c r="Y252" s="47"/>
      <c r="Z252" s="4"/>
      <c r="AA252" s="4"/>
    </row>
    <row r="253" spans="1:27" ht="24" customHeight="1" x14ac:dyDescent="0.3">
      <c r="A253" s="4"/>
      <c r="B253" s="4"/>
      <c r="C253" s="4"/>
      <c r="D253" s="4"/>
      <c r="E253" s="4"/>
      <c r="F253" s="4"/>
      <c r="G253" s="4"/>
      <c r="H253" s="4"/>
      <c r="I253" s="4"/>
      <c r="J253" s="4"/>
      <c r="K253" s="4"/>
      <c r="L253" s="4"/>
      <c r="M253" s="4"/>
      <c r="N253" s="4"/>
      <c r="O253" s="4"/>
      <c r="P253" s="4"/>
      <c r="Q253" s="4"/>
      <c r="R253" s="4"/>
      <c r="S253" s="47"/>
      <c r="T253" s="4"/>
      <c r="U253" s="4"/>
      <c r="V253" s="47"/>
      <c r="W253" s="4"/>
      <c r="X253" s="4"/>
      <c r="Y253" s="47"/>
      <c r="Z253" s="4"/>
      <c r="AA253" s="4"/>
    </row>
    <row r="254" spans="1:27" ht="24" customHeight="1" x14ac:dyDescent="0.3">
      <c r="A254" s="4"/>
      <c r="B254" s="4"/>
      <c r="C254" s="4"/>
      <c r="D254" s="4"/>
      <c r="E254" s="4"/>
      <c r="F254" s="4"/>
      <c r="G254" s="4"/>
      <c r="H254" s="4"/>
      <c r="I254" s="4"/>
      <c r="J254" s="4"/>
      <c r="K254" s="4"/>
      <c r="L254" s="4"/>
      <c r="M254" s="4"/>
      <c r="N254" s="4"/>
      <c r="O254" s="4"/>
      <c r="P254" s="4"/>
      <c r="Q254" s="4"/>
      <c r="R254" s="4"/>
      <c r="S254" s="47"/>
      <c r="T254" s="4"/>
      <c r="U254" s="4"/>
      <c r="V254" s="47"/>
      <c r="W254" s="4"/>
      <c r="X254" s="4"/>
      <c r="Y254" s="47"/>
      <c r="Z254" s="4"/>
      <c r="AA254" s="4"/>
    </row>
    <row r="255" spans="1:27" ht="24" customHeight="1" x14ac:dyDescent="0.3">
      <c r="A255" s="4"/>
      <c r="B255" s="4"/>
      <c r="C255" s="4"/>
      <c r="D255" s="4"/>
      <c r="E255" s="4"/>
      <c r="F255" s="4"/>
      <c r="G255" s="4"/>
      <c r="H255" s="4"/>
      <c r="I255" s="4"/>
      <c r="J255" s="4"/>
      <c r="K255" s="4"/>
      <c r="L255" s="4"/>
      <c r="M255" s="4"/>
      <c r="N255" s="4"/>
      <c r="O255" s="4"/>
      <c r="P255" s="4"/>
      <c r="Q255" s="4"/>
      <c r="R255" s="4"/>
      <c r="S255" s="47"/>
      <c r="T255" s="4"/>
      <c r="U255" s="4"/>
      <c r="V255" s="47"/>
      <c r="W255" s="4"/>
      <c r="X255" s="4"/>
      <c r="Y255" s="47"/>
      <c r="Z255" s="4"/>
      <c r="AA255" s="4"/>
    </row>
    <row r="256" spans="1:27" ht="24" customHeight="1" x14ac:dyDescent="0.3">
      <c r="A256" s="4"/>
      <c r="B256" s="4"/>
      <c r="C256" s="4"/>
      <c r="D256" s="4"/>
      <c r="E256" s="4"/>
      <c r="F256" s="4"/>
      <c r="G256" s="4"/>
      <c r="H256" s="4"/>
      <c r="I256" s="4"/>
      <c r="J256" s="4"/>
      <c r="K256" s="4"/>
      <c r="L256" s="4"/>
      <c r="M256" s="4"/>
      <c r="N256" s="4"/>
      <c r="O256" s="4"/>
      <c r="P256" s="4"/>
      <c r="Q256" s="4"/>
      <c r="R256" s="4"/>
      <c r="S256" s="47"/>
      <c r="T256" s="4"/>
      <c r="U256" s="4"/>
      <c r="V256" s="47"/>
      <c r="W256" s="4"/>
      <c r="X256" s="4"/>
      <c r="Y256" s="47"/>
      <c r="Z256" s="4"/>
      <c r="AA256" s="4"/>
    </row>
    <row r="257" spans="1:27" ht="24" customHeight="1" x14ac:dyDescent="0.3">
      <c r="A257" s="4"/>
      <c r="B257" s="4"/>
      <c r="C257" s="4"/>
      <c r="D257" s="4"/>
      <c r="E257" s="4"/>
      <c r="F257" s="4"/>
      <c r="G257" s="4"/>
      <c r="H257" s="4"/>
      <c r="I257" s="4"/>
      <c r="J257" s="4"/>
      <c r="K257" s="4"/>
      <c r="L257" s="4"/>
      <c r="M257" s="4"/>
      <c r="N257" s="4"/>
      <c r="O257" s="4"/>
      <c r="P257" s="4"/>
      <c r="Q257" s="4"/>
      <c r="R257" s="4"/>
      <c r="S257" s="47"/>
      <c r="T257" s="4"/>
      <c r="U257" s="4"/>
      <c r="V257" s="47"/>
      <c r="W257" s="4"/>
      <c r="X257" s="4"/>
      <c r="Y257" s="47"/>
      <c r="Z257" s="4"/>
      <c r="AA257" s="4"/>
    </row>
    <row r="258" spans="1:27" ht="24" customHeight="1" x14ac:dyDescent="0.3">
      <c r="A258" s="4"/>
      <c r="B258" s="4"/>
      <c r="C258" s="4"/>
      <c r="D258" s="4"/>
      <c r="E258" s="4"/>
      <c r="F258" s="4"/>
      <c r="G258" s="4"/>
      <c r="H258" s="4"/>
      <c r="I258" s="4"/>
      <c r="J258" s="4"/>
      <c r="K258" s="4"/>
      <c r="L258" s="4"/>
      <c r="M258" s="4"/>
      <c r="N258" s="4"/>
      <c r="O258" s="4"/>
      <c r="P258" s="4"/>
      <c r="Q258" s="4"/>
      <c r="R258" s="4"/>
      <c r="S258" s="47"/>
      <c r="T258" s="4"/>
      <c r="U258" s="4"/>
      <c r="V258" s="47"/>
      <c r="W258" s="4"/>
      <c r="X258" s="4"/>
      <c r="Y258" s="47"/>
      <c r="Z258" s="4"/>
      <c r="AA258" s="4"/>
    </row>
    <row r="259" spans="1:27" ht="24" customHeight="1" x14ac:dyDescent="0.3">
      <c r="A259" s="4"/>
      <c r="B259" s="4"/>
      <c r="C259" s="4"/>
      <c r="D259" s="4"/>
      <c r="E259" s="4"/>
      <c r="F259" s="4"/>
      <c r="G259" s="4"/>
      <c r="H259" s="4"/>
      <c r="I259" s="4"/>
      <c r="J259" s="4"/>
      <c r="K259" s="4"/>
      <c r="L259" s="4"/>
      <c r="M259" s="4"/>
      <c r="N259" s="4"/>
      <c r="O259" s="4"/>
      <c r="P259" s="4"/>
      <c r="Q259" s="4"/>
      <c r="R259" s="4"/>
      <c r="S259" s="47"/>
      <c r="T259" s="4"/>
      <c r="U259" s="4"/>
      <c r="V259" s="47"/>
      <c r="W259" s="4"/>
      <c r="X259" s="4"/>
      <c r="Y259" s="47"/>
      <c r="Z259" s="4"/>
      <c r="AA259" s="4"/>
    </row>
    <row r="260" spans="1:27" ht="24" customHeight="1" x14ac:dyDescent="0.3">
      <c r="A260" s="4"/>
      <c r="B260" s="4"/>
      <c r="C260" s="4"/>
      <c r="D260" s="4"/>
      <c r="E260" s="4"/>
      <c r="F260" s="4"/>
      <c r="G260" s="4"/>
      <c r="H260" s="4"/>
      <c r="I260" s="4"/>
      <c r="J260" s="4"/>
      <c r="K260" s="4"/>
      <c r="L260" s="4"/>
      <c r="M260" s="4"/>
      <c r="N260" s="4"/>
      <c r="O260" s="4"/>
      <c r="P260" s="4"/>
      <c r="Q260" s="4"/>
      <c r="R260" s="4"/>
      <c r="S260" s="47"/>
      <c r="T260" s="4"/>
      <c r="U260" s="4"/>
      <c r="V260" s="47"/>
      <c r="W260" s="4"/>
      <c r="X260" s="4"/>
      <c r="Y260" s="47"/>
      <c r="Z260" s="4"/>
      <c r="AA260" s="4"/>
    </row>
    <row r="261" spans="1:27" ht="24" customHeight="1" x14ac:dyDescent="0.3">
      <c r="A261" s="4"/>
      <c r="B261" s="4"/>
      <c r="C261" s="4"/>
      <c r="D261" s="4"/>
      <c r="E261" s="4"/>
      <c r="F261" s="4"/>
      <c r="G261" s="4"/>
      <c r="H261" s="4"/>
      <c r="I261" s="4"/>
      <c r="J261" s="4"/>
      <c r="K261" s="4"/>
      <c r="L261" s="4"/>
      <c r="M261" s="4"/>
      <c r="N261" s="4"/>
      <c r="O261" s="4"/>
      <c r="P261" s="4"/>
      <c r="Q261" s="4"/>
      <c r="R261" s="4"/>
      <c r="S261" s="47"/>
      <c r="T261" s="4"/>
      <c r="U261" s="4"/>
      <c r="V261" s="47"/>
      <c r="W261" s="4"/>
      <c r="X261" s="4"/>
      <c r="Y261" s="47"/>
      <c r="Z261" s="4"/>
      <c r="AA261" s="4"/>
    </row>
    <row r="262" spans="1:27" ht="24" customHeight="1" x14ac:dyDescent="0.3">
      <c r="A262" s="4"/>
      <c r="B262" s="4"/>
      <c r="C262" s="4"/>
      <c r="D262" s="4"/>
      <c r="E262" s="4"/>
      <c r="F262" s="4"/>
      <c r="G262" s="4"/>
      <c r="H262" s="4"/>
      <c r="I262" s="4"/>
      <c r="J262" s="4"/>
      <c r="K262" s="4"/>
      <c r="L262" s="4"/>
      <c r="M262" s="4"/>
      <c r="N262" s="4"/>
      <c r="O262" s="4"/>
      <c r="P262" s="4"/>
      <c r="Q262" s="4"/>
      <c r="R262" s="4"/>
      <c r="S262" s="47"/>
      <c r="T262" s="4"/>
      <c r="U262" s="4"/>
      <c r="V262" s="47"/>
      <c r="W262" s="4"/>
      <c r="X262" s="4"/>
      <c r="Y262" s="47"/>
      <c r="Z262" s="4"/>
      <c r="AA262" s="4"/>
    </row>
    <row r="263" spans="1:27" ht="24" customHeight="1" x14ac:dyDescent="0.3">
      <c r="A263" s="4"/>
      <c r="B263" s="4"/>
      <c r="C263" s="4"/>
      <c r="D263" s="4"/>
      <c r="E263" s="4"/>
      <c r="F263" s="4"/>
      <c r="G263" s="4"/>
      <c r="H263" s="4"/>
      <c r="I263" s="4"/>
      <c r="J263" s="4"/>
      <c r="K263" s="4"/>
      <c r="L263" s="4"/>
      <c r="M263" s="4"/>
      <c r="N263" s="4"/>
      <c r="O263" s="4"/>
      <c r="P263" s="4"/>
      <c r="Q263" s="4"/>
      <c r="R263" s="4"/>
      <c r="S263" s="47"/>
      <c r="T263" s="4"/>
      <c r="U263" s="4"/>
      <c r="V263" s="47"/>
      <c r="W263" s="4"/>
      <c r="X263" s="4"/>
      <c r="Y263" s="47"/>
      <c r="Z263" s="4"/>
      <c r="AA263" s="4"/>
    </row>
    <row r="264" spans="1:27" ht="24" customHeight="1" x14ac:dyDescent="0.3">
      <c r="A264" s="4"/>
      <c r="B264" s="4"/>
      <c r="C264" s="4"/>
      <c r="D264" s="4"/>
      <c r="E264" s="4"/>
      <c r="F264" s="4"/>
      <c r="G264" s="4"/>
      <c r="H264" s="4"/>
      <c r="I264" s="4"/>
      <c r="J264" s="4"/>
      <c r="K264" s="4"/>
      <c r="L264" s="4"/>
      <c r="M264" s="4"/>
      <c r="N264" s="4"/>
      <c r="O264" s="4"/>
      <c r="P264" s="4"/>
      <c r="Q264" s="4"/>
      <c r="R264" s="4"/>
      <c r="S264" s="47"/>
      <c r="T264" s="4"/>
      <c r="U264" s="4"/>
      <c r="V264" s="47"/>
      <c r="W264" s="4"/>
      <c r="X264" s="4"/>
      <c r="Y264" s="47"/>
      <c r="Z264" s="4"/>
      <c r="AA264" s="4"/>
    </row>
    <row r="265" spans="1:27" ht="24" customHeight="1" x14ac:dyDescent="0.3">
      <c r="A265" s="4"/>
      <c r="B265" s="4"/>
      <c r="C265" s="4"/>
      <c r="D265" s="4"/>
      <c r="E265" s="4"/>
      <c r="F265" s="4"/>
      <c r="G265" s="4"/>
      <c r="H265" s="4"/>
      <c r="I265" s="4"/>
      <c r="J265" s="4"/>
      <c r="K265" s="4"/>
      <c r="L265" s="4"/>
      <c r="M265" s="4"/>
      <c r="N265" s="4"/>
      <c r="O265" s="4"/>
      <c r="P265" s="4"/>
      <c r="Q265" s="4"/>
      <c r="R265" s="4"/>
      <c r="S265" s="47"/>
      <c r="T265" s="4"/>
      <c r="U265" s="4"/>
      <c r="V265" s="47"/>
      <c r="W265" s="4"/>
      <c r="X265" s="4"/>
      <c r="Y265" s="47"/>
      <c r="Z265" s="4"/>
      <c r="AA265" s="4"/>
    </row>
    <row r="266" spans="1:27" ht="24" customHeight="1" x14ac:dyDescent="0.3">
      <c r="A266" s="4"/>
      <c r="B266" s="4"/>
      <c r="C266" s="4"/>
      <c r="D266" s="4"/>
      <c r="E266" s="4"/>
      <c r="F266" s="4"/>
      <c r="G266" s="4"/>
      <c r="H266" s="4"/>
      <c r="I266" s="4"/>
      <c r="J266" s="4"/>
      <c r="K266" s="4"/>
      <c r="L266" s="4"/>
      <c r="M266" s="4"/>
      <c r="N266" s="4"/>
      <c r="O266" s="4"/>
      <c r="P266" s="4"/>
      <c r="Q266" s="4"/>
      <c r="R266" s="4"/>
      <c r="S266" s="47"/>
      <c r="T266" s="4"/>
      <c r="U266" s="4"/>
      <c r="V266" s="47"/>
      <c r="W266" s="4"/>
      <c r="X266" s="4"/>
      <c r="Y266" s="47"/>
      <c r="Z266" s="4"/>
      <c r="AA266" s="4"/>
    </row>
    <row r="267" spans="1:27" ht="24" customHeight="1" x14ac:dyDescent="0.3">
      <c r="A267" s="4"/>
      <c r="B267" s="4"/>
      <c r="C267" s="4"/>
      <c r="D267" s="4"/>
      <c r="E267" s="4"/>
      <c r="F267" s="4"/>
      <c r="G267" s="4"/>
      <c r="H267" s="4"/>
      <c r="I267" s="4"/>
      <c r="J267" s="4"/>
      <c r="K267" s="4"/>
      <c r="L267" s="4"/>
      <c r="M267" s="4"/>
      <c r="N267" s="4"/>
      <c r="O267" s="4"/>
      <c r="P267" s="4"/>
      <c r="Q267" s="4"/>
      <c r="R267" s="4"/>
      <c r="S267" s="47"/>
      <c r="T267" s="4"/>
      <c r="U267" s="4"/>
      <c r="V267" s="47"/>
      <c r="W267" s="4"/>
      <c r="X267" s="4"/>
      <c r="Y267" s="47"/>
      <c r="Z267" s="4"/>
      <c r="AA267" s="4"/>
    </row>
    <row r="268" spans="1:27" ht="24" customHeight="1" x14ac:dyDescent="0.3">
      <c r="A268" s="4"/>
      <c r="B268" s="4"/>
      <c r="C268" s="4"/>
      <c r="D268" s="4"/>
      <c r="E268" s="4"/>
      <c r="F268" s="4"/>
      <c r="G268" s="4"/>
      <c r="H268" s="4"/>
      <c r="I268" s="4"/>
      <c r="J268" s="4"/>
      <c r="K268" s="4"/>
      <c r="L268" s="4"/>
      <c r="M268" s="4"/>
      <c r="N268" s="4"/>
      <c r="O268" s="4"/>
      <c r="P268" s="4"/>
      <c r="Q268" s="4"/>
      <c r="R268" s="4"/>
      <c r="S268" s="47"/>
      <c r="T268" s="4"/>
      <c r="U268" s="4"/>
      <c r="V268" s="47"/>
      <c r="W268" s="4"/>
      <c r="X268" s="4"/>
      <c r="Y268" s="47"/>
      <c r="Z268" s="4"/>
      <c r="AA268" s="4"/>
    </row>
    <row r="269" spans="1:27" ht="24" customHeight="1" x14ac:dyDescent="0.3">
      <c r="A269" s="4"/>
      <c r="B269" s="4"/>
      <c r="C269" s="4"/>
      <c r="D269" s="4"/>
      <c r="E269" s="4"/>
      <c r="F269" s="4"/>
      <c r="G269" s="4"/>
      <c r="H269" s="4"/>
      <c r="I269" s="4"/>
      <c r="J269" s="4"/>
      <c r="K269" s="4"/>
      <c r="L269" s="4"/>
      <c r="M269" s="4"/>
      <c r="N269" s="4"/>
      <c r="O269" s="4"/>
      <c r="P269" s="4"/>
      <c r="Q269" s="4"/>
      <c r="R269" s="4"/>
      <c r="S269" s="47"/>
      <c r="T269" s="4"/>
      <c r="U269" s="4"/>
      <c r="V269" s="47"/>
      <c r="W269" s="4"/>
      <c r="X269" s="4"/>
      <c r="Y269" s="47"/>
      <c r="Z269" s="4"/>
      <c r="AA269" s="4"/>
    </row>
    <row r="270" spans="1:27" ht="24" customHeight="1" x14ac:dyDescent="0.3">
      <c r="A270" s="4"/>
      <c r="B270" s="4"/>
      <c r="C270" s="4"/>
      <c r="D270" s="4"/>
      <c r="E270" s="4"/>
      <c r="F270" s="4"/>
      <c r="G270" s="4"/>
      <c r="H270" s="4"/>
      <c r="I270" s="4"/>
      <c r="J270" s="4"/>
      <c r="K270" s="4"/>
      <c r="L270" s="4"/>
      <c r="M270" s="4"/>
      <c r="N270" s="4"/>
      <c r="O270" s="4"/>
      <c r="P270" s="4"/>
      <c r="Q270" s="4"/>
      <c r="R270" s="4"/>
      <c r="S270" s="47"/>
      <c r="T270" s="4"/>
      <c r="U270" s="4"/>
      <c r="V270" s="47"/>
      <c r="W270" s="4"/>
      <c r="X270" s="4"/>
      <c r="Y270" s="47"/>
      <c r="Z270" s="4"/>
      <c r="AA270" s="4"/>
    </row>
    <row r="271" spans="1:27" ht="24" customHeight="1" x14ac:dyDescent="0.3">
      <c r="A271" s="4"/>
      <c r="B271" s="4"/>
      <c r="C271" s="4"/>
      <c r="D271" s="4"/>
      <c r="E271" s="4"/>
      <c r="F271" s="4"/>
      <c r="G271" s="4"/>
      <c r="H271" s="4"/>
      <c r="I271" s="4"/>
      <c r="J271" s="4"/>
      <c r="K271" s="4"/>
      <c r="L271" s="4"/>
      <c r="M271" s="4"/>
      <c r="N271" s="4"/>
      <c r="O271" s="4"/>
      <c r="P271" s="4"/>
      <c r="Q271" s="4"/>
      <c r="R271" s="4"/>
      <c r="S271" s="47"/>
      <c r="T271" s="4"/>
      <c r="U271" s="4"/>
      <c r="V271" s="47"/>
      <c r="W271" s="4"/>
      <c r="X271" s="4"/>
      <c r="Y271" s="47"/>
      <c r="Z271" s="4"/>
      <c r="AA271" s="4"/>
    </row>
    <row r="272" spans="1:27" ht="24" customHeight="1" x14ac:dyDescent="0.3">
      <c r="A272" s="4"/>
      <c r="B272" s="4"/>
      <c r="C272" s="4"/>
      <c r="D272" s="4"/>
      <c r="E272" s="4"/>
      <c r="F272" s="4"/>
      <c r="G272" s="4"/>
      <c r="H272" s="4"/>
      <c r="I272" s="4"/>
      <c r="J272" s="4"/>
      <c r="K272" s="4"/>
      <c r="L272" s="4"/>
      <c r="M272" s="4"/>
      <c r="N272" s="4"/>
      <c r="O272" s="4"/>
      <c r="P272" s="4"/>
      <c r="Q272" s="4"/>
      <c r="R272" s="4"/>
      <c r="S272" s="47"/>
      <c r="T272" s="4"/>
      <c r="U272" s="4"/>
      <c r="V272" s="47"/>
      <c r="W272" s="4"/>
      <c r="X272" s="4"/>
      <c r="Y272" s="47"/>
      <c r="Z272" s="4"/>
      <c r="AA272" s="4"/>
    </row>
    <row r="273" spans="1:27" ht="24" customHeight="1" x14ac:dyDescent="0.3">
      <c r="A273" s="4"/>
      <c r="B273" s="4"/>
      <c r="C273" s="4"/>
      <c r="D273" s="4"/>
      <c r="E273" s="4"/>
      <c r="F273" s="4"/>
      <c r="G273" s="4"/>
      <c r="H273" s="4"/>
      <c r="I273" s="4"/>
      <c r="J273" s="4"/>
      <c r="K273" s="4"/>
      <c r="L273" s="4"/>
      <c r="M273" s="4"/>
      <c r="N273" s="4"/>
      <c r="O273" s="4"/>
      <c r="P273" s="4"/>
      <c r="Q273" s="4"/>
      <c r="R273" s="4"/>
      <c r="S273" s="47"/>
      <c r="T273" s="4"/>
      <c r="U273" s="4"/>
      <c r="V273" s="47"/>
      <c r="W273" s="4"/>
      <c r="X273" s="4"/>
      <c r="Y273" s="47"/>
      <c r="Z273" s="4"/>
      <c r="AA273" s="4"/>
    </row>
    <row r="274" spans="1:27" ht="24" customHeight="1" x14ac:dyDescent="0.3">
      <c r="A274" s="4"/>
      <c r="B274" s="4"/>
      <c r="C274" s="4"/>
      <c r="D274" s="4"/>
      <c r="E274" s="4"/>
      <c r="F274" s="4"/>
      <c r="G274" s="4"/>
      <c r="H274" s="4"/>
      <c r="I274" s="4"/>
      <c r="J274" s="4"/>
      <c r="K274" s="4"/>
      <c r="L274" s="4"/>
      <c r="M274" s="4"/>
      <c r="N274" s="4"/>
      <c r="O274" s="4"/>
      <c r="P274" s="4"/>
      <c r="Q274" s="4"/>
      <c r="R274" s="4"/>
      <c r="S274" s="47"/>
      <c r="T274" s="4"/>
      <c r="U274" s="4"/>
      <c r="V274" s="47"/>
      <c r="W274" s="4"/>
      <c r="X274" s="4"/>
      <c r="Y274" s="47"/>
      <c r="Z274" s="4"/>
      <c r="AA274" s="4"/>
    </row>
    <row r="275" spans="1:27" ht="24" customHeight="1" x14ac:dyDescent="0.3">
      <c r="A275" s="4"/>
      <c r="B275" s="4"/>
      <c r="C275" s="4"/>
      <c r="D275" s="4"/>
      <c r="E275" s="4"/>
      <c r="F275" s="4"/>
      <c r="G275" s="4"/>
      <c r="H275" s="4"/>
      <c r="I275" s="4"/>
      <c r="J275" s="4"/>
      <c r="K275" s="4"/>
      <c r="L275" s="4"/>
      <c r="M275" s="4"/>
      <c r="N275" s="4"/>
      <c r="O275" s="4"/>
      <c r="P275" s="4"/>
      <c r="Q275" s="4"/>
      <c r="R275" s="4"/>
      <c r="S275" s="47"/>
      <c r="T275" s="4"/>
      <c r="U275" s="4"/>
      <c r="V275" s="47"/>
      <c r="W275" s="4"/>
      <c r="X275" s="4"/>
      <c r="Y275" s="47"/>
      <c r="Z275" s="4"/>
      <c r="AA275" s="4"/>
    </row>
    <row r="276" spans="1:27" ht="24" customHeight="1" x14ac:dyDescent="0.3">
      <c r="A276" s="4"/>
      <c r="B276" s="4"/>
      <c r="C276" s="4"/>
      <c r="D276" s="4"/>
      <c r="E276" s="4"/>
      <c r="F276" s="4"/>
      <c r="G276" s="4"/>
      <c r="H276" s="4"/>
      <c r="I276" s="4"/>
      <c r="J276" s="4"/>
      <c r="K276" s="4"/>
      <c r="L276" s="4"/>
      <c r="M276" s="4"/>
      <c r="N276" s="4"/>
      <c r="O276" s="4"/>
      <c r="P276" s="4"/>
      <c r="Q276" s="4"/>
      <c r="R276" s="4"/>
      <c r="S276" s="47"/>
      <c r="T276" s="4"/>
      <c r="U276" s="4"/>
      <c r="V276" s="47"/>
      <c r="W276" s="4"/>
      <c r="X276" s="4"/>
      <c r="Y276" s="47"/>
      <c r="Z276" s="4"/>
      <c r="AA276" s="4"/>
    </row>
    <row r="277" spans="1:27" ht="24" customHeight="1" x14ac:dyDescent="0.3">
      <c r="A277" s="4"/>
      <c r="B277" s="4"/>
      <c r="C277" s="4"/>
      <c r="D277" s="4"/>
      <c r="E277" s="4"/>
      <c r="F277" s="4"/>
      <c r="G277" s="4"/>
      <c r="H277" s="4"/>
      <c r="I277" s="4"/>
      <c r="J277" s="4"/>
      <c r="K277" s="4"/>
      <c r="L277" s="4"/>
      <c r="M277" s="4"/>
      <c r="N277" s="4"/>
      <c r="O277" s="4"/>
      <c r="P277" s="4"/>
      <c r="Q277" s="4"/>
      <c r="R277" s="4"/>
      <c r="S277" s="47"/>
      <c r="T277" s="4"/>
      <c r="U277" s="4"/>
      <c r="V277" s="47"/>
      <c r="W277" s="4"/>
      <c r="X277" s="4"/>
      <c r="Y277" s="47"/>
      <c r="Z277" s="4"/>
      <c r="AA277" s="4"/>
    </row>
    <row r="278" spans="1:27" ht="24" customHeight="1" x14ac:dyDescent="0.3">
      <c r="A278" s="4"/>
      <c r="B278" s="4"/>
      <c r="C278" s="4"/>
      <c r="D278" s="4"/>
      <c r="E278" s="4"/>
      <c r="F278" s="4"/>
      <c r="G278" s="4"/>
      <c r="H278" s="4"/>
      <c r="I278" s="4"/>
      <c r="J278" s="4"/>
      <c r="K278" s="4"/>
      <c r="L278" s="4"/>
      <c r="M278" s="4"/>
      <c r="N278" s="4"/>
      <c r="O278" s="4"/>
      <c r="P278" s="4"/>
      <c r="Q278" s="4"/>
      <c r="R278" s="4"/>
      <c r="S278" s="47"/>
      <c r="T278" s="4"/>
      <c r="U278" s="4"/>
      <c r="V278" s="47"/>
      <c r="W278" s="4"/>
      <c r="X278" s="4"/>
      <c r="Y278" s="47"/>
      <c r="Z278" s="4"/>
      <c r="AA278" s="4"/>
    </row>
    <row r="279" spans="1:27" ht="24" customHeight="1" x14ac:dyDescent="0.3">
      <c r="A279" s="4"/>
      <c r="B279" s="4"/>
      <c r="C279" s="4"/>
      <c r="D279" s="4"/>
      <c r="E279" s="4"/>
      <c r="F279" s="4"/>
      <c r="G279" s="4"/>
      <c r="H279" s="4"/>
      <c r="I279" s="4"/>
      <c r="J279" s="4"/>
      <c r="K279" s="4"/>
      <c r="L279" s="4"/>
      <c r="M279" s="4"/>
      <c r="N279" s="4"/>
      <c r="O279" s="4"/>
      <c r="P279" s="4"/>
      <c r="Q279" s="4"/>
      <c r="R279" s="4"/>
      <c r="S279" s="47"/>
      <c r="T279" s="4"/>
      <c r="U279" s="4"/>
      <c r="V279" s="47"/>
      <c r="W279" s="4"/>
      <c r="X279" s="4"/>
      <c r="Y279" s="47"/>
      <c r="Z279" s="4"/>
      <c r="AA279" s="4"/>
    </row>
    <row r="280" spans="1:27" ht="24" customHeight="1" x14ac:dyDescent="0.3">
      <c r="A280" s="4"/>
      <c r="B280" s="4"/>
      <c r="C280" s="4"/>
      <c r="D280" s="4"/>
      <c r="E280" s="4"/>
      <c r="F280" s="4"/>
      <c r="G280" s="4"/>
      <c r="H280" s="4"/>
      <c r="I280" s="4"/>
      <c r="J280" s="4"/>
      <c r="K280" s="4"/>
      <c r="L280" s="4"/>
      <c r="M280" s="4"/>
      <c r="N280" s="4"/>
      <c r="O280" s="4"/>
      <c r="P280" s="4"/>
      <c r="Q280" s="4"/>
      <c r="R280" s="4"/>
      <c r="S280" s="47"/>
      <c r="T280" s="4"/>
      <c r="U280" s="4"/>
      <c r="V280" s="47"/>
      <c r="W280" s="4"/>
      <c r="X280" s="4"/>
      <c r="Y280" s="47"/>
      <c r="Z280" s="4"/>
      <c r="AA280" s="4"/>
    </row>
    <row r="281" spans="1:27" ht="24" customHeight="1" x14ac:dyDescent="0.3">
      <c r="A281" s="4"/>
      <c r="B281" s="4"/>
      <c r="C281" s="4"/>
      <c r="D281" s="4"/>
      <c r="E281" s="4"/>
      <c r="F281" s="4"/>
      <c r="G281" s="4"/>
      <c r="H281" s="4"/>
      <c r="I281" s="4"/>
      <c r="J281" s="4"/>
      <c r="K281" s="4"/>
      <c r="L281" s="4"/>
      <c r="M281" s="4"/>
      <c r="N281" s="4"/>
      <c r="O281" s="4"/>
      <c r="P281" s="4"/>
      <c r="Q281" s="4"/>
      <c r="R281" s="4"/>
      <c r="S281" s="47"/>
      <c r="T281" s="4"/>
      <c r="U281" s="4"/>
      <c r="V281" s="47"/>
      <c r="W281" s="4"/>
      <c r="X281" s="4"/>
      <c r="Y281" s="47"/>
      <c r="Z281" s="4"/>
      <c r="AA281" s="4"/>
    </row>
    <row r="282" spans="1:27" ht="24" customHeight="1" x14ac:dyDescent="0.3">
      <c r="A282" s="4"/>
      <c r="B282" s="4"/>
      <c r="C282" s="4"/>
      <c r="D282" s="4"/>
      <c r="E282" s="4"/>
      <c r="F282" s="4"/>
      <c r="G282" s="4"/>
      <c r="H282" s="4"/>
      <c r="I282" s="4"/>
      <c r="J282" s="4"/>
      <c r="K282" s="4"/>
      <c r="L282" s="4"/>
      <c r="M282" s="4"/>
      <c r="N282" s="4"/>
      <c r="O282" s="4"/>
      <c r="P282" s="4"/>
      <c r="Q282" s="4"/>
      <c r="R282" s="4"/>
      <c r="S282" s="47"/>
      <c r="T282" s="4"/>
      <c r="U282" s="4"/>
      <c r="V282" s="47"/>
      <c r="W282" s="4"/>
      <c r="X282" s="4"/>
      <c r="Y282" s="47"/>
      <c r="Z282" s="4"/>
      <c r="AA282" s="4"/>
    </row>
    <row r="283" spans="1:27" ht="24" customHeight="1" x14ac:dyDescent="0.3">
      <c r="A283" s="4"/>
      <c r="B283" s="4"/>
      <c r="C283" s="4"/>
      <c r="D283" s="4"/>
      <c r="E283" s="4"/>
      <c r="F283" s="4"/>
      <c r="G283" s="4"/>
      <c r="H283" s="4"/>
      <c r="I283" s="4"/>
      <c r="J283" s="4"/>
      <c r="K283" s="4"/>
      <c r="L283" s="4"/>
      <c r="M283" s="4"/>
      <c r="N283" s="4"/>
      <c r="O283" s="4"/>
      <c r="P283" s="4"/>
      <c r="Q283" s="4"/>
      <c r="R283" s="4"/>
      <c r="S283" s="47"/>
      <c r="T283" s="4"/>
      <c r="U283" s="4"/>
      <c r="V283" s="47"/>
      <c r="W283" s="4"/>
      <c r="X283" s="4"/>
      <c r="Y283" s="47"/>
      <c r="Z283" s="4"/>
      <c r="AA283" s="4"/>
    </row>
    <row r="284" spans="1:27" ht="24" customHeight="1" x14ac:dyDescent="0.3">
      <c r="A284" s="4"/>
      <c r="B284" s="4"/>
      <c r="C284" s="4"/>
      <c r="D284" s="4"/>
      <c r="E284" s="4"/>
      <c r="F284" s="4"/>
      <c r="G284" s="4"/>
      <c r="H284" s="4"/>
      <c r="I284" s="4"/>
      <c r="J284" s="4"/>
      <c r="K284" s="4"/>
      <c r="L284" s="4"/>
      <c r="M284" s="4"/>
      <c r="N284" s="4"/>
      <c r="O284" s="4"/>
      <c r="P284" s="4"/>
      <c r="Q284" s="4"/>
      <c r="R284" s="4"/>
      <c r="S284" s="47"/>
      <c r="T284" s="4"/>
      <c r="U284" s="4"/>
      <c r="V284" s="47"/>
      <c r="W284" s="4"/>
      <c r="X284" s="4"/>
      <c r="Y284" s="47"/>
      <c r="Z284" s="4"/>
      <c r="AA284" s="4"/>
    </row>
    <row r="285" spans="1:27" ht="24" customHeight="1" x14ac:dyDescent="0.3">
      <c r="A285" s="4"/>
      <c r="B285" s="4"/>
      <c r="C285" s="4"/>
      <c r="D285" s="4"/>
      <c r="E285" s="4"/>
      <c r="F285" s="4"/>
      <c r="G285" s="4"/>
      <c r="H285" s="4"/>
      <c r="I285" s="4"/>
      <c r="J285" s="4"/>
      <c r="K285" s="4"/>
      <c r="L285" s="4"/>
      <c r="M285" s="4"/>
      <c r="N285" s="4"/>
      <c r="O285" s="4"/>
      <c r="P285" s="4"/>
      <c r="Q285" s="4"/>
      <c r="R285" s="4"/>
      <c r="S285" s="47"/>
      <c r="T285" s="4"/>
      <c r="U285" s="4"/>
      <c r="V285" s="47"/>
      <c r="W285" s="4"/>
      <c r="X285" s="4"/>
      <c r="Y285" s="47"/>
      <c r="Z285" s="4"/>
      <c r="AA285" s="4"/>
    </row>
    <row r="286" spans="1:27" ht="24" customHeight="1" x14ac:dyDescent="0.3">
      <c r="A286" s="4"/>
      <c r="B286" s="4"/>
      <c r="C286" s="4"/>
      <c r="D286" s="4"/>
      <c r="E286" s="4"/>
      <c r="F286" s="4"/>
      <c r="G286" s="4"/>
      <c r="H286" s="4"/>
      <c r="I286" s="4"/>
      <c r="J286" s="4"/>
      <c r="K286" s="4"/>
      <c r="L286" s="4"/>
      <c r="M286" s="4"/>
      <c r="N286" s="4"/>
      <c r="O286" s="4"/>
      <c r="P286" s="4"/>
      <c r="Q286" s="4"/>
      <c r="R286" s="4"/>
      <c r="S286" s="47"/>
      <c r="T286" s="4"/>
      <c r="U286" s="4"/>
      <c r="V286" s="47"/>
      <c r="W286" s="4"/>
      <c r="X286" s="4"/>
      <c r="Y286" s="47"/>
      <c r="Z286" s="4"/>
      <c r="AA286" s="4"/>
    </row>
    <row r="287" spans="1:27" ht="24" customHeight="1" x14ac:dyDescent="0.3">
      <c r="A287" s="4"/>
      <c r="B287" s="4"/>
      <c r="C287" s="4"/>
      <c r="D287" s="4"/>
      <c r="E287" s="4"/>
      <c r="F287" s="4"/>
      <c r="G287" s="4"/>
      <c r="H287" s="4"/>
      <c r="I287" s="4"/>
      <c r="J287" s="4"/>
      <c r="K287" s="4"/>
      <c r="L287" s="4"/>
      <c r="M287" s="4"/>
      <c r="N287" s="4"/>
      <c r="O287" s="4"/>
      <c r="P287" s="4"/>
      <c r="Q287" s="4"/>
      <c r="R287" s="4"/>
      <c r="S287" s="47"/>
      <c r="T287" s="4"/>
      <c r="U287" s="4"/>
      <c r="V287" s="47"/>
      <c r="W287" s="4"/>
      <c r="X287" s="4"/>
      <c r="Y287" s="47"/>
      <c r="Z287" s="4"/>
      <c r="AA287" s="4"/>
    </row>
    <row r="288" spans="1:27" ht="24" customHeight="1" x14ac:dyDescent="0.3">
      <c r="A288" s="4"/>
      <c r="B288" s="4"/>
      <c r="C288" s="4"/>
      <c r="D288" s="4"/>
      <c r="E288" s="4"/>
      <c r="F288" s="4"/>
      <c r="G288" s="4"/>
      <c r="H288" s="4"/>
      <c r="I288" s="4"/>
      <c r="J288" s="4"/>
      <c r="K288" s="4"/>
      <c r="L288" s="4"/>
      <c r="M288" s="4"/>
      <c r="N288" s="4"/>
      <c r="O288" s="4"/>
      <c r="P288" s="4"/>
      <c r="Q288" s="4"/>
      <c r="R288" s="4"/>
      <c r="S288" s="47"/>
      <c r="T288" s="4"/>
      <c r="U288" s="4"/>
      <c r="V288" s="47"/>
      <c r="W288" s="4"/>
      <c r="X288" s="4"/>
      <c r="Y288" s="47"/>
      <c r="Z288" s="4"/>
      <c r="AA288" s="4"/>
    </row>
    <row r="289" spans="1:27" ht="24" customHeight="1" x14ac:dyDescent="0.3">
      <c r="A289" s="4"/>
      <c r="B289" s="4"/>
      <c r="C289" s="4"/>
      <c r="D289" s="4"/>
      <c r="E289" s="4"/>
      <c r="F289" s="4"/>
      <c r="G289" s="4"/>
      <c r="H289" s="4"/>
      <c r="I289" s="4"/>
      <c r="J289" s="4"/>
      <c r="K289" s="4"/>
      <c r="L289" s="4"/>
      <c r="M289" s="4"/>
      <c r="N289" s="4"/>
      <c r="O289" s="4"/>
      <c r="P289" s="4"/>
      <c r="Q289" s="4"/>
      <c r="R289" s="4"/>
      <c r="S289" s="47"/>
      <c r="T289" s="4"/>
      <c r="U289" s="4"/>
      <c r="V289" s="47"/>
      <c r="W289" s="4"/>
      <c r="X289" s="4"/>
      <c r="Y289" s="47"/>
      <c r="Z289" s="4"/>
      <c r="AA289" s="4"/>
    </row>
    <row r="290" spans="1:27" ht="24" customHeight="1" x14ac:dyDescent="0.3">
      <c r="A290" s="4"/>
      <c r="B290" s="4"/>
      <c r="C290" s="4"/>
      <c r="D290" s="4"/>
      <c r="E290" s="4"/>
      <c r="F290" s="4"/>
      <c r="G290" s="4"/>
      <c r="H290" s="4"/>
      <c r="I290" s="4"/>
      <c r="J290" s="4"/>
      <c r="K290" s="4"/>
      <c r="L290" s="4"/>
      <c r="M290" s="4"/>
      <c r="N290" s="4"/>
      <c r="O290" s="4"/>
      <c r="P290" s="4"/>
      <c r="Q290" s="4"/>
      <c r="R290" s="4"/>
      <c r="S290" s="47"/>
      <c r="T290" s="4"/>
      <c r="U290" s="4"/>
      <c r="V290" s="47"/>
      <c r="W290" s="4"/>
      <c r="X290" s="4"/>
      <c r="Y290" s="47"/>
      <c r="Z290" s="4"/>
      <c r="AA290" s="4"/>
    </row>
    <row r="291" spans="1:27" ht="24" customHeight="1" x14ac:dyDescent="0.3">
      <c r="A291" s="4"/>
      <c r="B291" s="4"/>
      <c r="C291" s="4"/>
      <c r="D291" s="4"/>
      <c r="E291" s="4"/>
      <c r="F291" s="4"/>
      <c r="G291" s="4"/>
      <c r="H291" s="4"/>
      <c r="I291" s="4"/>
      <c r="J291" s="4"/>
      <c r="K291" s="4"/>
      <c r="L291" s="4"/>
      <c r="M291" s="4"/>
      <c r="N291" s="4"/>
      <c r="O291" s="4"/>
      <c r="P291" s="4"/>
      <c r="Q291" s="4"/>
      <c r="R291" s="4"/>
      <c r="S291" s="47"/>
      <c r="T291" s="4"/>
      <c r="U291" s="4"/>
      <c r="V291" s="47"/>
      <c r="W291" s="4"/>
      <c r="X291" s="4"/>
      <c r="Y291" s="47"/>
      <c r="Z291" s="4"/>
      <c r="AA291" s="4"/>
    </row>
    <row r="292" spans="1:27" ht="24" customHeight="1" x14ac:dyDescent="0.3">
      <c r="A292" s="4"/>
      <c r="B292" s="4"/>
      <c r="C292" s="4"/>
      <c r="D292" s="4"/>
      <c r="E292" s="4"/>
      <c r="F292" s="4"/>
      <c r="G292" s="4"/>
      <c r="H292" s="4"/>
      <c r="I292" s="4"/>
      <c r="J292" s="4"/>
      <c r="K292" s="4"/>
      <c r="L292" s="4"/>
      <c r="M292" s="4"/>
      <c r="N292" s="4"/>
      <c r="O292" s="4"/>
      <c r="P292" s="4"/>
      <c r="Q292" s="4"/>
      <c r="R292" s="4"/>
      <c r="S292" s="47"/>
      <c r="T292" s="4"/>
      <c r="U292" s="4"/>
      <c r="V292" s="47"/>
      <c r="W292" s="4"/>
      <c r="X292" s="4"/>
      <c r="Y292" s="47"/>
      <c r="Z292" s="4"/>
      <c r="AA292" s="4"/>
    </row>
    <row r="293" spans="1:27" ht="24" customHeight="1" x14ac:dyDescent="0.3">
      <c r="A293" s="4"/>
      <c r="B293" s="4"/>
      <c r="C293" s="4"/>
      <c r="D293" s="4"/>
      <c r="E293" s="4"/>
      <c r="F293" s="4"/>
      <c r="G293" s="4"/>
      <c r="H293" s="4"/>
      <c r="I293" s="4"/>
      <c r="J293" s="4"/>
      <c r="K293" s="4"/>
      <c r="L293" s="4"/>
      <c r="M293" s="4"/>
      <c r="N293" s="4"/>
      <c r="O293" s="4"/>
      <c r="P293" s="4"/>
      <c r="Q293" s="4"/>
      <c r="R293" s="4"/>
      <c r="S293" s="47"/>
      <c r="T293" s="4"/>
      <c r="U293" s="4"/>
      <c r="V293" s="47"/>
      <c r="W293" s="4"/>
      <c r="X293" s="4"/>
      <c r="Y293" s="47"/>
      <c r="Z293" s="4"/>
      <c r="AA293" s="4"/>
    </row>
    <row r="294" spans="1:27" ht="24" customHeight="1" x14ac:dyDescent="0.3">
      <c r="A294" s="4"/>
      <c r="B294" s="4"/>
      <c r="C294" s="4"/>
      <c r="D294" s="4"/>
      <c r="E294" s="4"/>
      <c r="F294" s="4"/>
      <c r="G294" s="4"/>
      <c r="H294" s="4"/>
      <c r="I294" s="4"/>
      <c r="J294" s="4"/>
      <c r="K294" s="4"/>
      <c r="L294" s="4"/>
      <c r="M294" s="4"/>
      <c r="N294" s="4"/>
      <c r="O294" s="4"/>
      <c r="P294" s="4"/>
      <c r="Q294" s="4"/>
      <c r="R294" s="4"/>
      <c r="S294" s="47"/>
      <c r="T294" s="4"/>
      <c r="U294" s="4"/>
      <c r="V294" s="47"/>
      <c r="W294" s="4"/>
      <c r="X294" s="4"/>
      <c r="Y294" s="47"/>
      <c r="Z294" s="4"/>
      <c r="AA294" s="4"/>
    </row>
    <row r="295" spans="1:27" ht="24" customHeight="1" x14ac:dyDescent="0.3">
      <c r="A295" s="4"/>
      <c r="B295" s="4"/>
      <c r="C295" s="4"/>
      <c r="D295" s="4"/>
      <c r="E295" s="4"/>
      <c r="F295" s="4"/>
      <c r="G295" s="4"/>
      <c r="H295" s="4"/>
      <c r="I295" s="4"/>
      <c r="J295" s="4"/>
      <c r="K295" s="4"/>
      <c r="L295" s="4"/>
      <c r="M295" s="4"/>
      <c r="N295" s="4"/>
      <c r="O295" s="4"/>
      <c r="P295" s="4"/>
      <c r="Q295" s="4"/>
      <c r="R295" s="4"/>
      <c r="S295" s="47"/>
      <c r="T295" s="4"/>
      <c r="U295" s="4"/>
      <c r="V295" s="47"/>
      <c r="W295" s="4"/>
      <c r="X295" s="4"/>
      <c r="Y295" s="47"/>
      <c r="Z295" s="4"/>
      <c r="AA295" s="4"/>
    </row>
    <row r="296" spans="1:27" ht="24" customHeight="1" x14ac:dyDescent="0.3">
      <c r="A296" s="4"/>
      <c r="B296" s="4"/>
      <c r="C296" s="4"/>
      <c r="D296" s="4"/>
      <c r="E296" s="4"/>
      <c r="F296" s="4"/>
      <c r="G296" s="4"/>
      <c r="H296" s="4"/>
      <c r="I296" s="4"/>
      <c r="J296" s="4"/>
      <c r="K296" s="4"/>
      <c r="L296" s="4"/>
      <c r="M296" s="4"/>
      <c r="N296" s="4"/>
      <c r="O296" s="4"/>
      <c r="P296" s="4"/>
      <c r="Q296" s="4"/>
      <c r="R296" s="4"/>
      <c r="S296" s="47"/>
      <c r="T296" s="4"/>
      <c r="U296" s="4"/>
      <c r="V296" s="47"/>
      <c r="W296" s="4"/>
      <c r="X296" s="4"/>
      <c r="Y296" s="47"/>
      <c r="Z296" s="4"/>
      <c r="AA296" s="4"/>
    </row>
    <row r="297" spans="1:27" ht="24" customHeight="1" x14ac:dyDescent="0.3">
      <c r="A297" s="4"/>
      <c r="B297" s="4"/>
      <c r="C297" s="4"/>
      <c r="D297" s="4"/>
      <c r="E297" s="4"/>
      <c r="F297" s="4"/>
      <c r="G297" s="4"/>
      <c r="H297" s="4"/>
      <c r="I297" s="4"/>
      <c r="J297" s="4"/>
      <c r="K297" s="4"/>
      <c r="L297" s="4"/>
      <c r="M297" s="4"/>
      <c r="N297" s="4"/>
      <c r="O297" s="4"/>
      <c r="P297" s="4"/>
      <c r="Q297" s="4"/>
      <c r="R297" s="4"/>
      <c r="S297" s="47"/>
      <c r="T297" s="4"/>
      <c r="U297" s="4"/>
      <c r="V297" s="47"/>
      <c r="W297" s="4"/>
      <c r="X297" s="4"/>
      <c r="Y297" s="47"/>
      <c r="Z297" s="4"/>
      <c r="AA297" s="4"/>
    </row>
    <row r="298" spans="1:27" ht="24" customHeight="1" x14ac:dyDescent="0.3">
      <c r="A298" s="4"/>
      <c r="B298" s="4"/>
      <c r="C298" s="4"/>
      <c r="D298" s="4"/>
      <c r="E298" s="4"/>
      <c r="F298" s="4"/>
      <c r="G298" s="4"/>
      <c r="H298" s="4"/>
      <c r="I298" s="4"/>
      <c r="J298" s="4"/>
      <c r="K298" s="4"/>
      <c r="L298" s="4"/>
      <c r="M298" s="4"/>
      <c r="N298" s="4"/>
      <c r="O298" s="4"/>
      <c r="P298" s="4"/>
      <c r="Q298" s="4"/>
      <c r="R298" s="4"/>
      <c r="S298" s="47"/>
      <c r="T298" s="4"/>
      <c r="U298" s="4"/>
      <c r="V298" s="47"/>
      <c r="W298" s="4"/>
      <c r="X298" s="4"/>
      <c r="Y298" s="47"/>
      <c r="Z298" s="4"/>
      <c r="AA298" s="4"/>
    </row>
    <row r="299" spans="1:27" ht="24" customHeight="1" x14ac:dyDescent="0.3">
      <c r="A299" s="4"/>
      <c r="B299" s="4"/>
      <c r="C299" s="4"/>
      <c r="D299" s="4"/>
      <c r="E299" s="4"/>
      <c r="F299" s="4"/>
      <c r="G299" s="4"/>
      <c r="H299" s="4"/>
      <c r="I299" s="4"/>
      <c r="J299" s="4"/>
      <c r="K299" s="4"/>
      <c r="L299" s="4"/>
      <c r="M299" s="4"/>
      <c r="N299" s="4"/>
      <c r="O299" s="4"/>
      <c r="P299" s="4"/>
      <c r="Q299" s="4"/>
      <c r="R299" s="4"/>
      <c r="S299" s="47"/>
      <c r="T299" s="4"/>
      <c r="U299" s="4"/>
      <c r="V299" s="47"/>
      <c r="W299" s="4"/>
      <c r="X299" s="4"/>
      <c r="Y299" s="47"/>
      <c r="Z299" s="4"/>
      <c r="AA299" s="4"/>
    </row>
    <row r="300" spans="1:27" ht="24" customHeight="1" x14ac:dyDescent="0.3">
      <c r="A300" s="4"/>
      <c r="B300" s="4"/>
      <c r="C300" s="4"/>
      <c r="D300" s="4"/>
      <c r="E300" s="4"/>
      <c r="F300" s="4"/>
      <c r="G300" s="4"/>
      <c r="H300" s="4"/>
      <c r="I300" s="4"/>
      <c r="J300" s="4"/>
      <c r="K300" s="4"/>
      <c r="L300" s="4"/>
      <c r="M300" s="4"/>
      <c r="N300" s="4"/>
      <c r="O300" s="4"/>
      <c r="P300" s="4"/>
      <c r="Q300" s="4"/>
      <c r="R300" s="4"/>
      <c r="S300" s="47"/>
      <c r="T300" s="4"/>
      <c r="U300" s="4"/>
      <c r="V300" s="47"/>
      <c r="W300" s="4"/>
      <c r="X300" s="4"/>
      <c r="Y300" s="47"/>
      <c r="Z300" s="4"/>
      <c r="AA300" s="4"/>
    </row>
    <row r="301" spans="1:27" ht="24" customHeight="1" x14ac:dyDescent="0.3">
      <c r="A301" s="4"/>
      <c r="B301" s="4"/>
      <c r="C301" s="4"/>
      <c r="D301" s="4"/>
      <c r="E301" s="4"/>
      <c r="F301" s="4"/>
      <c r="G301" s="4"/>
      <c r="H301" s="4"/>
      <c r="I301" s="4"/>
      <c r="J301" s="4"/>
      <c r="K301" s="4"/>
      <c r="L301" s="4"/>
      <c r="M301" s="4"/>
      <c r="N301" s="4"/>
      <c r="O301" s="4"/>
      <c r="P301" s="4"/>
      <c r="Q301" s="4"/>
      <c r="R301" s="4"/>
      <c r="S301" s="47"/>
      <c r="T301" s="4"/>
      <c r="U301" s="4"/>
      <c r="V301" s="47"/>
      <c r="W301" s="4"/>
      <c r="X301" s="4"/>
      <c r="Y301" s="47"/>
      <c r="Z301" s="4"/>
      <c r="AA301" s="4"/>
    </row>
    <row r="302" spans="1:27" ht="24" customHeight="1" x14ac:dyDescent="0.3">
      <c r="A302" s="4"/>
      <c r="B302" s="4"/>
      <c r="C302" s="4"/>
      <c r="D302" s="4"/>
      <c r="E302" s="4"/>
      <c r="F302" s="4"/>
      <c r="G302" s="4"/>
      <c r="H302" s="4"/>
      <c r="I302" s="4"/>
      <c r="J302" s="4"/>
      <c r="K302" s="4"/>
      <c r="L302" s="4"/>
      <c r="M302" s="4"/>
      <c r="N302" s="4"/>
      <c r="O302" s="4"/>
      <c r="P302" s="4"/>
      <c r="Q302" s="4"/>
      <c r="R302" s="4"/>
      <c r="S302" s="47"/>
      <c r="T302" s="4"/>
      <c r="U302" s="4"/>
      <c r="V302" s="47"/>
      <c r="W302" s="4"/>
      <c r="X302" s="4"/>
      <c r="Y302" s="47"/>
      <c r="Z302" s="4"/>
      <c r="AA302" s="4"/>
    </row>
    <row r="303" spans="1:27" ht="24" customHeight="1" x14ac:dyDescent="0.3">
      <c r="A303" s="4"/>
      <c r="B303" s="4"/>
      <c r="C303" s="4"/>
      <c r="D303" s="4"/>
      <c r="E303" s="4"/>
      <c r="F303" s="4"/>
      <c r="G303" s="4"/>
      <c r="H303" s="4"/>
      <c r="I303" s="4"/>
      <c r="J303" s="4"/>
      <c r="K303" s="4"/>
      <c r="L303" s="4"/>
      <c r="M303" s="4"/>
      <c r="N303" s="4"/>
      <c r="O303" s="4"/>
      <c r="P303" s="4"/>
      <c r="Q303" s="4"/>
      <c r="R303" s="4"/>
      <c r="S303" s="47"/>
      <c r="T303" s="4"/>
      <c r="U303" s="4"/>
      <c r="V303" s="47"/>
      <c r="W303" s="4"/>
      <c r="X303" s="4"/>
      <c r="Y303" s="47"/>
      <c r="Z303" s="4"/>
      <c r="AA303" s="4"/>
    </row>
    <row r="304" spans="1:27" ht="24" customHeight="1" x14ac:dyDescent="0.3">
      <c r="A304" s="4"/>
      <c r="B304" s="4"/>
      <c r="C304" s="4"/>
      <c r="D304" s="4"/>
      <c r="E304" s="4"/>
      <c r="F304" s="4"/>
      <c r="G304" s="4"/>
      <c r="H304" s="4"/>
      <c r="I304" s="4"/>
      <c r="J304" s="4"/>
      <c r="K304" s="4"/>
      <c r="L304" s="4"/>
      <c r="M304" s="4"/>
      <c r="N304" s="4"/>
      <c r="O304" s="4"/>
      <c r="P304" s="4"/>
      <c r="Q304" s="4"/>
      <c r="R304" s="4"/>
      <c r="S304" s="47"/>
      <c r="T304" s="4"/>
      <c r="U304" s="4"/>
      <c r="V304" s="47"/>
      <c r="W304" s="4"/>
      <c r="X304" s="4"/>
      <c r="Y304" s="47"/>
      <c r="Z304" s="4"/>
      <c r="AA304" s="4"/>
    </row>
    <row r="305" spans="1:27" ht="24" customHeight="1" x14ac:dyDescent="0.3">
      <c r="A305" s="4"/>
      <c r="B305" s="4"/>
      <c r="C305" s="4"/>
      <c r="D305" s="4"/>
      <c r="E305" s="4"/>
      <c r="F305" s="4"/>
      <c r="G305" s="4"/>
      <c r="H305" s="4"/>
      <c r="I305" s="4"/>
      <c r="J305" s="4"/>
      <c r="K305" s="4"/>
      <c r="L305" s="4"/>
      <c r="M305" s="4"/>
      <c r="N305" s="4"/>
      <c r="O305" s="4"/>
      <c r="P305" s="4"/>
      <c r="Q305" s="4"/>
      <c r="R305" s="4"/>
      <c r="S305" s="47"/>
      <c r="T305" s="4"/>
      <c r="U305" s="4"/>
      <c r="V305" s="47"/>
      <c r="W305" s="4"/>
      <c r="X305" s="4"/>
      <c r="Y305" s="47"/>
      <c r="Z305" s="4"/>
      <c r="AA305" s="4"/>
    </row>
    <row r="306" spans="1:27" ht="24" customHeight="1" x14ac:dyDescent="0.3">
      <c r="A306" s="4"/>
      <c r="B306" s="4"/>
      <c r="C306" s="4"/>
      <c r="D306" s="4"/>
      <c r="E306" s="4"/>
      <c r="F306" s="4"/>
      <c r="G306" s="4"/>
      <c r="H306" s="4"/>
      <c r="I306" s="4"/>
      <c r="J306" s="4"/>
      <c r="K306" s="4"/>
      <c r="L306" s="4"/>
      <c r="M306" s="4"/>
      <c r="N306" s="4"/>
      <c r="O306" s="4"/>
      <c r="P306" s="4"/>
      <c r="Q306" s="4"/>
      <c r="R306" s="4"/>
      <c r="S306" s="47"/>
      <c r="T306" s="4"/>
      <c r="U306" s="4"/>
      <c r="V306" s="47"/>
      <c r="W306" s="4"/>
      <c r="X306" s="4"/>
      <c r="Y306" s="47"/>
      <c r="Z306" s="4"/>
      <c r="AA306" s="4"/>
    </row>
    <row r="307" spans="1:27" ht="24" customHeight="1" x14ac:dyDescent="0.3">
      <c r="A307" s="4"/>
      <c r="B307" s="4"/>
      <c r="C307" s="4"/>
      <c r="D307" s="4"/>
      <c r="E307" s="4"/>
      <c r="F307" s="4"/>
      <c r="G307" s="4"/>
      <c r="H307" s="4"/>
      <c r="I307" s="4"/>
      <c r="J307" s="4"/>
      <c r="K307" s="4"/>
      <c r="L307" s="4"/>
      <c r="M307" s="4"/>
      <c r="N307" s="4"/>
      <c r="O307" s="4"/>
      <c r="P307" s="4"/>
      <c r="Q307" s="4"/>
      <c r="R307" s="4"/>
      <c r="S307" s="47"/>
      <c r="T307" s="4"/>
      <c r="U307" s="4"/>
      <c r="V307" s="47"/>
      <c r="W307" s="4"/>
      <c r="X307" s="4"/>
      <c r="Y307" s="47"/>
      <c r="Z307" s="4"/>
      <c r="AA307" s="4"/>
    </row>
    <row r="308" spans="1:27" ht="24" customHeight="1" x14ac:dyDescent="0.3">
      <c r="A308" s="4"/>
      <c r="B308" s="4"/>
      <c r="C308" s="4"/>
      <c r="D308" s="4"/>
      <c r="E308" s="4"/>
      <c r="F308" s="4"/>
      <c r="G308" s="4"/>
      <c r="H308" s="4"/>
      <c r="I308" s="4"/>
      <c r="J308" s="4"/>
      <c r="K308" s="4"/>
      <c r="L308" s="4"/>
      <c r="M308" s="4"/>
      <c r="N308" s="4"/>
      <c r="O308" s="4"/>
      <c r="P308" s="4"/>
      <c r="Q308" s="4"/>
      <c r="R308" s="4"/>
      <c r="S308" s="47"/>
      <c r="T308" s="4"/>
      <c r="U308" s="4"/>
      <c r="V308" s="47"/>
      <c r="W308" s="4"/>
      <c r="X308" s="4"/>
      <c r="Y308" s="47"/>
      <c r="Z308" s="4"/>
      <c r="AA308" s="4"/>
    </row>
    <row r="309" spans="1:27" ht="24" customHeight="1" x14ac:dyDescent="0.3">
      <c r="A309" s="4"/>
      <c r="B309" s="4"/>
      <c r="C309" s="4"/>
      <c r="D309" s="4"/>
      <c r="E309" s="4"/>
      <c r="F309" s="4"/>
      <c r="G309" s="4"/>
      <c r="H309" s="4"/>
      <c r="I309" s="4"/>
      <c r="J309" s="4"/>
      <c r="K309" s="4"/>
      <c r="L309" s="4"/>
      <c r="M309" s="4"/>
      <c r="N309" s="4"/>
      <c r="O309" s="4"/>
      <c r="P309" s="4"/>
      <c r="Q309" s="4"/>
      <c r="R309" s="4"/>
      <c r="S309" s="47"/>
      <c r="T309" s="4"/>
      <c r="U309" s="4"/>
      <c r="V309" s="47"/>
      <c r="W309" s="4"/>
      <c r="X309" s="4"/>
      <c r="Y309" s="47"/>
      <c r="Z309" s="4"/>
      <c r="AA309" s="4"/>
    </row>
    <row r="310" spans="1:27" ht="24" customHeight="1" x14ac:dyDescent="0.3">
      <c r="A310" s="4"/>
      <c r="B310" s="4"/>
      <c r="C310" s="4"/>
      <c r="D310" s="4"/>
      <c r="E310" s="4"/>
      <c r="F310" s="4"/>
      <c r="G310" s="4"/>
      <c r="H310" s="4"/>
      <c r="I310" s="4"/>
      <c r="J310" s="4"/>
      <c r="K310" s="4"/>
      <c r="L310" s="4"/>
      <c r="M310" s="4"/>
      <c r="N310" s="4"/>
      <c r="O310" s="4"/>
      <c r="P310" s="4"/>
      <c r="Q310" s="4"/>
      <c r="R310" s="4"/>
      <c r="S310" s="47"/>
      <c r="T310" s="4"/>
      <c r="U310" s="4"/>
      <c r="V310" s="47"/>
      <c r="W310" s="4"/>
      <c r="X310" s="4"/>
      <c r="Y310" s="47"/>
      <c r="Z310" s="4"/>
      <c r="AA310" s="4"/>
    </row>
    <row r="311" spans="1:27" ht="24" customHeight="1" x14ac:dyDescent="0.3">
      <c r="A311" s="4"/>
      <c r="B311" s="4"/>
      <c r="C311" s="4"/>
      <c r="D311" s="4"/>
      <c r="E311" s="4"/>
      <c r="F311" s="4"/>
      <c r="G311" s="4"/>
      <c r="H311" s="4"/>
      <c r="I311" s="4"/>
      <c r="J311" s="4"/>
      <c r="K311" s="4"/>
      <c r="L311" s="4"/>
      <c r="M311" s="4"/>
      <c r="N311" s="4"/>
      <c r="O311" s="4"/>
      <c r="P311" s="4"/>
      <c r="Q311" s="4"/>
      <c r="R311" s="4"/>
      <c r="S311" s="47"/>
      <c r="T311" s="4"/>
      <c r="U311" s="4"/>
      <c r="V311" s="47"/>
      <c r="W311" s="4"/>
      <c r="X311" s="4"/>
      <c r="Y311" s="47"/>
      <c r="Z311" s="4"/>
      <c r="AA311" s="4"/>
    </row>
    <row r="312" spans="1:27" ht="24" customHeight="1" x14ac:dyDescent="0.3">
      <c r="A312" s="4"/>
      <c r="B312" s="4"/>
      <c r="C312" s="4"/>
      <c r="D312" s="4"/>
      <c r="E312" s="4"/>
      <c r="F312" s="4"/>
      <c r="G312" s="4"/>
      <c r="H312" s="4"/>
      <c r="I312" s="4"/>
      <c r="J312" s="4"/>
      <c r="K312" s="4"/>
      <c r="L312" s="4"/>
      <c r="M312" s="4"/>
      <c r="N312" s="4"/>
      <c r="O312" s="4"/>
      <c r="P312" s="4"/>
      <c r="Q312" s="4"/>
      <c r="R312" s="4"/>
      <c r="S312" s="47"/>
      <c r="T312" s="4"/>
      <c r="U312" s="4"/>
      <c r="V312" s="47"/>
      <c r="W312" s="4"/>
      <c r="X312" s="4"/>
      <c r="Y312" s="47"/>
      <c r="Z312" s="4"/>
      <c r="AA312" s="4"/>
    </row>
    <row r="313" spans="1:27" ht="24" customHeight="1" x14ac:dyDescent="0.3">
      <c r="A313" s="4"/>
      <c r="B313" s="4"/>
      <c r="C313" s="4"/>
      <c r="D313" s="4"/>
      <c r="E313" s="4"/>
      <c r="F313" s="4"/>
      <c r="G313" s="4"/>
      <c r="H313" s="4"/>
      <c r="I313" s="4"/>
      <c r="J313" s="4"/>
      <c r="K313" s="4"/>
      <c r="L313" s="4"/>
      <c r="M313" s="4"/>
      <c r="N313" s="4"/>
      <c r="O313" s="4"/>
      <c r="P313" s="4"/>
      <c r="Q313" s="4"/>
      <c r="R313" s="4"/>
      <c r="S313" s="47"/>
      <c r="T313" s="4"/>
      <c r="U313" s="4"/>
      <c r="V313" s="47"/>
      <c r="W313" s="4"/>
      <c r="X313" s="4"/>
      <c r="Y313" s="47"/>
      <c r="Z313" s="4"/>
      <c r="AA313" s="4"/>
    </row>
    <row r="314" spans="1:27" ht="24" customHeight="1" x14ac:dyDescent="0.3">
      <c r="A314" s="4"/>
      <c r="B314" s="4"/>
      <c r="C314" s="4"/>
      <c r="D314" s="4"/>
      <c r="E314" s="4"/>
      <c r="F314" s="4"/>
      <c r="G314" s="4"/>
      <c r="H314" s="4"/>
      <c r="I314" s="4"/>
      <c r="J314" s="4"/>
      <c r="K314" s="4"/>
      <c r="L314" s="4"/>
      <c r="M314" s="4"/>
      <c r="N314" s="4"/>
      <c r="O314" s="4"/>
      <c r="P314" s="4"/>
      <c r="Q314" s="4"/>
      <c r="R314" s="4"/>
      <c r="S314" s="47"/>
      <c r="T314" s="4"/>
      <c r="U314" s="4"/>
      <c r="V314" s="47"/>
      <c r="W314" s="4"/>
      <c r="X314" s="4"/>
      <c r="Y314" s="47"/>
      <c r="Z314" s="4"/>
      <c r="AA314" s="4"/>
    </row>
    <row r="315" spans="1:27" ht="24" customHeight="1" x14ac:dyDescent="0.3">
      <c r="A315" s="4"/>
      <c r="B315" s="4"/>
      <c r="C315" s="4"/>
      <c r="D315" s="4"/>
      <c r="E315" s="4"/>
      <c r="F315" s="4"/>
      <c r="G315" s="4"/>
      <c r="H315" s="4"/>
      <c r="I315" s="4"/>
      <c r="J315" s="4"/>
      <c r="K315" s="4"/>
      <c r="L315" s="4"/>
      <c r="M315" s="4"/>
      <c r="N315" s="4"/>
      <c r="O315" s="4"/>
      <c r="P315" s="4"/>
      <c r="Q315" s="4"/>
      <c r="R315" s="4"/>
      <c r="S315" s="47"/>
      <c r="T315" s="4"/>
      <c r="U315" s="4"/>
      <c r="V315" s="47"/>
      <c r="W315" s="4"/>
      <c r="X315" s="4"/>
      <c r="Y315" s="47"/>
      <c r="Z315" s="4"/>
      <c r="AA315" s="4"/>
    </row>
    <row r="316" spans="1:27" ht="24" customHeight="1" x14ac:dyDescent="0.3">
      <c r="A316" s="4"/>
      <c r="B316" s="4"/>
      <c r="C316" s="4"/>
      <c r="D316" s="4"/>
      <c r="E316" s="4"/>
      <c r="F316" s="4"/>
      <c r="G316" s="4"/>
      <c r="H316" s="4"/>
      <c r="I316" s="4"/>
      <c r="J316" s="4"/>
      <c r="K316" s="4"/>
      <c r="L316" s="4"/>
      <c r="M316" s="4"/>
      <c r="N316" s="4"/>
      <c r="O316" s="4"/>
      <c r="P316" s="4"/>
      <c r="Q316" s="4"/>
      <c r="R316" s="4"/>
      <c r="S316" s="47"/>
      <c r="T316" s="4"/>
      <c r="U316" s="4"/>
      <c r="V316" s="47"/>
      <c r="W316" s="4"/>
      <c r="X316" s="4"/>
      <c r="Y316" s="47"/>
      <c r="Z316" s="4"/>
      <c r="AA316" s="4"/>
    </row>
    <row r="317" spans="1:27" ht="24" customHeight="1" x14ac:dyDescent="0.3">
      <c r="A317" s="4"/>
      <c r="B317" s="4"/>
      <c r="C317" s="4"/>
      <c r="D317" s="4"/>
      <c r="E317" s="4"/>
      <c r="F317" s="4"/>
      <c r="G317" s="4"/>
      <c r="H317" s="4"/>
      <c r="I317" s="4"/>
      <c r="J317" s="4"/>
      <c r="K317" s="4"/>
      <c r="L317" s="4"/>
      <c r="M317" s="4"/>
      <c r="N317" s="4"/>
      <c r="O317" s="4"/>
      <c r="P317" s="4"/>
      <c r="Q317" s="4"/>
      <c r="R317" s="4"/>
      <c r="S317" s="47"/>
      <c r="T317" s="4"/>
      <c r="U317" s="4"/>
      <c r="V317" s="47"/>
      <c r="W317" s="4"/>
      <c r="X317" s="4"/>
      <c r="Y317" s="47"/>
      <c r="Z317" s="4"/>
      <c r="AA317" s="4"/>
    </row>
    <row r="318" spans="1:27" ht="24" customHeight="1" x14ac:dyDescent="0.3">
      <c r="A318" s="4"/>
      <c r="B318" s="4"/>
      <c r="C318" s="4"/>
      <c r="D318" s="4"/>
      <c r="E318" s="4"/>
      <c r="F318" s="4"/>
      <c r="G318" s="4"/>
      <c r="H318" s="4"/>
      <c r="I318" s="4"/>
      <c r="J318" s="4"/>
      <c r="K318" s="4"/>
      <c r="L318" s="4"/>
      <c r="M318" s="4"/>
      <c r="N318" s="4"/>
      <c r="O318" s="4"/>
      <c r="P318" s="4"/>
      <c r="Q318" s="4"/>
      <c r="R318" s="4"/>
      <c r="S318" s="47"/>
      <c r="T318" s="4"/>
      <c r="U318" s="4"/>
      <c r="V318" s="47"/>
      <c r="W318" s="4"/>
      <c r="X318" s="4"/>
      <c r="Y318" s="47"/>
      <c r="Z318" s="4"/>
      <c r="AA318" s="4"/>
    </row>
    <row r="319" spans="1:27" ht="24" customHeight="1" x14ac:dyDescent="0.3">
      <c r="A319" s="4"/>
      <c r="B319" s="4"/>
      <c r="C319" s="4"/>
      <c r="D319" s="4"/>
      <c r="E319" s="4"/>
      <c r="F319" s="4"/>
      <c r="G319" s="4"/>
      <c r="H319" s="4"/>
      <c r="I319" s="4"/>
      <c r="J319" s="4"/>
      <c r="K319" s="4"/>
      <c r="L319" s="4"/>
      <c r="M319" s="4"/>
      <c r="N319" s="4"/>
      <c r="O319" s="4"/>
      <c r="P319" s="4"/>
      <c r="Q319" s="4"/>
      <c r="R319" s="4"/>
      <c r="S319" s="47"/>
      <c r="T319" s="4"/>
      <c r="U319" s="4"/>
      <c r="V319" s="47"/>
      <c r="W319" s="4"/>
      <c r="X319" s="4"/>
      <c r="Y319" s="47"/>
      <c r="Z319" s="4"/>
      <c r="AA319" s="4"/>
    </row>
    <row r="320" spans="1:27" ht="24" customHeight="1" x14ac:dyDescent="0.3">
      <c r="A320" s="4"/>
      <c r="B320" s="4"/>
      <c r="C320" s="4"/>
      <c r="D320" s="4"/>
      <c r="E320" s="4"/>
      <c r="F320" s="4"/>
      <c r="G320" s="4"/>
      <c r="H320" s="4"/>
      <c r="I320" s="4"/>
      <c r="J320" s="4"/>
      <c r="K320" s="4"/>
      <c r="L320" s="4"/>
      <c r="M320" s="4"/>
      <c r="N320" s="4"/>
      <c r="O320" s="4"/>
      <c r="P320" s="4"/>
      <c r="Q320" s="4"/>
      <c r="R320" s="4"/>
      <c r="S320" s="47"/>
      <c r="T320" s="4"/>
      <c r="U320" s="4"/>
      <c r="V320" s="47"/>
      <c r="W320" s="4"/>
      <c r="X320" s="4"/>
      <c r="Y320" s="47"/>
      <c r="Z320" s="4"/>
      <c r="AA320" s="4"/>
    </row>
    <row r="321" spans="1:27" ht="24" customHeight="1" x14ac:dyDescent="0.3">
      <c r="A321" s="4"/>
      <c r="B321" s="4"/>
      <c r="C321" s="4"/>
      <c r="D321" s="4"/>
      <c r="E321" s="4"/>
      <c r="F321" s="4"/>
      <c r="G321" s="4"/>
      <c r="H321" s="4"/>
      <c r="I321" s="4"/>
      <c r="J321" s="4"/>
      <c r="K321" s="4"/>
      <c r="L321" s="4"/>
      <c r="M321" s="4"/>
      <c r="N321" s="4"/>
      <c r="O321" s="4"/>
      <c r="P321" s="4"/>
      <c r="Q321" s="4"/>
      <c r="R321" s="4"/>
      <c r="S321" s="47"/>
      <c r="T321" s="4"/>
      <c r="U321" s="4"/>
      <c r="V321" s="47"/>
      <c r="W321" s="4"/>
      <c r="X321" s="4"/>
      <c r="Y321" s="47"/>
      <c r="Z321" s="4"/>
      <c r="AA321" s="4"/>
    </row>
    <row r="322" spans="1:27" ht="24" customHeight="1" x14ac:dyDescent="0.3">
      <c r="A322" s="4"/>
      <c r="B322" s="4"/>
      <c r="C322" s="4"/>
      <c r="D322" s="4"/>
      <c r="E322" s="4"/>
      <c r="F322" s="4"/>
      <c r="G322" s="4"/>
      <c r="H322" s="4"/>
      <c r="I322" s="4"/>
      <c r="J322" s="4"/>
      <c r="K322" s="4"/>
      <c r="L322" s="4"/>
      <c r="M322" s="4"/>
      <c r="N322" s="4"/>
      <c r="O322" s="4"/>
      <c r="P322" s="4"/>
      <c r="Q322" s="4"/>
      <c r="R322" s="4"/>
      <c r="S322" s="47"/>
      <c r="T322" s="4"/>
      <c r="U322" s="4"/>
      <c r="V322" s="47"/>
      <c r="W322" s="4"/>
      <c r="X322" s="4"/>
      <c r="Y322" s="47"/>
      <c r="Z322" s="4"/>
      <c r="AA322" s="4"/>
    </row>
    <row r="323" spans="1:27" ht="24" customHeight="1" x14ac:dyDescent="0.3">
      <c r="A323" s="4"/>
      <c r="B323" s="4"/>
      <c r="C323" s="4"/>
      <c r="D323" s="4"/>
      <c r="E323" s="4"/>
      <c r="F323" s="4"/>
      <c r="G323" s="4"/>
      <c r="H323" s="4"/>
      <c r="I323" s="4"/>
      <c r="J323" s="4"/>
      <c r="K323" s="4"/>
      <c r="L323" s="4"/>
      <c r="M323" s="4"/>
      <c r="N323" s="4"/>
      <c r="O323" s="4"/>
      <c r="P323" s="4"/>
      <c r="Q323" s="4"/>
      <c r="R323" s="4"/>
      <c r="S323" s="47"/>
      <c r="T323" s="4"/>
      <c r="U323" s="4"/>
      <c r="V323" s="47"/>
      <c r="W323" s="4"/>
      <c r="X323" s="4"/>
      <c r="Y323" s="47"/>
      <c r="Z323" s="4"/>
      <c r="AA323" s="4"/>
    </row>
    <row r="324" spans="1:27" ht="24" customHeight="1" x14ac:dyDescent="0.3">
      <c r="A324" s="4"/>
      <c r="B324" s="4"/>
      <c r="C324" s="4"/>
      <c r="D324" s="4"/>
      <c r="E324" s="4"/>
      <c r="F324" s="4"/>
      <c r="G324" s="4"/>
      <c r="H324" s="4"/>
      <c r="I324" s="4"/>
      <c r="J324" s="4"/>
      <c r="K324" s="4"/>
      <c r="L324" s="4"/>
      <c r="M324" s="4"/>
      <c r="N324" s="4"/>
      <c r="O324" s="4"/>
      <c r="P324" s="4"/>
      <c r="Q324" s="4"/>
      <c r="R324" s="4"/>
      <c r="S324" s="47"/>
      <c r="T324" s="4"/>
      <c r="U324" s="4"/>
      <c r="V324" s="47"/>
      <c r="W324" s="4"/>
      <c r="X324" s="4"/>
      <c r="Y324" s="47"/>
      <c r="Z324" s="4"/>
      <c r="AA324" s="4"/>
    </row>
    <row r="325" spans="1:27" ht="24" customHeight="1" x14ac:dyDescent="0.3">
      <c r="A325" s="4"/>
      <c r="B325" s="4"/>
      <c r="C325" s="4"/>
      <c r="D325" s="4"/>
      <c r="E325" s="4"/>
      <c r="F325" s="4"/>
      <c r="G325" s="4"/>
      <c r="H325" s="4"/>
      <c r="I325" s="4"/>
      <c r="J325" s="4"/>
      <c r="K325" s="4"/>
      <c r="L325" s="4"/>
      <c r="M325" s="4"/>
      <c r="N325" s="4"/>
      <c r="O325" s="4"/>
      <c r="P325" s="4"/>
      <c r="Q325" s="4"/>
      <c r="R325" s="4"/>
      <c r="S325" s="47"/>
      <c r="T325" s="4"/>
      <c r="U325" s="4"/>
      <c r="V325" s="47"/>
      <c r="W325" s="4"/>
      <c r="X325" s="4"/>
      <c r="Y325" s="47"/>
      <c r="Z325" s="4"/>
      <c r="AA325" s="4"/>
    </row>
    <row r="326" spans="1:27" ht="24" customHeight="1" x14ac:dyDescent="0.3">
      <c r="A326" s="4"/>
      <c r="B326" s="4"/>
      <c r="C326" s="4"/>
      <c r="D326" s="4"/>
      <c r="E326" s="4"/>
      <c r="F326" s="4"/>
      <c r="G326" s="4"/>
      <c r="H326" s="4"/>
      <c r="I326" s="4"/>
      <c r="J326" s="4"/>
      <c r="K326" s="4"/>
      <c r="L326" s="4"/>
      <c r="M326" s="4"/>
      <c r="N326" s="4"/>
      <c r="O326" s="4"/>
      <c r="P326" s="4"/>
      <c r="Q326" s="4"/>
      <c r="R326" s="4"/>
      <c r="S326" s="47"/>
      <c r="T326" s="4"/>
      <c r="U326" s="4"/>
      <c r="V326" s="47"/>
      <c r="W326" s="4"/>
      <c r="X326" s="4"/>
      <c r="Y326" s="47"/>
      <c r="Z326" s="4"/>
      <c r="AA326" s="4"/>
    </row>
    <row r="327" spans="1:27" ht="24" customHeight="1" x14ac:dyDescent="0.3">
      <c r="A327" s="4"/>
      <c r="B327" s="4"/>
      <c r="C327" s="4"/>
      <c r="D327" s="4"/>
      <c r="E327" s="4"/>
      <c r="F327" s="4"/>
      <c r="G327" s="4"/>
      <c r="H327" s="4"/>
      <c r="I327" s="4"/>
      <c r="J327" s="4"/>
      <c r="K327" s="4"/>
      <c r="L327" s="4"/>
      <c r="M327" s="4"/>
      <c r="N327" s="4"/>
      <c r="O327" s="4"/>
      <c r="P327" s="4"/>
      <c r="Q327" s="4"/>
      <c r="R327" s="4"/>
      <c r="S327" s="47"/>
      <c r="T327" s="4"/>
      <c r="U327" s="4"/>
      <c r="V327" s="47"/>
      <c r="W327" s="4"/>
      <c r="X327" s="4"/>
      <c r="Y327" s="47"/>
      <c r="Z327" s="4"/>
      <c r="AA327" s="4"/>
    </row>
    <row r="328" spans="1:27" ht="24" customHeight="1" x14ac:dyDescent="0.3">
      <c r="A328" s="4"/>
      <c r="B328" s="4"/>
      <c r="C328" s="4"/>
      <c r="D328" s="4"/>
      <c r="E328" s="4"/>
      <c r="F328" s="4"/>
      <c r="G328" s="4"/>
      <c r="H328" s="4"/>
      <c r="I328" s="4"/>
      <c r="J328" s="4"/>
      <c r="K328" s="4"/>
      <c r="L328" s="4"/>
      <c r="M328" s="4"/>
      <c r="N328" s="4"/>
      <c r="O328" s="4"/>
      <c r="P328" s="4"/>
      <c r="Q328" s="4"/>
      <c r="R328" s="4"/>
      <c r="S328" s="47"/>
      <c r="T328" s="4"/>
      <c r="U328" s="4"/>
      <c r="V328" s="47"/>
      <c r="W328" s="4"/>
      <c r="X328" s="4"/>
      <c r="Y328" s="47"/>
      <c r="Z328" s="4"/>
      <c r="AA328" s="4"/>
    </row>
    <row r="329" spans="1:27" ht="24" customHeight="1" x14ac:dyDescent="0.3">
      <c r="A329" s="4"/>
      <c r="B329" s="4"/>
      <c r="C329" s="4"/>
      <c r="D329" s="4"/>
      <c r="E329" s="4"/>
      <c r="F329" s="4"/>
      <c r="G329" s="4"/>
      <c r="H329" s="4"/>
      <c r="I329" s="4"/>
      <c r="J329" s="4"/>
      <c r="K329" s="4"/>
      <c r="L329" s="4"/>
      <c r="M329" s="4"/>
      <c r="N329" s="4"/>
      <c r="O329" s="4"/>
      <c r="P329" s="4"/>
      <c r="Q329" s="4"/>
      <c r="R329" s="4"/>
      <c r="S329" s="47"/>
      <c r="T329" s="4"/>
      <c r="U329" s="4"/>
      <c r="V329" s="47"/>
      <c r="W329" s="4"/>
      <c r="X329" s="4"/>
      <c r="Y329" s="47"/>
      <c r="Z329" s="4"/>
      <c r="AA329" s="4"/>
    </row>
    <row r="330" spans="1:27" ht="24" customHeight="1" x14ac:dyDescent="0.3">
      <c r="A330" s="4"/>
      <c r="B330" s="4"/>
      <c r="C330" s="4"/>
      <c r="D330" s="4"/>
      <c r="E330" s="4"/>
      <c r="F330" s="4"/>
      <c r="G330" s="4"/>
      <c r="H330" s="4"/>
      <c r="I330" s="4"/>
      <c r="J330" s="4"/>
      <c r="K330" s="4"/>
      <c r="L330" s="4"/>
      <c r="M330" s="4"/>
      <c r="N330" s="4"/>
      <c r="O330" s="4"/>
      <c r="P330" s="4"/>
      <c r="Q330" s="4"/>
      <c r="R330" s="4"/>
      <c r="S330" s="47"/>
      <c r="T330" s="4"/>
      <c r="U330" s="4"/>
      <c r="V330" s="47"/>
      <c r="W330" s="4"/>
      <c r="X330" s="4"/>
      <c r="Y330" s="47"/>
      <c r="Z330" s="4"/>
      <c r="AA330" s="4"/>
    </row>
    <row r="331" spans="1:27" ht="24" customHeight="1" x14ac:dyDescent="0.3">
      <c r="A331" s="4"/>
      <c r="B331" s="4"/>
      <c r="C331" s="4"/>
      <c r="D331" s="4"/>
      <c r="E331" s="4"/>
      <c r="F331" s="4"/>
      <c r="G331" s="4"/>
      <c r="H331" s="4"/>
      <c r="I331" s="4"/>
      <c r="J331" s="4"/>
      <c r="K331" s="4"/>
      <c r="L331" s="4"/>
      <c r="M331" s="4"/>
      <c r="N331" s="4"/>
      <c r="O331" s="4"/>
      <c r="P331" s="4"/>
      <c r="Q331" s="4"/>
      <c r="R331" s="4"/>
      <c r="S331" s="47"/>
      <c r="T331" s="4"/>
      <c r="U331" s="4"/>
      <c r="V331" s="47"/>
      <c r="W331" s="4"/>
      <c r="X331" s="4"/>
      <c r="Y331" s="47"/>
      <c r="Z331" s="4"/>
      <c r="AA331" s="4"/>
    </row>
    <row r="332" spans="1:27" ht="24" customHeight="1" x14ac:dyDescent="0.3">
      <c r="A332" s="4"/>
      <c r="B332" s="4"/>
      <c r="C332" s="4"/>
      <c r="D332" s="4"/>
      <c r="E332" s="4"/>
      <c r="F332" s="4"/>
      <c r="G332" s="4"/>
      <c r="H332" s="4"/>
      <c r="I332" s="4"/>
      <c r="J332" s="4"/>
      <c r="K332" s="4"/>
      <c r="L332" s="4"/>
      <c r="M332" s="4"/>
      <c r="N332" s="4"/>
      <c r="O332" s="4"/>
      <c r="P332" s="4"/>
      <c r="Q332" s="4"/>
      <c r="R332" s="4"/>
      <c r="S332" s="47"/>
      <c r="T332" s="4"/>
      <c r="U332" s="4"/>
      <c r="V332" s="47"/>
      <c r="W332" s="4"/>
      <c r="X332" s="4"/>
      <c r="Y332" s="47"/>
      <c r="Z332" s="4"/>
      <c r="AA332" s="4"/>
    </row>
    <row r="333" spans="1:27" ht="24" customHeight="1" x14ac:dyDescent="0.3">
      <c r="A333" s="4"/>
      <c r="B333" s="4"/>
      <c r="C333" s="4"/>
      <c r="D333" s="4"/>
      <c r="E333" s="4"/>
      <c r="F333" s="4"/>
      <c r="G333" s="4"/>
      <c r="H333" s="4"/>
      <c r="I333" s="4"/>
      <c r="J333" s="4"/>
      <c r="K333" s="4"/>
      <c r="L333" s="4"/>
      <c r="M333" s="4"/>
      <c r="N333" s="4"/>
      <c r="O333" s="4"/>
      <c r="P333" s="4"/>
      <c r="Q333" s="4"/>
      <c r="R333" s="4"/>
      <c r="S333" s="47"/>
      <c r="T333" s="4"/>
      <c r="U333" s="4"/>
      <c r="V333" s="47"/>
      <c r="W333" s="4"/>
      <c r="X333" s="4"/>
      <c r="Y333" s="47"/>
      <c r="Z333" s="4"/>
      <c r="AA333" s="4"/>
    </row>
    <row r="334" spans="1:27" ht="24" customHeight="1" x14ac:dyDescent="0.3">
      <c r="A334" s="4"/>
      <c r="B334" s="4"/>
      <c r="C334" s="4"/>
      <c r="D334" s="4"/>
      <c r="E334" s="4"/>
      <c r="F334" s="4"/>
      <c r="G334" s="4"/>
      <c r="H334" s="4"/>
      <c r="I334" s="4"/>
      <c r="J334" s="4"/>
      <c r="K334" s="4"/>
      <c r="L334" s="4"/>
      <c r="M334" s="4"/>
      <c r="N334" s="4"/>
      <c r="O334" s="4"/>
      <c r="P334" s="4"/>
      <c r="Q334" s="4"/>
      <c r="R334" s="4"/>
      <c r="S334" s="47"/>
      <c r="T334" s="4"/>
      <c r="U334" s="4"/>
      <c r="V334" s="47"/>
      <c r="W334" s="4"/>
      <c r="X334" s="4"/>
      <c r="Y334" s="47"/>
      <c r="Z334" s="4"/>
      <c r="AA334" s="4"/>
    </row>
    <row r="335" spans="1:27" ht="24" customHeight="1" x14ac:dyDescent="0.3">
      <c r="A335" s="4"/>
      <c r="B335" s="4"/>
      <c r="C335" s="4"/>
      <c r="D335" s="4"/>
      <c r="E335" s="4"/>
      <c r="F335" s="4"/>
      <c r="G335" s="4"/>
      <c r="H335" s="4"/>
      <c r="I335" s="4"/>
      <c r="J335" s="4"/>
      <c r="K335" s="4"/>
      <c r="L335" s="4"/>
      <c r="M335" s="4"/>
      <c r="N335" s="4"/>
      <c r="O335" s="4"/>
      <c r="P335" s="4"/>
      <c r="Q335" s="4"/>
      <c r="R335" s="4"/>
      <c r="S335" s="47"/>
      <c r="T335" s="4"/>
      <c r="U335" s="4"/>
      <c r="V335" s="47"/>
      <c r="W335" s="4"/>
      <c r="X335" s="4"/>
      <c r="Y335" s="47"/>
      <c r="Z335" s="4"/>
      <c r="AA335" s="4"/>
    </row>
    <row r="336" spans="1:27" ht="24" customHeight="1" x14ac:dyDescent="0.3">
      <c r="A336" s="4"/>
      <c r="B336" s="4"/>
      <c r="C336" s="4"/>
      <c r="D336" s="4"/>
      <c r="E336" s="4"/>
      <c r="F336" s="4"/>
      <c r="G336" s="4"/>
      <c r="H336" s="4"/>
      <c r="I336" s="4"/>
      <c r="J336" s="4"/>
      <c r="K336" s="4"/>
      <c r="L336" s="4"/>
      <c r="M336" s="4"/>
      <c r="N336" s="4"/>
      <c r="O336" s="4"/>
      <c r="P336" s="4"/>
      <c r="Q336" s="4"/>
      <c r="R336" s="4"/>
      <c r="S336" s="47"/>
      <c r="T336" s="4"/>
      <c r="U336" s="4"/>
      <c r="V336" s="47"/>
      <c r="W336" s="4"/>
      <c r="X336" s="4"/>
      <c r="Y336" s="47"/>
      <c r="Z336" s="4"/>
      <c r="AA336" s="4"/>
    </row>
    <row r="337" spans="1:27" ht="24" customHeight="1" x14ac:dyDescent="0.3">
      <c r="A337" s="4"/>
      <c r="B337" s="4"/>
      <c r="C337" s="4"/>
      <c r="D337" s="4"/>
      <c r="E337" s="4"/>
      <c r="F337" s="4"/>
      <c r="G337" s="4"/>
      <c r="H337" s="4"/>
      <c r="I337" s="4"/>
      <c r="J337" s="4"/>
      <c r="K337" s="4"/>
      <c r="L337" s="4"/>
      <c r="M337" s="4"/>
      <c r="N337" s="4"/>
      <c r="O337" s="4"/>
      <c r="P337" s="4"/>
      <c r="Q337" s="4"/>
      <c r="R337" s="4"/>
      <c r="S337" s="47"/>
      <c r="T337" s="4"/>
      <c r="U337" s="4"/>
      <c r="V337" s="47"/>
      <c r="W337" s="4"/>
      <c r="X337" s="4"/>
      <c r="Y337" s="47"/>
      <c r="Z337" s="4"/>
      <c r="AA337" s="4"/>
    </row>
    <row r="338" spans="1:27" ht="24" customHeight="1" x14ac:dyDescent="0.3">
      <c r="A338" s="4"/>
      <c r="B338" s="4"/>
      <c r="C338" s="4"/>
      <c r="D338" s="4"/>
      <c r="E338" s="4"/>
      <c r="F338" s="4"/>
      <c r="G338" s="4"/>
      <c r="H338" s="4"/>
      <c r="I338" s="4"/>
      <c r="J338" s="4"/>
      <c r="K338" s="4"/>
      <c r="L338" s="4"/>
      <c r="M338" s="4"/>
      <c r="N338" s="4"/>
      <c r="O338" s="4"/>
      <c r="P338" s="4"/>
      <c r="Q338" s="4"/>
      <c r="R338" s="4"/>
      <c r="S338" s="47"/>
      <c r="T338" s="4"/>
      <c r="U338" s="4"/>
      <c r="V338" s="47"/>
      <c r="W338" s="4"/>
      <c r="X338" s="4"/>
      <c r="Y338" s="47"/>
      <c r="Z338" s="4"/>
      <c r="AA338" s="4"/>
    </row>
    <row r="339" spans="1:27" ht="24" customHeight="1" x14ac:dyDescent="0.3">
      <c r="A339" s="4"/>
      <c r="B339" s="4"/>
      <c r="C339" s="4"/>
      <c r="D339" s="4"/>
      <c r="E339" s="4"/>
      <c r="F339" s="4"/>
      <c r="G339" s="4"/>
      <c r="H339" s="4"/>
      <c r="I339" s="4"/>
      <c r="J339" s="4"/>
      <c r="K339" s="4"/>
      <c r="L339" s="4"/>
      <c r="M339" s="4"/>
      <c r="N339" s="4"/>
      <c r="O339" s="4"/>
      <c r="P339" s="4"/>
      <c r="Q339" s="4"/>
      <c r="R339" s="4"/>
      <c r="S339" s="47"/>
      <c r="T339" s="4"/>
      <c r="U339" s="4"/>
      <c r="V339" s="47"/>
      <c r="W339" s="4"/>
      <c r="X339" s="4"/>
      <c r="Y339" s="47"/>
      <c r="Z339" s="4"/>
      <c r="AA339" s="4"/>
    </row>
    <row r="340" spans="1:27" ht="24" customHeight="1" x14ac:dyDescent="0.3">
      <c r="A340" s="4"/>
      <c r="B340" s="4"/>
      <c r="C340" s="4"/>
      <c r="D340" s="4"/>
      <c r="E340" s="4"/>
      <c r="F340" s="4"/>
      <c r="G340" s="4"/>
      <c r="H340" s="4"/>
      <c r="I340" s="4"/>
      <c r="J340" s="4"/>
      <c r="K340" s="4"/>
      <c r="L340" s="4"/>
      <c r="M340" s="4"/>
      <c r="N340" s="4"/>
      <c r="O340" s="4"/>
      <c r="P340" s="4"/>
      <c r="Q340" s="4"/>
      <c r="R340" s="4"/>
      <c r="S340" s="47"/>
      <c r="T340" s="4"/>
      <c r="U340" s="4"/>
      <c r="V340" s="47"/>
      <c r="W340" s="4"/>
      <c r="X340" s="4"/>
      <c r="Y340" s="47"/>
      <c r="Z340" s="4"/>
      <c r="AA340" s="4"/>
    </row>
    <row r="341" spans="1:27" ht="24" customHeight="1" x14ac:dyDescent="0.3">
      <c r="A341" s="4"/>
      <c r="B341" s="4"/>
      <c r="C341" s="4"/>
      <c r="D341" s="4"/>
      <c r="E341" s="4"/>
      <c r="F341" s="4"/>
      <c r="G341" s="4"/>
      <c r="H341" s="4"/>
      <c r="I341" s="4"/>
      <c r="J341" s="4"/>
      <c r="K341" s="4"/>
      <c r="L341" s="4"/>
      <c r="M341" s="4"/>
      <c r="N341" s="4"/>
      <c r="O341" s="4"/>
      <c r="P341" s="4"/>
      <c r="Q341" s="4"/>
      <c r="R341" s="4"/>
      <c r="S341" s="47"/>
      <c r="T341" s="4"/>
      <c r="U341" s="4"/>
      <c r="V341" s="47"/>
      <c r="W341" s="4"/>
      <c r="X341" s="4"/>
      <c r="Y341" s="47"/>
      <c r="Z341" s="4"/>
      <c r="AA341" s="4"/>
    </row>
    <row r="342" spans="1:27" ht="24" customHeight="1" x14ac:dyDescent="0.3">
      <c r="A342" s="4"/>
      <c r="B342" s="4"/>
      <c r="C342" s="4"/>
      <c r="D342" s="4"/>
      <c r="E342" s="4"/>
      <c r="F342" s="4"/>
      <c r="G342" s="4"/>
      <c r="H342" s="4"/>
      <c r="I342" s="4"/>
      <c r="J342" s="4"/>
      <c r="K342" s="4"/>
      <c r="L342" s="4"/>
      <c r="M342" s="4"/>
      <c r="N342" s="4"/>
      <c r="O342" s="4"/>
      <c r="P342" s="4"/>
      <c r="Q342" s="4"/>
      <c r="R342" s="4"/>
      <c r="S342" s="47"/>
      <c r="T342" s="4"/>
      <c r="U342" s="4"/>
      <c r="V342" s="47"/>
      <c r="W342" s="4"/>
      <c r="X342" s="4"/>
      <c r="Y342" s="47"/>
      <c r="Z342" s="4"/>
      <c r="AA342" s="4"/>
    </row>
    <row r="343" spans="1:27" ht="24" customHeight="1" x14ac:dyDescent="0.3">
      <c r="A343" s="4"/>
      <c r="B343" s="4"/>
      <c r="C343" s="4"/>
      <c r="D343" s="4"/>
      <c r="E343" s="4"/>
      <c r="F343" s="4"/>
      <c r="G343" s="4"/>
      <c r="H343" s="4"/>
      <c r="I343" s="4"/>
      <c r="J343" s="4"/>
      <c r="K343" s="4"/>
      <c r="L343" s="4"/>
      <c r="M343" s="4"/>
      <c r="N343" s="4"/>
      <c r="O343" s="4"/>
      <c r="P343" s="4"/>
      <c r="Q343" s="4"/>
      <c r="R343" s="4"/>
      <c r="S343" s="47"/>
      <c r="T343" s="4"/>
      <c r="U343" s="4"/>
      <c r="V343" s="47"/>
      <c r="W343" s="4"/>
      <c r="X343" s="4"/>
      <c r="Y343" s="47"/>
      <c r="Z343" s="4"/>
      <c r="AA343" s="4"/>
    </row>
    <row r="344" spans="1:27" ht="24" customHeight="1" x14ac:dyDescent="0.3">
      <c r="A344" s="4"/>
      <c r="B344" s="4"/>
      <c r="C344" s="4"/>
      <c r="D344" s="4"/>
      <c r="E344" s="4"/>
      <c r="F344" s="4"/>
      <c r="G344" s="4"/>
      <c r="H344" s="4"/>
      <c r="I344" s="4"/>
      <c r="J344" s="4"/>
      <c r="K344" s="4"/>
      <c r="L344" s="4"/>
      <c r="M344" s="4"/>
      <c r="N344" s="4"/>
      <c r="O344" s="4"/>
      <c r="P344" s="4"/>
      <c r="Q344" s="4"/>
      <c r="R344" s="4"/>
      <c r="S344" s="47"/>
      <c r="T344" s="4"/>
      <c r="U344" s="4"/>
      <c r="V344" s="47"/>
      <c r="W344" s="4"/>
      <c r="X344" s="4"/>
      <c r="Y344" s="47"/>
      <c r="Z344" s="4"/>
      <c r="AA344" s="4"/>
    </row>
    <row r="345" spans="1:27" ht="24" customHeight="1" x14ac:dyDescent="0.3">
      <c r="A345" s="4"/>
      <c r="B345" s="4"/>
      <c r="C345" s="4"/>
      <c r="D345" s="4"/>
      <c r="E345" s="4"/>
      <c r="F345" s="4"/>
      <c r="G345" s="4"/>
      <c r="H345" s="4"/>
      <c r="I345" s="4"/>
      <c r="J345" s="4"/>
      <c r="K345" s="4"/>
      <c r="L345" s="4"/>
      <c r="M345" s="4"/>
      <c r="N345" s="4"/>
      <c r="O345" s="4"/>
      <c r="P345" s="4"/>
      <c r="Q345" s="4"/>
      <c r="R345" s="4"/>
      <c r="S345" s="47"/>
      <c r="T345" s="4"/>
      <c r="U345" s="4"/>
      <c r="V345" s="47"/>
      <c r="W345" s="4"/>
      <c r="X345" s="4"/>
      <c r="Y345" s="47"/>
      <c r="Z345" s="4"/>
      <c r="AA345" s="4"/>
    </row>
    <row r="346" spans="1:27" ht="24" customHeight="1" x14ac:dyDescent="0.3">
      <c r="A346" s="4"/>
      <c r="B346" s="4"/>
      <c r="C346" s="4"/>
      <c r="D346" s="4"/>
      <c r="E346" s="4"/>
      <c r="F346" s="4"/>
      <c r="G346" s="4"/>
      <c r="H346" s="4"/>
      <c r="I346" s="4"/>
      <c r="J346" s="4"/>
      <c r="K346" s="4"/>
      <c r="L346" s="4"/>
      <c r="M346" s="4"/>
      <c r="N346" s="4"/>
      <c r="O346" s="4"/>
      <c r="P346" s="4"/>
      <c r="Q346" s="4"/>
      <c r="R346" s="4"/>
      <c r="S346" s="47"/>
      <c r="T346" s="4"/>
      <c r="U346" s="4"/>
      <c r="V346" s="47"/>
      <c r="W346" s="4"/>
      <c r="X346" s="4"/>
      <c r="Y346" s="47"/>
      <c r="Z346" s="4"/>
      <c r="AA346" s="4"/>
    </row>
    <row r="347" spans="1:27" ht="24" customHeight="1" x14ac:dyDescent="0.3">
      <c r="A347" s="4"/>
      <c r="B347" s="4"/>
      <c r="C347" s="4"/>
      <c r="D347" s="4"/>
      <c r="E347" s="4"/>
      <c r="F347" s="4"/>
      <c r="G347" s="4"/>
      <c r="H347" s="4"/>
      <c r="I347" s="4"/>
      <c r="J347" s="4"/>
      <c r="K347" s="4"/>
      <c r="L347" s="4"/>
      <c r="M347" s="4"/>
      <c r="N347" s="4"/>
      <c r="O347" s="4"/>
      <c r="P347" s="4"/>
      <c r="Q347" s="4"/>
      <c r="R347" s="4"/>
      <c r="S347" s="47"/>
      <c r="T347" s="4"/>
      <c r="U347" s="4"/>
      <c r="V347" s="47"/>
      <c r="W347" s="4"/>
      <c r="X347" s="4"/>
      <c r="Y347" s="47"/>
      <c r="Z347" s="4"/>
      <c r="AA347" s="4"/>
    </row>
    <row r="348" spans="1:27" ht="24" customHeight="1" x14ac:dyDescent="0.3">
      <c r="A348" s="4"/>
      <c r="B348" s="4"/>
      <c r="C348" s="4"/>
      <c r="D348" s="4"/>
      <c r="E348" s="4"/>
      <c r="F348" s="4"/>
      <c r="G348" s="4"/>
      <c r="H348" s="4"/>
      <c r="I348" s="4"/>
      <c r="J348" s="4"/>
      <c r="K348" s="4"/>
      <c r="L348" s="4"/>
      <c r="M348" s="4"/>
      <c r="N348" s="4"/>
      <c r="O348" s="4"/>
      <c r="P348" s="4"/>
      <c r="Q348" s="4"/>
      <c r="R348" s="4"/>
      <c r="S348" s="47"/>
      <c r="T348" s="4"/>
      <c r="U348" s="4"/>
      <c r="V348" s="47"/>
      <c r="W348" s="4"/>
      <c r="X348" s="4"/>
      <c r="Y348" s="47"/>
      <c r="Z348" s="4"/>
      <c r="AA348" s="4"/>
    </row>
    <row r="349" spans="1:27" ht="24" customHeight="1" x14ac:dyDescent="0.3">
      <c r="A349" s="4"/>
      <c r="B349" s="4"/>
      <c r="C349" s="4"/>
      <c r="D349" s="4"/>
      <c r="E349" s="4"/>
      <c r="F349" s="4"/>
      <c r="G349" s="4"/>
      <c r="H349" s="4"/>
      <c r="I349" s="4"/>
      <c r="J349" s="4"/>
      <c r="K349" s="4"/>
      <c r="L349" s="4"/>
      <c r="M349" s="4"/>
      <c r="N349" s="4"/>
      <c r="O349" s="4"/>
      <c r="P349" s="4"/>
      <c r="Q349" s="4"/>
      <c r="R349" s="4"/>
      <c r="S349" s="47"/>
      <c r="T349" s="4"/>
      <c r="U349" s="4"/>
      <c r="V349" s="47"/>
      <c r="W349" s="4"/>
      <c r="X349" s="4"/>
      <c r="Y349" s="47"/>
      <c r="Z349" s="4"/>
      <c r="AA349" s="4"/>
    </row>
    <row r="350" spans="1:27" ht="24" customHeight="1" x14ac:dyDescent="0.3">
      <c r="A350" s="4"/>
      <c r="B350" s="4"/>
      <c r="C350" s="4"/>
      <c r="D350" s="4"/>
      <c r="E350" s="4"/>
      <c r="F350" s="4"/>
      <c r="G350" s="4"/>
      <c r="H350" s="4"/>
      <c r="I350" s="4"/>
      <c r="J350" s="4"/>
      <c r="K350" s="4"/>
      <c r="L350" s="4"/>
      <c r="M350" s="4"/>
      <c r="N350" s="4"/>
      <c r="O350" s="4"/>
      <c r="P350" s="4"/>
      <c r="Q350" s="4"/>
      <c r="R350" s="4"/>
      <c r="S350" s="47"/>
      <c r="T350" s="4"/>
      <c r="U350" s="4"/>
      <c r="V350" s="47"/>
      <c r="W350" s="4"/>
      <c r="X350" s="4"/>
      <c r="Y350" s="47"/>
      <c r="Z350" s="4"/>
      <c r="AA350" s="4"/>
    </row>
    <row r="351" spans="1:27" ht="24" customHeight="1" x14ac:dyDescent="0.3">
      <c r="A351" s="4"/>
      <c r="B351" s="4"/>
      <c r="C351" s="4"/>
      <c r="D351" s="4"/>
      <c r="E351" s="4"/>
      <c r="F351" s="4"/>
      <c r="G351" s="4"/>
      <c r="H351" s="4"/>
      <c r="I351" s="4"/>
      <c r="J351" s="4"/>
      <c r="K351" s="4"/>
      <c r="L351" s="4"/>
      <c r="M351" s="4"/>
      <c r="N351" s="4"/>
      <c r="O351" s="4"/>
      <c r="P351" s="4"/>
      <c r="Q351" s="4"/>
      <c r="R351" s="4"/>
      <c r="S351" s="47"/>
      <c r="T351" s="4"/>
      <c r="U351" s="4"/>
      <c r="V351" s="47"/>
      <c r="W351" s="4"/>
      <c r="X351" s="4"/>
      <c r="Y351" s="47"/>
      <c r="Z351" s="4"/>
      <c r="AA351" s="4"/>
    </row>
    <row r="352" spans="1:27" ht="24" customHeight="1" x14ac:dyDescent="0.3">
      <c r="A352" s="4"/>
      <c r="B352" s="4"/>
      <c r="C352" s="4"/>
      <c r="D352" s="4"/>
      <c r="E352" s="4"/>
      <c r="F352" s="4"/>
      <c r="G352" s="4"/>
      <c r="H352" s="4"/>
      <c r="I352" s="4"/>
      <c r="J352" s="4"/>
      <c r="K352" s="4"/>
      <c r="L352" s="4"/>
      <c r="M352" s="4"/>
      <c r="N352" s="4"/>
      <c r="O352" s="4"/>
      <c r="P352" s="4"/>
      <c r="Q352" s="4"/>
      <c r="R352" s="4"/>
      <c r="S352" s="47"/>
      <c r="T352" s="4"/>
      <c r="U352" s="4"/>
      <c r="V352" s="47"/>
      <c r="W352" s="4"/>
      <c r="X352" s="4"/>
      <c r="Y352" s="47"/>
      <c r="Z352" s="4"/>
      <c r="AA352" s="4"/>
    </row>
    <row r="353" spans="1:27" ht="24" customHeight="1" x14ac:dyDescent="0.3">
      <c r="A353" s="4"/>
      <c r="B353" s="4"/>
      <c r="C353" s="4"/>
      <c r="D353" s="4"/>
      <c r="E353" s="4"/>
      <c r="F353" s="4"/>
      <c r="G353" s="4"/>
      <c r="H353" s="4"/>
      <c r="I353" s="4"/>
      <c r="J353" s="4"/>
      <c r="K353" s="4"/>
      <c r="L353" s="4"/>
      <c r="M353" s="4"/>
      <c r="N353" s="4"/>
      <c r="O353" s="4"/>
      <c r="P353" s="4"/>
      <c r="Q353" s="4"/>
      <c r="R353" s="4"/>
      <c r="S353" s="47"/>
      <c r="T353" s="4"/>
      <c r="U353" s="4"/>
      <c r="V353" s="47"/>
      <c r="W353" s="4"/>
      <c r="X353" s="4"/>
      <c r="Y353" s="47"/>
      <c r="Z353" s="4"/>
      <c r="AA353" s="4"/>
    </row>
    <row r="354" spans="1:27" ht="24" customHeight="1" x14ac:dyDescent="0.3">
      <c r="A354" s="4"/>
      <c r="B354" s="4"/>
      <c r="C354" s="4"/>
      <c r="D354" s="4"/>
      <c r="E354" s="4"/>
      <c r="F354" s="4"/>
      <c r="G354" s="4"/>
      <c r="H354" s="4"/>
      <c r="I354" s="4"/>
      <c r="J354" s="4"/>
      <c r="K354" s="4"/>
      <c r="L354" s="4"/>
      <c r="M354" s="4"/>
      <c r="N354" s="4"/>
      <c r="O354" s="4"/>
      <c r="P354" s="4"/>
      <c r="Q354" s="4"/>
      <c r="R354" s="4"/>
      <c r="S354" s="47"/>
      <c r="T354" s="4"/>
      <c r="U354" s="4"/>
      <c r="V354" s="47"/>
      <c r="W354" s="4"/>
      <c r="X354" s="4"/>
      <c r="Y354" s="47"/>
      <c r="Z354" s="4"/>
      <c r="AA354" s="4"/>
    </row>
    <row r="355" spans="1:27" ht="24" customHeight="1" x14ac:dyDescent="0.3">
      <c r="A355" s="4"/>
      <c r="B355" s="4"/>
      <c r="C355" s="4"/>
      <c r="D355" s="4"/>
      <c r="E355" s="4"/>
      <c r="F355" s="4"/>
      <c r="G355" s="4"/>
      <c r="H355" s="4"/>
      <c r="I355" s="4"/>
      <c r="J355" s="4"/>
      <c r="K355" s="4"/>
      <c r="L355" s="4"/>
      <c r="M355" s="4"/>
      <c r="N355" s="4"/>
      <c r="O355" s="4"/>
      <c r="P355" s="4"/>
      <c r="Q355" s="4"/>
      <c r="R355" s="4"/>
      <c r="S355" s="47"/>
      <c r="T355" s="4"/>
      <c r="U355" s="4"/>
      <c r="V355" s="47"/>
      <c r="W355" s="4"/>
      <c r="X355" s="4"/>
      <c r="Y355" s="47"/>
      <c r="Z355" s="4"/>
      <c r="AA355" s="4"/>
    </row>
    <row r="356" spans="1:27" ht="24" customHeight="1" x14ac:dyDescent="0.3">
      <c r="A356" s="4"/>
      <c r="B356" s="4"/>
      <c r="C356" s="4"/>
      <c r="D356" s="4"/>
      <c r="E356" s="4"/>
      <c r="F356" s="4"/>
      <c r="G356" s="4"/>
      <c r="H356" s="4"/>
      <c r="I356" s="4"/>
      <c r="J356" s="4"/>
      <c r="K356" s="4"/>
      <c r="L356" s="4"/>
      <c r="M356" s="4"/>
      <c r="N356" s="4"/>
      <c r="O356" s="4"/>
      <c r="P356" s="4"/>
      <c r="Q356" s="4"/>
      <c r="R356" s="4"/>
      <c r="S356" s="47"/>
      <c r="T356" s="4"/>
      <c r="U356" s="4"/>
      <c r="V356" s="47"/>
      <c r="W356" s="4"/>
      <c r="X356" s="4"/>
      <c r="Y356" s="47"/>
      <c r="Z356" s="4"/>
      <c r="AA356" s="4"/>
    </row>
    <row r="357" spans="1:27" ht="24" customHeight="1" x14ac:dyDescent="0.3">
      <c r="A357" s="4"/>
      <c r="B357" s="4"/>
      <c r="C357" s="4"/>
      <c r="D357" s="4"/>
      <c r="E357" s="4"/>
      <c r="F357" s="4"/>
      <c r="G357" s="4"/>
      <c r="H357" s="4"/>
      <c r="I357" s="4"/>
      <c r="J357" s="4"/>
      <c r="K357" s="4"/>
      <c r="L357" s="4"/>
      <c r="M357" s="4"/>
      <c r="N357" s="4"/>
      <c r="O357" s="4"/>
      <c r="P357" s="4"/>
      <c r="Q357" s="4"/>
      <c r="R357" s="4"/>
      <c r="S357" s="47"/>
      <c r="T357" s="4"/>
      <c r="U357" s="4"/>
      <c r="V357" s="47"/>
      <c r="W357" s="4"/>
      <c r="X357" s="4"/>
      <c r="Y357" s="47"/>
      <c r="Z357" s="4"/>
      <c r="AA357" s="4"/>
    </row>
    <row r="358" spans="1:27" ht="24" customHeight="1" x14ac:dyDescent="0.3">
      <c r="A358" s="4"/>
      <c r="B358" s="4"/>
      <c r="C358" s="4"/>
      <c r="D358" s="4"/>
      <c r="E358" s="4"/>
      <c r="F358" s="4"/>
      <c r="G358" s="4"/>
      <c r="H358" s="4"/>
      <c r="I358" s="4"/>
      <c r="J358" s="4"/>
      <c r="K358" s="4"/>
      <c r="L358" s="4"/>
      <c r="M358" s="4"/>
      <c r="N358" s="4"/>
      <c r="O358" s="4"/>
      <c r="P358" s="4"/>
      <c r="Q358" s="4"/>
      <c r="R358" s="4"/>
      <c r="S358" s="47"/>
      <c r="T358" s="4"/>
      <c r="U358" s="4"/>
      <c r="V358" s="47"/>
      <c r="W358" s="4"/>
      <c r="X358" s="4"/>
      <c r="Y358" s="47"/>
      <c r="Z358" s="4"/>
      <c r="AA358" s="4"/>
    </row>
    <row r="359" spans="1:27" ht="24" customHeight="1" x14ac:dyDescent="0.3">
      <c r="A359" s="4"/>
      <c r="B359" s="4"/>
      <c r="C359" s="4"/>
      <c r="D359" s="4"/>
      <c r="E359" s="4"/>
      <c r="F359" s="4"/>
      <c r="G359" s="4"/>
      <c r="H359" s="4"/>
      <c r="I359" s="4"/>
      <c r="J359" s="4"/>
      <c r="K359" s="4"/>
      <c r="L359" s="4"/>
      <c r="M359" s="4"/>
      <c r="N359" s="4"/>
      <c r="O359" s="4"/>
      <c r="P359" s="4"/>
      <c r="Q359" s="4"/>
      <c r="R359" s="4"/>
      <c r="S359" s="47"/>
      <c r="T359" s="4"/>
      <c r="U359" s="4"/>
      <c r="V359" s="47"/>
      <c r="W359" s="4"/>
      <c r="X359" s="4"/>
      <c r="Y359" s="47"/>
      <c r="Z359" s="4"/>
      <c r="AA359" s="4"/>
    </row>
    <row r="360" spans="1:27" ht="24" customHeight="1" x14ac:dyDescent="0.3">
      <c r="A360" s="4"/>
      <c r="B360" s="4"/>
      <c r="C360" s="4"/>
      <c r="D360" s="4"/>
      <c r="E360" s="4"/>
      <c r="F360" s="4"/>
      <c r="G360" s="4"/>
      <c r="H360" s="4"/>
      <c r="I360" s="4"/>
      <c r="J360" s="4"/>
      <c r="K360" s="4"/>
      <c r="L360" s="4"/>
      <c r="M360" s="4"/>
      <c r="N360" s="4"/>
      <c r="O360" s="4"/>
      <c r="P360" s="4"/>
      <c r="Q360" s="4"/>
      <c r="R360" s="4"/>
      <c r="S360" s="47"/>
      <c r="T360" s="4"/>
      <c r="U360" s="4"/>
      <c r="V360" s="47"/>
      <c r="W360" s="4"/>
      <c r="X360" s="4"/>
      <c r="Y360" s="47"/>
      <c r="Z360" s="4"/>
      <c r="AA360" s="4"/>
    </row>
    <row r="361" spans="1:27" ht="24" customHeight="1" x14ac:dyDescent="0.3">
      <c r="A361" s="4"/>
      <c r="B361" s="4"/>
      <c r="C361" s="4"/>
      <c r="D361" s="4"/>
      <c r="E361" s="4"/>
      <c r="F361" s="4"/>
      <c r="G361" s="4"/>
      <c r="H361" s="4"/>
      <c r="I361" s="4"/>
      <c r="J361" s="4"/>
      <c r="K361" s="4"/>
      <c r="L361" s="4"/>
      <c r="M361" s="4"/>
      <c r="N361" s="4"/>
      <c r="O361" s="4"/>
      <c r="P361" s="4"/>
      <c r="Q361" s="4"/>
      <c r="R361" s="4"/>
      <c r="S361" s="47"/>
      <c r="T361" s="4"/>
      <c r="U361" s="4"/>
      <c r="V361" s="47"/>
      <c r="W361" s="4"/>
      <c r="X361" s="4"/>
      <c r="Y361" s="47"/>
      <c r="Z361" s="4"/>
      <c r="AA361" s="4"/>
    </row>
    <row r="362" spans="1:27" ht="24" customHeight="1" x14ac:dyDescent="0.3">
      <c r="A362" s="4"/>
      <c r="B362" s="4"/>
      <c r="C362" s="4"/>
      <c r="D362" s="4"/>
      <c r="E362" s="4"/>
      <c r="F362" s="4"/>
      <c r="G362" s="4"/>
      <c r="H362" s="4"/>
      <c r="I362" s="4"/>
      <c r="J362" s="4"/>
      <c r="K362" s="4"/>
      <c r="L362" s="4"/>
      <c r="M362" s="4"/>
      <c r="N362" s="4"/>
      <c r="O362" s="4"/>
      <c r="P362" s="4"/>
      <c r="Q362" s="4"/>
      <c r="R362" s="4"/>
      <c r="S362" s="47"/>
      <c r="T362" s="4"/>
      <c r="U362" s="4"/>
      <c r="V362" s="47"/>
      <c r="W362" s="4"/>
      <c r="X362" s="4"/>
      <c r="Y362" s="47"/>
      <c r="Z362" s="4"/>
      <c r="AA362" s="4"/>
    </row>
    <row r="363" spans="1:27" ht="24" customHeight="1" x14ac:dyDescent="0.3">
      <c r="A363" s="4"/>
      <c r="B363" s="4"/>
      <c r="C363" s="4"/>
      <c r="D363" s="4"/>
      <c r="E363" s="4"/>
      <c r="F363" s="4"/>
      <c r="G363" s="4"/>
      <c r="H363" s="4"/>
      <c r="I363" s="4"/>
      <c r="J363" s="4"/>
      <c r="K363" s="4"/>
      <c r="L363" s="4"/>
      <c r="M363" s="4"/>
      <c r="N363" s="4"/>
      <c r="O363" s="4"/>
      <c r="P363" s="4"/>
      <c r="Q363" s="4"/>
      <c r="R363" s="4"/>
      <c r="S363" s="47"/>
      <c r="T363" s="4"/>
      <c r="U363" s="4"/>
      <c r="V363" s="47"/>
      <c r="W363" s="4"/>
      <c r="X363" s="4"/>
      <c r="Y363" s="47"/>
      <c r="Z363" s="4"/>
      <c r="AA363" s="4"/>
    </row>
    <row r="364" spans="1:27" ht="24" customHeight="1" x14ac:dyDescent="0.3">
      <c r="A364" s="4"/>
      <c r="B364" s="4"/>
      <c r="C364" s="4"/>
      <c r="D364" s="4"/>
      <c r="E364" s="4"/>
      <c r="F364" s="4"/>
      <c r="G364" s="4"/>
      <c r="H364" s="4"/>
      <c r="I364" s="4"/>
      <c r="J364" s="4"/>
      <c r="K364" s="4"/>
      <c r="L364" s="4"/>
      <c r="M364" s="4"/>
      <c r="N364" s="4"/>
      <c r="O364" s="4"/>
      <c r="P364" s="4"/>
      <c r="Q364" s="4"/>
      <c r="R364" s="4"/>
      <c r="S364" s="47"/>
      <c r="T364" s="4"/>
      <c r="U364" s="4"/>
      <c r="V364" s="47"/>
      <c r="W364" s="4"/>
      <c r="X364" s="4"/>
      <c r="Y364" s="47"/>
      <c r="Z364" s="4"/>
      <c r="AA364" s="4"/>
    </row>
    <row r="365" spans="1:27" ht="24" customHeight="1" x14ac:dyDescent="0.3">
      <c r="A365" s="4"/>
      <c r="B365" s="4"/>
      <c r="C365" s="4"/>
      <c r="D365" s="4"/>
      <c r="E365" s="4"/>
      <c r="F365" s="4"/>
      <c r="G365" s="4"/>
      <c r="H365" s="4"/>
      <c r="I365" s="4"/>
      <c r="J365" s="4"/>
      <c r="K365" s="4"/>
      <c r="L365" s="4"/>
      <c r="M365" s="4"/>
      <c r="N365" s="4"/>
      <c r="O365" s="4"/>
      <c r="P365" s="4"/>
      <c r="Q365" s="4"/>
      <c r="R365" s="4"/>
      <c r="S365" s="47"/>
      <c r="T365" s="4"/>
      <c r="U365" s="4"/>
      <c r="V365" s="47"/>
      <c r="W365" s="4"/>
      <c r="X365" s="4"/>
      <c r="Y365" s="47"/>
      <c r="Z365" s="4"/>
      <c r="AA365" s="4"/>
    </row>
    <row r="366" spans="1:27" ht="24" customHeight="1" x14ac:dyDescent="0.3">
      <c r="A366" s="4"/>
      <c r="B366" s="4"/>
      <c r="C366" s="4"/>
      <c r="D366" s="4"/>
      <c r="E366" s="4"/>
      <c r="F366" s="4"/>
      <c r="G366" s="4"/>
      <c r="H366" s="4"/>
      <c r="I366" s="4"/>
      <c r="J366" s="4"/>
      <c r="K366" s="4"/>
      <c r="L366" s="4"/>
      <c r="M366" s="4"/>
      <c r="N366" s="4"/>
      <c r="O366" s="4"/>
      <c r="P366" s="4"/>
      <c r="Q366" s="4"/>
      <c r="R366" s="4"/>
      <c r="S366" s="47"/>
      <c r="T366" s="4"/>
      <c r="U366" s="4"/>
      <c r="V366" s="47"/>
      <c r="W366" s="4"/>
      <c r="X366" s="4"/>
      <c r="Y366" s="47"/>
      <c r="Z366" s="4"/>
      <c r="AA366" s="4"/>
    </row>
    <row r="367" spans="1:27" ht="24" customHeight="1" x14ac:dyDescent="0.3">
      <c r="A367" s="4"/>
      <c r="B367" s="4"/>
      <c r="C367" s="4"/>
      <c r="D367" s="4"/>
      <c r="E367" s="4"/>
      <c r="F367" s="4"/>
      <c r="G367" s="4"/>
      <c r="H367" s="4"/>
      <c r="I367" s="4"/>
      <c r="J367" s="4"/>
      <c r="K367" s="4"/>
      <c r="L367" s="4"/>
      <c r="M367" s="4"/>
      <c r="N367" s="4"/>
      <c r="O367" s="4"/>
      <c r="P367" s="4"/>
      <c r="Q367" s="4"/>
      <c r="R367" s="4"/>
      <c r="S367" s="47"/>
      <c r="T367" s="4"/>
      <c r="U367" s="4"/>
      <c r="V367" s="47"/>
      <c r="W367" s="4"/>
      <c r="X367" s="4"/>
      <c r="Y367" s="47"/>
      <c r="Z367" s="4"/>
      <c r="AA367" s="4"/>
    </row>
    <row r="368" spans="1:27" ht="24" customHeight="1" x14ac:dyDescent="0.3">
      <c r="A368" s="4"/>
      <c r="B368" s="4"/>
      <c r="C368" s="4"/>
      <c r="D368" s="4"/>
      <c r="E368" s="4"/>
      <c r="F368" s="4"/>
      <c r="G368" s="4"/>
      <c r="H368" s="4"/>
      <c r="I368" s="4"/>
      <c r="J368" s="4"/>
      <c r="K368" s="4"/>
      <c r="L368" s="4"/>
      <c r="M368" s="4"/>
      <c r="N368" s="4"/>
      <c r="O368" s="4"/>
      <c r="P368" s="4"/>
      <c r="Q368" s="4"/>
      <c r="R368" s="4"/>
      <c r="S368" s="47"/>
      <c r="T368" s="4"/>
      <c r="U368" s="4"/>
      <c r="V368" s="47"/>
      <c r="W368" s="4"/>
      <c r="X368" s="4"/>
      <c r="Y368" s="47"/>
      <c r="Z368" s="4"/>
      <c r="AA368" s="4"/>
    </row>
    <row r="369" spans="1:27" ht="24" customHeight="1" x14ac:dyDescent="0.3">
      <c r="A369" s="4"/>
      <c r="B369" s="4"/>
      <c r="C369" s="4"/>
      <c r="D369" s="4"/>
      <c r="E369" s="4"/>
      <c r="F369" s="4"/>
      <c r="G369" s="4"/>
      <c r="H369" s="4"/>
      <c r="I369" s="4"/>
      <c r="J369" s="4"/>
      <c r="K369" s="4"/>
      <c r="L369" s="4"/>
      <c r="M369" s="4"/>
      <c r="N369" s="4"/>
      <c r="O369" s="4"/>
      <c r="P369" s="4"/>
      <c r="Q369" s="4"/>
      <c r="R369" s="4"/>
      <c r="S369" s="47"/>
      <c r="T369" s="4"/>
      <c r="U369" s="4"/>
      <c r="V369" s="47"/>
      <c r="W369" s="4"/>
      <c r="X369" s="4"/>
      <c r="Y369" s="47"/>
      <c r="Z369" s="4"/>
      <c r="AA369" s="4"/>
    </row>
    <row r="370" spans="1:27" ht="24" customHeight="1" x14ac:dyDescent="0.3">
      <c r="A370" s="4"/>
      <c r="B370" s="4"/>
      <c r="C370" s="4"/>
      <c r="D370" s="4"/>
      <c r="E370" s="4"/>
      <c r="F370" s="4"/>
      <c r="G370" s="4"/>
      <c r="H370" s="4"/>
      <c r="I370" s="4"/>
      <c r="J370" s="4"/>
      <c r="K370" s="4"/>
      <c r="L370" s="4"/>
      <c r="M370" s="4"/>
      <c r="N370" s="4"/>
      <c r="O370" s="4"/>
      <c r="P370" s="4"/>
      <c r="Q370" s="4"/>
      <c r="R370" s="4"/>
      <c r="S370" s="47"/>
      <c r="T370" s="4"/>
      <c r="U370" s="4"/>
      <c r="V370" s="47"/>
      <c r="W370" s="4"/>
      <c r="X370" s="4"/>
      <c r="Y370" s="47"/>
      <c r="Z370" s="4"/>
      <c r="AA370" s="4"/>
    </row>
    <row r="371" spans="1:27" ht="24" customHeight="1" x14ac:dyDescent="0.3">
      <c r="A371" s="4"/>
      <c r="B371" s="4"/>
      <c r="C371" s="4"/>
      <c r="D371" s="4"/>
      <c r="E371" s="4"/>
      <c r="F371" s="4"/>
      <c r="G371" s="4"/>
      <c r="H371" s="4"/>
      <c r="I371" s="4"/>
      <c r="J371" s="4"/>
      <c r="K371" s="4"/>
      <c r="L371" s="4"/>
      <c r="M371" s="4"/>
      <c r="N371" s="4"/>
      <c r="O371" s="4"/>
      <c r="P371" s="4"/>
      <c r="Q371" s="4"/>
      <c r="R371" s="4"/>
      <c r="S371" s="47"/>
      <c r="T371" s="4"/>
      <c r="U371" s="4"/>
      <c r="V371" s="47"/>
      <c r="W371" s="4"/>
      <c r="X371" s="4"/>
      <c r="Y371" s="47"/>
      <c r="Z371" s="4"/>
      <c r="AA371" s="4"/>
    </row>
    <row r="372" spans="1:27" ht="24" customHeight="1" x14ac:dyDescent="0.3">
      <c r="A372" s="4"/>
      <c r="B372" s="4"/>
      <c r="C372" s="4"/>
      <c r="D372" s="4"/>
      <c r="E372" s="4"/>
      <c r="F372" s="4"/>
      <c r="G372" s="4"/>
      <c r="H372" s="4"/>
      <c r="I372" s="4"/>
      <c r="J372" s="4"/>
      <c r="K372" s="4"/>
      <c r="L372" s="4"/>
      <c r="M372" s="4"/>
      <c r="N372" s="4"/>
      <c r="O372" s="4"/>
      <c r="P372" s="4"/>
      <c r="Q372" s="4"/>
      <c r="R372" s="4"/>
      <c r="S372" s="47"/>
      <c r="T372" s="4"/>
      <c r="U372" s="4"/>
      <c r="V372" s="47"/>
      <c r="W372" s="4"/>
      <c r="X372" s="4"/>
      <c r="Y372" s="47"/>
      <c r="Z372" s="4"/>
      <c r="AA372" s="4"/>
    </row>
    <row r="373" spans="1:27" ht="24" customHeight="1" x14ac:dyDescent="0.3">
      <c r="A373" s="4"/>
      <c r="B373" s="4"/>
      <c r="C373" s="4"/>
      <c r="D373" s="4"/>
      <c r="E373" s="4"/>
      <c r="F373" s="4"/>
      <c r="G373" s="4"/>
      <c r="H373" s="4"/>
      <c r="I373" s="4"/>
      <c r="J373" s="4"/>
      <c r="K373" s="4"/>
      <c r="L373" s="4"/>
      <c r="M373" s="4"/>
      <c r="N373" s="4"/>
      <c r="O373" s="4"/>
      <c r="P373" s="4"/>
      <c r="Q373" s="4"/>
      <c r="R373" s="4"/>
      <c r="S373" s="47"/>
      <c r="T373" s="4"/>
      <c r="U373" s="4"/>
      <c r="V373" s="47"/>
      <c r="W373" s="4"/>
      <c r="X373" s="4"/>
      <c r="Y373" s="47"/>
      <c r="Z373" s="4"/>
      <c r="AA373" s="4"/>
    </row>
    <row r="374" spans="1:27" ht="24" customHeight="1" x14ac:dyDescent="0.3">
      <c r="A374" s="4"/>
      <c r="B374" s="4"/>
      <c r="C374" s="4"/>
      <c r="D374" s="4"/>
      <c r="E374" s="4"/>
      <c r="F374" s="4"/>
      <c r="G374" s="4"/>
      <c r="H374" s="4"/>
      <c r="I374" s="4"/>
      <c r="J374" s="4"/>
      <c r="K374" s="4"/>
      <c r="L374" s="4"/>
      <c r="M374" s="4"/>
      <c r="N374" s="4"/>
      <c r="O374" s="4"/>
      <c r="P374" s="4"/>
      <c r="Q374" s="4"/>
      <c r="R374" s="4"/>
      <c r="S374" s="47"/>
      <c r="T374" s="4"/>
      <c r="U374" s="4"/>
      <c r="V374" s="47"/>
      <c r="W374" s="4"/>
      <c r="X374" s="4"/>
      <c r="Y374" s="47"/>
      <c r="Z374" s="4"/>
      <c r="AA374" s="4"/>
    </row>
    <row r="375" spans="1:27" ht="24" customHeight="1" x14ac:dyDescent="0.3">
      <c r="A375" s="4"/>
      <c r="B375" s="4"/>
      <c r="C375" s="4"/>
      <c r="D375" s="4"/>
      <c r="E375" s="4"/>
      <c r="F375" s="4"/>
      <c r="G375" s="4"/>
      <c r="H375" s="4"/>
      <c r="I375" s="4"/>
      <c r="J375" s="4"/>
      <c r="K375" s="4"/>
      <c r="L375" s="4"/>
      <c r="M375" s="4"/>
      <c r="N375" s="4"/>
      <c r="O375" s="4"/>
      <c r="P375" s="4"/>
      <c r="Q375" s="4"/>
      <c r="R375" s="4"/>
      <c r="S375" s="47"/>
      <c r="T375" s="4"/>
      <c r="U375" s="4"/>
      <c r="V375" s="47"/>
      <c r="W375" s="4"/>
      <c r="X375" s="4"/>
      <c r="Y375" s="47"/>
      <c r="Z375" s="4"/>
      <c r="AA375" s="4"/>
    </row>
    <row r="376" spans="1:27" ht="24" customHeight="1" x14ac:dyDescent="0.3">
      <c r="A376" s="4"/>
      <c r="B376" s="4"/>
      <c r="C376" s="4"/>
      <c r="D376" s="4"/>
      <c r="E376" s="4"/>
      <c r="F376" s="4"/>
      <c r="G376" s="4"/>
      <c r="H376" s="4"/>
      <c r="I376" s="4"/>
      <c r="J376" s="4"/>
      <c r="K376" s="4"/>
      <c r="L376" s="4"/>
      <c r="M376" s="4"/>
      <c r="N376" s="4"/>
      <c r="O376" s="4"/>
      <c r="P376" s="4"/>
      <c r="Q376" s="4"/>
      <c r="R376" s="4"/>
      <c r="S376" s="47"/>
      <c r="T376" s="4"/>
      <c r="U376" s="4"/>
      <c r="V376" s="47"/>
      <c r="W376" s="4"/>
      <c r="X376" s="4"/>
      <c r="Y376" s="47"/>
      <c r="Z376" s="4"/>
      <c r="AA376" s="4"/>
    </row>
    <row r="377" spans="1:27" ht="24" customHeight="1" x14ac:dyDescent="0.3">
      <c r="A377" s="4"/>
      <c r="B377" s="4"/>
      <c r="C377" s="4"/>
      <c r="D377" s="4"/>
      <c r="E377" s="4"/>
      <c r="F377" s="4"/>
      <c r="G377" s="4"/>
      <c r="H377" s="4"/>
      <c r="I377" s="4"/>
      <c r="J377" s="4"/>
      <c r="K377" s="4"/>
      <c r="L377" s="4"/>
      <c r="M377" s="4"/>
      <c r="N377" s="4"/>
      <c r="O377" s="4"/>
      <c r="P377" s="4"/>
      <c r="Q377" s="4"/>
      <c r="R377" s="4"/>
      <c r="S377" s="47"/>
      <c r="T377" s="4"/>
      <c r="U377" s="4"/>
      <c r="V377" s="47"/>
      <c r="W377" s="4"/>
      <c r="X377" s="4"/>
      <c r="Y377" s="47"/>
      <c r="Z377" s="4"/>
      <c r="AA377" s="4"/>
    </row>
    <row r="378" spans="1:27" ht="24" customHeight="1" x14ac:dyDescent="0.3">
      <c r="A378" s="4"/>
      <c r="B378" s="4"/>
      <c r="C378" s="4"/>
      <c r="D378" s="4"/>
      <c r="E378" s="4"/>
      <c r="F378" s="4"/>
      <c r="G378" s="4"/>
      <c r="H378" s="4"/>
      <c r="I378" s="4"/>
      <c r="J378" s="4"/>
      <c r="K378" s="4"/>
      <c r="L378" s="4"/>
      <c r="M378" s="4"/>
      <c r="N378" s="4"/>
      <c r="O378" s="4"/>
      <c r="P378" s="4"/>
      <c r="Q378" s="4"/>
      <c r="R378" s="4"/>
      <c r="S378" s="47"/>
      <c r="T378" s="4"/>
      <c r="U378" s="4"/>
      <c r="V378" s="47"/>
      <c r="W378" s="4"/>
      <c r="X378" s="4"/>
      <c r="Y378" s="47"/>
      <c r="Z378" s="4"/>
      <c r="AA378" s="4"/>
    </row>
    <row r="379" spans="1:27" ht="24" customHeight="1" x14ac:dyDescent="0.3">
      <c r="A379" s="4"/>
      <c r="B379" s="4"/>
      <c r="C379" s="4"/>
      <c r="D379" s="4"/>
      <c r="E379" s="4"/>
      <c r="F379" s="4"/>
      <c r="G379" s="4"/>
      <c r="H379" s="4"/>
      <c r="I379" s="4"/>
      <c r="J379" s="4"/>
      <c r="K379" s="4"/>
      <c r="L379" s="4"/>
      <c r="M379" s="4"/>
      <c r="N379" s="4"/>
      <c r="O379" s="4"/>
      <c r="P379" s="4"/>
      <c r="Q379" s="4"/>
      <c r="R379" s="4"/>
      <c r="S379" s="47"/>
      <c r="T379" s="4"/>
      <c r="U379" s="4"/>
      <c r="V379" s="47"/>
      <c r="W379" s="4"/>
      <c r="X379" s="4"/>
      <c r="Y379" s="47"/>
      <c r="Z379" s="4"/>
      <c r="AA379" s="4"/>
    </row>
    <row r="380" spans="1:27" ht="24" customHeight="1" x14ac:dyDescent="0.3">
      <c r="A380" s="4"/>
      <c r="B380" s="4"/>
      <c r="C380" s="4"/>
      <c r="D380" s="4"/>
      <c r="E380" s="4"/>
      <c r="F380" s="4"/>
      <c r="G380" s="4"/>
      <c r="H380" s="4"/>
      <c r="I380" s="4"/>
      <c r="J380" s="4"/>
      <c r="K380" s="4"/>
      <c r="L380" s="4"/>
      <c r="M380" s="4"/>
      <c r="N380" s="4"/>
      <c r="O380" s="4"/>
      <c r="P380" s="4"/>
      <c r="Q380" s="4"/>
      <c r="R380" s="4"/>
      <c r="S380" s="47"/>
      <c r="T380" s="4"/>
      <c r="U380" s="4"/>
      <c r="V380" s="47"/>
      <c r="W380" s="4"/>
      <c r="X380" s="4"/>
      <c r="Y380" s="47"/>
      <c r="Z380" s="4"/>
      <c r="AA380" s="4"/>
    </row>
    <row r="381" spans="1:27" ht="24" customHeight="1" x14ac:dyDescent="0.3">
      <c r="A381" s="4"/>
      <c r="B381" s="4"/>
      <c r="C381" s="4"/>
      <c r="D381" s="4"/>
      <c r="E381" s="4"/>
      <c r="F381" s="4"/>
      <c r="G381" s="4"/>
      <c r="H381" s="4"/>
      <c r="I381" s="4"/>
      <c r="J381" s="4"/>
      <c r="K381" s="4"/>
      <c r="L381" s="4"/>
      <c r="M381" s="4"/>
      <c r="N381" s="4"/>
      <c r="O381" s="4"/>
      <c r="P381" s="4"/>
      <c r="Q381" s="4"/>
      <c r="R381" s="4"/>
      <c r="S381" s="47"/>
      <c r="T381" s="4"/>
      <c r="U381" s="4"/>
      <c r="V381" s="47"/>
      <c r="W381" s="4"/>
      <c r="X381" s="4"/>
      <c r="Y381" s="47"/>
      <c r="Z381" s="4"/>
      <c r="AA381" s="4"/>
    </row>
    <row r="382" spans="1:27" ht="24" customHeight="1" x14ac:dyDescent="0.3">
      <c r="A382" s="4"/>
      <c r="B382" s="4"/>
      <c r="C382" s="4"/>
      <c r="D382" s="4"/>
      <c r="E382" s="4"/>
      <c r="F382" s="4"/>
      <c r="G382" s="4"/>
      <c r="H382" s="4"/>
      <c r="I382" s="4"/>
      <c r="J382" s="4"/>
      <c r="K382" s="4"/>
      <c r="L382" s="4"/>
      <c r="M382" s="4"/>
      <c r="N382" s="4"/>
      <c r="O382" s="4"/>
      <c r="P382" s="4"/>
      <c r="Q382" s="4"/>
      <c r="R382" s="4"/>
      <c r="S382" s="47"/>
      <c r="T382" s="4"/>
      <c r="U382" s="4"/>
      <c r="V382" s="47"/>
      <c r="W382" s="4"/>
      <c r="X382" s="4"/>
      <c r="Y382" s="47"/>
      <c r="Z382" s="4"/>
      <c r="AA382" s="4"/>
    </row>
    <row r="383" spans="1:27" ht="24" customHeight="1" x14ac:dyDescent="0.3">
      <c r="A383" s="4"/>
      <c r="B383" s="4"/>
      <c r="C383" s="4"/>
      <c r="D383" s="4"/>
      <c r="E383" s="4"/>
      <c r="F383" s="4"/>
      <c r="G383" s="4"/>
      <c r="H383" s="4"/>
      <c r="I383" s="4"/>
      <c r="J383" s="4"/>
      <c r="K383" s="4"/>
      <c r="L383" s="4"/>
      <c r="M383" s="4"/>
      <c r="N383" s="4"/>
      <c r="O383" s="4"/>
      <c r="P383" s="4"/>
      <c r="Q383" s="4"/>
      <c r="R383" s="4"/>
      <c r="S383" s="47"/>
      <c r="T383" s="4"/>
      <c r="U383" s="4"/>
      <c r="V383" s="47"/>
      <c r="W383" s="4"/>
      <c r="X383" s="4"/>
      <c r="Y383" s="47"/>
      <c r="Z383" s="4"/>
      <c r="AA383" s="4"/>
    </row>
    <row r="384" spans="1:27" ht="24" customHeight="1" x14ac:dyDescent="0.3">
      <c r="A384" s="4"/>
      <c r="B384" s="4"/>
      <c r="C384" s="4"/>
      <c r="D384" s="4"/>
      <c r="E384" s="4"/>
      <c r="F384" s="4"/>
      <c r="G384" s="4"/>
      <c r="H384" s="4"/>
      <c r="I384" s="4"/>
      <c r="J384" s="4"/>
      <c r="K384" s="4"/>
      <c r="L384" s="4"/>
      <c r="M384" s="4"/>
      <c r="N384" s="4"/>
      <c r="O384" s="4"/>
      <c r="P384" s="4"/>
      <c r="Q384" s="4"/>
      <c r="R384" s="4"/>
      <c r="S384" s="47"/>
      <c r="T384" s="4"/>
      <c r="U384" s="4"/>
      <c r="V384" s="47"/>
      <c r="W384" s="4"/>
      <c r="X384" s="4"/>
      <c r="Y384" s="47"/>
      <c r="Z384" s="4"/>
      <c r="AA384" s="4"/>
    </row>
    <row r="385" spans="1:27" ht="24" customHeight="1" x14ac:dyDescent="0.3">
      <c r="A385" s="4"/>
      <c r="B385" s="4"/>
      <c r="C385" s="4"/>
      <c r="D385" s="4"/>
      <c r="E385" s="4"/>
      <c r="F385" s="4"/>
      <c r="G385" s="4"/>
      <c r="H385" s="4"/>
      <c r="I385" s="4"/>
      <c r="J385" s="4"/>
      <c r="K385" s="4"/>
      <c r="L385" s="4"/>
      <c r="M385" s="4"/>
      <c r="N385" s="4"/>
      <c r="O385" s="4"/>
      <c r="P385" s="4"/>
      <c r="Q385" s="4"/>
      <c r="R385" s="4"/>
      <c r="S385" s="47"/>
      <c r="T385" s="4"/>
      <c r="U385" s="4"/>
      <c r="V385" s="47"/>
      <c r="W385" s="4"/>
      <c r="X385" s="4"/>
      <c r="Y385" s="47"/>
      <c r="Z385" s="4"/>
      <c r="AA385" s="4"/>
    </row>
    <row r="386" spans="1:27" ht="24" customHeight="1" x14ac:dyDescent="0.3">
      <c r="A386" s="4"/>
      <c r="B386" s="4"/>
      <c r="C386" s="4"/>
      <c r="D386" s="4"/>
      <c r="E386" s="4"/>
      <c r="F386" s="4"/>
      <c r="G386" s="4"/>
      <c r="H386" s="4"/>
      <c r="I386" s="4"/>
      <c r="J386" s="4"/>
      <c r="K386" s="4"/>
      <c r="L386" s="4"/>
      <c r="M386" s="4"/>
      <c r="N386" s="4"/>
      <c r="O386" s="4"/>
      <c r="P386" s="4"/>
      <c r="Q386" s="4"/>
      <c r="R386" s="4"/>
      <c r="S386" s="47"/>
      <c r="T386" s="4"/>
      <c r="U386" s="4"/>
      <c r="V386" s="47"/>
      <c r="W386" s="4"/>
      <c r="X386" s="4"/>
      <c r="Y386" s="47"/>
      <c r="Z386" s="4"/>
      <c r="AA386" s="4"/>
    </row>
    <row r="387" spans="1:27" ht="24" customHeight="1" x14ac:dyDescent="0.3">
      <c r="A387" s="4"/>
      <c r="B387" s="4"/>
      <c r="C387" s="4"/>
      <c r="D387" s="4"/>
      <c r="E387" s="4"/>
      <c r="F387" s="4"/>
      <c r="G387" s="4"/>
      <c r="H387" s="4"/>
      <c r="I387" s="4"/>
      <c r="J387" s="4"/>
      <c r="K387" s="4"/>
      <c r="L387" s="4"/>
      <c r="M387" s="4"/>
      <c r="N387" s="4"/>
      <c r="O387" s="4"/>
      <c r="P387" s="4"/>
      <c r="Q387" s="4"/>
      <c r="R387" s="4"/>
      <c r="S387" s="47"/>
      <c r="T387" s="4"/>
      <c r="U387" s="4"/>
      <c r="V387" s="47"/>
      <c r="W387" s="4"/>
      <c r="X387" s="4"/>
      <c r="Y387" s="47"/>
      <c r="Z387" s="4"/>
      <c r="AA387" s="4"/>
    </row>
    <row r="388" spans="1:27" ht="24" customHeight="1" x14ac:dyDescent="0.3">
      <c r="A388" s="4"/>
      <c r="B388" s="4"/>
      <c r="C388" s="4"/>
      <c r="D388" s="4"/>
      <c r="E388" s="4"/>
      <c r="F388" s="4"/>
      <c r="G388" s="4"/>
      <c r="H388" s="4"/>
      <c r="I388" s="4"/>
      <c r="J388" s="4"/>
      <c r="K388" s="4"/>
      <c r="L388" s="4"/>
      <c r="M388" s="4"/>
      <c r="N388" s="4"/>
      <c r="O388" s="4"/>
      <c r="P388" s="4"/>
      <c r="Q388" s="4"/>
      <c r="R388" s="4"/>
      <c r="S388" s="47"/>
      <c r="T388" s="4"/>
      <c r="U388" s="4"/>
      <c r="V388" s="47"/>
      <c r="W388" s="4"/>
      <c r="X388" s="4"/>
      <c r="Y388" s="47"/>
      <c r="Z388" s="4"/>
      <c r="AA388" s="4"/>
    </row>
    <row r="389" spans="1:27" ht="24" customHeight="1" x14ac:dyDescent="0.3">
      <c r="A389" s="4"/>
      <c r="B389" s="4"/>
      <c r="C389" s="4"/>
      <c r="D389" s="4"/>
      <c r="E389" s="4"/>
      <c r="F389" s="4"/>
      <c r="G389" s="4"/>
      <c r="H389" s="4"/>
      <c r="I389" s="4"/>
      <c r="J389" s="4"/>
      <c r="K389" s="4"/>
      <c r="L389" s="4"/>
      <c r="M389" s="4"/>
      <c r="N389" s="4"/>
      <c r="O389" s="4"/>
      <c r="P389" s="4"/>
      <c r="Q389" s="4"/>
      <c r="R389" s="4"/>
      <c r="S389" s="47"/>
      <c r="T389" s="4"/>
      <c r="U389" s="4"/>
      <c r="V389" s="47"/>
      <c r="W389" s="4"/>
      <c r="X389" s="4"/>
      <c r="Y389" s="47"/>
      <c r="Z389" s="4"/>
      <c r="AA389" s="4"/>
    </row>
    <row r="390" spans="1:27" ht="24" customHeight="1" x14ac:dyDescent="0.3">
      <c r="A390" s="4"/>
      <c r="B390" s="4"/>
      <c r="C390" s="4"/>
      <c r="D390" s="4"/>
      <c r="E390" s="4"/>
      <c r="F390" s="4"/>
      <c r="G390" s="4"/>
      <c r="H390" s="4"/>
      <c r="I390" s="4"/>
      <c r="J390" s="4"/>
      <c r="K390" s="4"/>
      <c r="L390" s="4"/>
      <c r="M390" s="4"/>
      <c r="N390" s="4"/>
      <c r="O390" s="4"/>
      <c r="P390" s="4"/>
      <c r="Q390" s="4"/>
      <c r="R390" s="4"/>
      <c r="S390" s="47"/>
      <c r="T390" s="4"/>
      <c r="U390" s="4"/>
      <c r="V390" s="47"/>
      <c r="W390" s="4"/>
      <c r="X390" s="4"/>
      <c r="Y390" s="47"/>
      <c r="Z390" s="4"/>
      <c r="AA390" s="4"/>
    </row>
    <row r="391" spans="1:27" ht="24" customHeight="1" x14ac:dyDescent="0.3">
      <c r="A391" s="4"/>
      <c r="B391" s="4"/>
      <c r="C391" s="4"/>
      <c r="D391" s="4"/>
      <c r="E391" s="4"/>
      <c r="F391" s="4"/>
      <c r="G391" s="4"/>
      <c r="H391" s="4"/>
      <c r="I391" s="4"/>
      <c r="J391" s="4"/>
      <c r="K391" s="4"/>
      <c r="L391" s="4"/>
      <c r="M391" s="4"/>
      <c r="N391" s="4"/>
      <c r="O391" s="4"/>
      <c r="P391" s="4"/>
      <c r="Q391" s="4"/>
      <c r="R391" s="4"/>
      <c r="S391" s="47"/>
      <c r="T391" s="4"/>
      <c r="U391" s="4"/>
      <c r="V391" s="47"/>
      <c r="W391" s="4"/>
      <c r="X391" s="4"/>
      <c r="Y391" s="47"/>
      <c r="Z391" s="4"/>
      <c r="AA391" s="4"/>
    </row>
    <row r="392" spans="1:27" ht="24" customHeight="1" x14ac:dyDescent="0.3">
      <c r="A392" s="4"/>
      <c r="B392" s="4"/>
      <c r="C392" s="4"/>
      <c r="D392" s="4"/>
      <c r="E392" s="4"/>
      <c r="F392" s="4"/>
      <c r="G392" s="4"/>
      <c r="H392" s="4"/>
      <c r="I392" s="4"/>
      <c r="J392" s="4"/>
      <c r="K392" s="4"/>
      <c r="L392" s="4"/>
      <c r="M392" s="4"/>
      <c r="N392" s="4"/>
      <c r="O392" s="4"/>
      <c r="P392" s="4"/>
      <c r="Q392" s="4"/>
      <c r="R392" s="4"/>
      <c r="S392" s="47"/>
      <c r="T392" s="4"/>
      <c r="U392" s="4"/>
      <c r="V392" s="47"/>
      <c r="W392" s="4"/>
      <c r="X392" s="4"/>
      <c r="Y392" s="47"/>
      <c r="Z392" s="4"/>
      <c r="AA392" s="4"/>
    </row>
    <row r="393" spans="1:27" ht="24" customHeight="1" x14ac:dyDescent="0.3">
      <c r="A393" s="4"/>
      <c r="B393" s="4"/>
      <c r="C393" s="4"/>
      <c r="D393" s="4"/>
      <c r="E393" s="4"/>
      <c r="F393" s="4"/>
      <c r="G393" s="4"/>
      <c r="H393" s="4"/>
      <c r="I393" s="4"/>
      <c r="J393" s="4"/>
      <c r="K393" s="4"/>
      <c r="L393" s="4"/>
      <c r="M393" s="4"/>
      <c r="N393" s="4"/>
      <c r="O393" s="4"/>
      <c r="P393" s="4"/>
      <c r="Q393" s="4"/>
      <c r="R393" s="4"/>
      <c r="S393" s="47"/>
      <c r="T393" s="4"/>
      <c r="U393" s="4"/>
      <c r="V393" s="47"/>
      <c r="W393" s="4"/>
      <c r="X393" s="4"/>
      <c r="Y393" s="47"/>
      <c r="Z393" s="4"/>
      <c r="AA393" s="4"/>
    </row>
    <row r="394" spans="1:27" ht="24" customHeight="1" x14ac:dyDescent="0.3">
      <c r="A394" s="4"/>
      <c r="B394" s="4"/>
      <c r="C394" s="4"/>
      <c r="D394" s="4"/>
      <c r="E394" s="4"/>
      <c r="F394" s="4"/>
      <c r="G394" s="4"/>
      <c r="H394" s="4"/>
      <c r="I394" s="4"/>
      <c r="J394" s="4"/>
      <c r="K394" s="4"/>
      <c r="L394" s="4"/>
      <c r="M394" s="4"/>
      <c r="N394" s="4"/>
      <c r="O394" s="4"/>
      <c r="P394" s="4"/>
      <c r="Q394" s="4"/>
      <c r="R394" s="4"/>
      <c r="S394" s="47"/>
      <c r="T394" s="4"/>
      <c r="U394" s="4"/>
      <c r="V394" s="47"/>
      <c r="W394" s="4"/>
      <c r="X394" s="4"/>
      <c r="Y394" s="47"/>
      <c r="Z394" s="4"/>
      <c r="AA394" s="4"/>
    </row>
    <row r="395" spans="1:27" ht="24" customHeight="1" x14ac:dyDescent="0.3">
      <c r="A395" s="4"/>
      <c r="B395" s="4"/>
      <c r="C395" s="4"/>
      <c r="D395" s="4"/>
      <c r="E395" s="4"/>
      <c r="F395" s="4"/>
      <c r="G395" s="4"/>
      <c r="H395" s="4"/>
      <c r="I395" s="4"/>
      <c r="J395" s="4"/>
      <c r="K395" s="4"/>
      <c r="L395" s="4"/>
      <c r="M395" s="4"/>
      <c r="N395" s="4"/>
      <c r="O395" s="4"/>
      <c r="P395" s="4"/>
      <c r="Q395" s="4"/>
      <c r="R395" s="4"/>
      <c r="S395" s="47"/>
      <c r="T395" s="4"/>
      <c r="U395" s="4"/>
      <c r="V395" s="47"/>
      <c r="W395" s="4"/>
      <c r="X395" s="4"/>
      <c r="Y395" s="47"/>
      <c r="Z395" s="4"/>
      <c r="AA395" s="4"/>
    </row>
    <row r="396" spans="1:27" ht="24" customHeight="1" x14ac:dyDescent="0.3">
      <c r="A396" s="4"/>
      <c r="B396" s="4"/>
      <c r="C396" s="4"/>
      <c r="D396" s="4"/>
      <c r="E396" s="4"/>
      <c r="F396" s="4"/>
      <c r="G396" s="4"/>
      <c r="H396" s="4"/>
      <c r="I396" s="4"/>
      <c r="J396" s="4"/>
      <c r="K396" s="4"/>
      <c r="L396" s="4"/>
      <c r="M396" s="4"/>
      <c r="N396" s="4"/>
      <c r="O396" s="4"/>
      <c r="P396" s="4"/>
      <c r="Q396" s="4"/>
      <c r="R396" s="4"/>
      <c r="S396" s="47"/>
      <c r="T396" s="4"/>
      <c r="U396" s="4"/>
      <c r="V396" s="47"/>
      <c r="W396" s="4"/>
      <c r="X396" s="4"/>
      <c r="Y396" s="47"/>
      <c r="Z396" s="4"/>
      <c r="AA396" s="4"/>
    </row>
    <row r="397" spans="1:27" ht="24" customHeight="1" x14ac:dyDescent="0.3">
      <c r="A397" s="4"/>
      <c r="B397" s="4"/>
      <c r="C397" s="4"/>
      <c r="D397" s="4"/>
      <c r="E397" s="4"/>
      <c r="F397" s="4"/>
      <c r="G397" s="4"/>
      <c r="H397" s="4"/>
      <c r="I397" s="4"/>
      <c r="J397" s="4"/>
      <c r="K397" s="4"/>
      <c r="L397" s="4"/>
      <c r="M397" s="4"/>
      <c r="N397" s="4"/>
      <c r="O397" s="4"/>
      <c r="P397" s="4"/>
      <c r="Q397" s="4"/>
      <c r="R397" s="4"/>
      <c r="S397" s="47"/>
      <c r="T397" s="4"/>
      <c r="U397" s="4"/>
      <c r="V397" s="47"/>
      <c r="W397" s="4"/>
      <c r="X397" s="4"/>
      <c r="Y397" s="47"/>
      <c r="Z397" s="4"/>
      <c r="AA397" s="4"/>
    </row>
    <row r="398" spans="1:27" ht="24" customHeight="1" x14ac:dyDescent="0.3">
      <c r="A398" s="4"/>
      <c r="B398" s="4"/>
      <c r="C398" s="4"/>
      <c r="D398" s="4"/>
      <c r="E398" s="4"/>
      <c r="F398" s="4"/>
      <c r="G398" s="4"/>
      <c r="H398" s="4"/>
      <c r="I398" s="4"/>
      <c r="J398" s="4"/>
      <c r="K398" s="4"/>
      <c r="L398" s="4"/>
      <c r="M398" s="4"/>
      <c r="N398" s="4"/>
      <c r="O398" s="4"/>
      <c r="P398" s="4"/>
      <c r="Q398" s="4"/>
      <c r="R398" s="4"/>
      <c r="S398" s="47"/>
      <c r="T398" s="4"/>
      <c r="U398" s="4"/>
      <c r="V398" s="47"/>
      <c r="W398" s="4"/>
      <c r="X398" s="4"/>
      <c r="Y398" s="47"/>
      <c r="Z398" s="4"/>
      <c r="AA398" s="4"/>
    </row>
    <row r="399" spans="1:27" ht="24" customHeight="1" x14ac:dyDescent="0.3">
      <c r="A399" s="4"/>
      <c r="B399" s="4"/>
      <c r="C399" s="4"/>
      <c r="D399" s="4"/>
      <c r="E399" s="4"/>
      <c r="F399" s="4"/>
      <c r="G399" s="4"/>
      <c r="H399" s="4"/>
      <c r="I399" s="4"/>
      <c r="J399" s="4"/>
      <c r="K399" s="4"/>
      <c r="L399" s="4"/>
      <c r="M399" s="4"/>
      <c r="N399" s="4"/>
      <c r="O399" s="4"/>
      <c r="P399" s="4"/>
      <c r="Q399" s="4"/>
      <c r="R399" s="4"/>
      <c r="S399" s="47"/>
      <c r="T399" s="4"/>
      <c r="U399" s="4"/>
      <c r="V399" s="47"/>
      <c r="W399" s="4"/>
      <c r="X399" s="4"/>
      <c r="Y399" s="47"/>
      <c r="Z399" s="4"/>
      <c r="AA399" s="4"/>
    </row>
    <row r="400" spans="1:27" ht="24" customHeight="1" x14ac:dyDescent="0.3">
      <c r="A400" s="4"/>
      <c r="B400" s="4"/>
      <c r="C400" s="4"/>
      <c r="D400" s="4"/>
      <c r="E400" s="4"/>
      <c r="F400" s="4"/>
      <c r="G400" s="4"/>
      <c r="H400" s="4"/>
      <c r="I400" s="4"/>
      <c r="J400" s="4"/>
      <c r="K400" s="4"/>
      <c r="L400" s="4"/>
      <c r="M400" s="4"/>
      <c r="N400" s="4"/>
      <c r="O400" s="4"/>
      <c r="P400" s="4"/>
      <c r="Q400" s="4"/>
      <c r="R400" s="4"/>
      <c r="S400" s="47"/>
      <c r="T400" s="4"/>
      <c r="U400" s="4"/>
      <c r="V400" s="47"/>
      <c r="W400" s="4"/>
      <c r="X400" s="4"/>
      <c r="Y400" s="47"/>
      <c r="Z400" s="4"/>
      <c r="AA400" s="4"/>
    </row>
    <row r="401" spans="1:27" ht="24" customHeight="1" x14ac:dyDescent="0.3">
      <c r="A401" s="4"/>
      <c r="B401" s="4"/>
      <c r="C401" s="4"/>
      <c r="D401" s="4"/>
      <c r="E401" s="4"/>
      <c r="F401" s="4"/>
      <c r="G401" s="4"/>
      <c r="H401" s="4"/>
      <c r="I401" s="4"/>
      <c r="J401" s="4"/>
      <c r="K401" s="4"/>
      <c r="L401" s="4"/>
      <c r="M401" s="4"/>
      <c r="N401" s="4"/>
      <c r="O401" s="4"/>
      <c r="P401" s="4"/>
      <c r="Q401" s="4"/>
      <c r="R401" s="4"/>
      <c r="S401" s="47"/>
      <c r="T401" s="4"/>
      <c r="U401" s="4"/>
      <c r="V401" s="47"/>
      <c r="W401" s="4"/>
      <c r="X401" s="4"/>
      <c r="Y401" s="47"/>
      <c r="Z401" s="4"/>
      <c r="AA401" s="4"/>
    </row>
    <row r="402" spans="1:27" ht="24" customHeight="1" x14ac:dyDescent="0.3">
      <c r="A402" s="4"/>
      <c r="B402" s="4"/>
      <c r="C402" s="4"/>
      <c r="D402" s="4"/>
      <c r="E402" s="4"/>
      <c r="F402" s="4"/>
      <c r="G402" s="4"/>
      <c r="H402" s="4"/>
      <c r="I402" s="4"/>
      <c r="J402" s="4"/>
      <c r="K402" s="4"/>
      <c r="L402" s="4"/>
      <c r="M402" s="4"/>
      <c r="N402" s="4"/>
      <c r="O402" s="4"/>
      <c r="P402" s="4"/>
      <c r="Q402" s="4"/>
      <c r="R402" s="4"/>
      <c r="S402" s="47"/>
      <c r="T402" s="4"/>
      <c r="U402" s="4"/>
      <c r="V402" s="47"/>
      <c r="W402" s="4"/>
      <c r="X402" s="4"/>
      <c r="Y402" s="47"/>
      <c r="Z402" s="4"/>
      <c r="AA402" s="4"/>
    </row>
    <row r="403" spans="1:27" ht="24" customHeight="1" x14ac:dyDescent="0.3">
      <c r="A403" s="4"/>
      <c r="B403" s="4"/>
      <c r="C403" s="4"/>
      <c r="D403" s="4"/>
      <c r="E403" s="4"/>
      <c r="F403" s="4"/>
      <c r="G403" s="4"/>
      <c r="H403" s="4"/>
      <c r="I403" s="4"/>
      <c r="J403" s="4"/>
      <c r="K403" s="4"/>
      <c r="L403" s="4"/>
      <c r="M403" s="4"/>
      <c r="N403" s="4"/>
      <c r="O403" s="4"/>
      <c r="P403" s="4"/>
      <c r="Q403" s="4"/>
      <c r="R403" s="4"/>
      <c r="S403" s="47"/>
      <c r="T403" s="4"/>
      <c r="U403" s="4"/>
      <c r="V403" s="47"/>
      <c r="W403" s="4"/>
      <c r="X403" s="4"/>
      <c r="Y403" s="47"/>
      <c r="Z403" s="4"/>
      <c r="AA403" s="4"/>
    </row>
    <row r="404" spans="1:27" ht="24" customHeight="1" x14ac:dyDescent="0.3">
      <c r="A404" s="4"/>
      <c r="B404" s="4"/>
      <c r="C404" s="4"/>
      <c r="D404" s="4"/>
      <c r="E404" s="4"/>
      <c r="F404" s="4"/>
      <c r="G404" s="4"/>
      <c r="H404" s="4"/>
      <c r="I404" s="4"/>
      <c r="J404" s="4"/>
      <c r="K404" s="4"/>
      <c r="L404" s="4"/>
      <c r="M404" s="4"/>
      <c r="N404" s="4"/>
      <c r="O404" s="4"/>
      <c r="P404" s="4"/>
      <c r="Q404" s="4"/>
      <c r="R404" s="4"/>
      <c r="S404" s="47"/>
      <c r="T404" s="4"/>
      <c r="U404" s="4"/>
      <c r="V404" s="47"/>
      <c r="W404" s="4"/>
      <c r="X404" s="4"/>
      <c r="Y404" s="47"/>
      <c r="Z404" s="4"/>
      <c r="AA404" s="4"/>
    </row>
    <row r="405" spans="1:27" ht="24" customHeight="1" x14ac:dyDescent="0.3">
      <c r="A405" s="4"/>
      <c r="B405" s="4"/>
      <c r="C405" s="4"/>
      <c r="D405" s="4"/>
      <c r="E405" s="4"/>
      <c r="F405" s="4"/>
      <c r="G405" s="4"/>
      <c r="H405" s="4"/>
      <c r="I405" s="4"/>
      <c r="J405" s="4"/>
      <c r="K405" s="4"/>
      <c r="L405" s="4"/>
      <c r="M405" s="4"/>
      <c r="N405" s="4"/>
      <c r="O405" s="4"/>
      <c r="P405" s="4"/>
      <c r="Q405" s="4"/>
      <c r="R405" s="4"/>
      <c r="S405" s="47"/>
      <c r="T405" s="4"/>
      <c r="U405" s="4"/>
      <c r="V405" s="47"/>
      <c r="W405" s="4"/>
      <c r="X405" s="4"/>
      <c r="Y405" s="47"/>
      <c r="Z405" s="4"/>
      <c r="AA405" s="4"/>
    </row>
    <row r="406" spans="1:27" ht="24" customHeight="1" x14ac:dyDescent="0.3">
      <c r="A406" s="4"/>
      <c r="B406" s="4"/>
      <c r="C406" s="4"/>
      <c r="D406" s="4"/>
      <c r="E406" s="4"/>
      <c r="F406" s="4"/>
      <c r="G406" s="4"/>
      <c r="H406" s="4"/>
      <c r="I406" s="4"/>
      <c r="J406" s="4"/>
      <c r="K406" s="4"/>
      <c r="L406" s="4"/>
      <c r="M406" s="4"/>
      <c r="N406" s="4"/>
      <c r="O406" s="4"/>
      <c r="P406" s="4"/>
      <c r="Q406" s="4"/>
      <c r="R406" s="4"/>
      <c r="S406" s="47"/>
      <c r="T406" s="4"/>
      <c r="U406" s="4"/>
      <c r="V406" s="47"/>
      <c r="W406" s="4"/>
      <c r="X406" s="4"/>
      <c r="Y406" s="47"/>
      <c r="Z406" s="4"/>
      <c r="AA406" s="4"/>
    </row>
    <row r="407" spans="1:27" ht="24" customHeight="1" x14ac:dyDescent="0.3">
      <c r="A407" s="4"/>
      <c r="B407" s="4"/>
      <c r="C407" s="4"/>
      <c r="D407" s="4"/>
      <c r="E407" s="4"/>
      <c r="F407" s="4"/>
      <c r="G407" s="4"/>
      <c r="H407" s="4"/>
      <c r="I407" s="4"/>
      <c r="J407" s="4"/>
      <c r="K407" s="4"/>
      <c r="L407" s="4"/>
      <c r="M407" s="4"/>
      <c r="N407" s="4"/>
      <c r="O407" s="4"/>
      <c r="P407" s="4"/>
      <c r="Q407" s="4"/>
      <c r="R407" s="4"/>
      <c r="S407" s="47"/>
      <c r="T407" s="4"/>
      <c r="U407" s="4"/>
      <c r="V407" s="47"/>
      <c r="W407" s="4"/>
      <c r="X407" s="4"/>
      <c r="Y407" s="47"/>
      <c r="Z407" s="4"/>
      <c r="AA407" s="4"/>
    </row>
    <row r="408" spans="1:27" ht="24" customHeight="1" x14ac:dyDescent="0.3">
      <c r="A408" s="4"/>
      <c r="B408" s="4"/>
      <c r="C408" s="4"/>
      <c r="D408" s="4"/>
      <c r="E408" s="4"/>
      <c r="F408" s="4"/>
      <c r="G408" s="4"/>
      <c r="H408" s="4"/>
      <c r="I408" s="4"/>
      <c r="J408" s="4"/>
      <c r="K408" s="4"/>
      <c r="L408" s="4"/>
      <c r="M408" s="4"/>
      <c r="N408" s="4"/>
      <c r="O408" s="4"/>
      <c r="P408" s="4"/>
      <c r="Q408" s="4"/>
      <c r="R408" s="4"/>
      <c r="S408" s="47"/>
      <c r="T408" s="4"/>
      <c r="U408" s="4"/>
      <c r="V408" s="47"/>
      <c r="W408" s="4"/>
      <c r="X408" s="4"/>
      <c r="Y408" s="47"/>
      <c r="Z408" s="4"/>
      <c r="AA408" s="4"/>
    </row>
    <row r="409" spans="1:27" ht="24" customHeight="1" x14ac:dyDescent="0.3">
      <c r="A409" s="4"/>
      <c r="B409" s="4"/>
      <c r="C409" s="4"/>
      <c r="D409" s="4"/>
      <c r="E409" s="4"/>
      <c r="F409" s="4"/>
      <c r="G409" s="4"/>
      <c r="H409" s="4"/>
      <c r="I409" s="4"/>
      <c r="J409" s="4"/>
      <c r="K409" s="4"/>
      <c r="L409" s="4"/>
      <c r="M409" s="4"/>
      <c r="N409" s="4"/>
      <c r="O409" s="4"/>
      <c r="P409" s="4"/>
      <c r="Q409" s="4"/>
      <c r="R409" s="4"/>
      <c r="S409" s="47"/>
      <c r="T409" s="4"/>
      <c r="U409" s="4"/>
      <c r="V409" s="47"/>
      <c r="W409" s="4"/>
      <c r="X409" s="4"/>
      <c r="Y409" s="47"/>
      <c r="Z409" s="4"/>
      <c r="AA409" s="4"/>
    </row>
    <row r="410" spans="1:27" ht="24" customHeight="1" x14ac:dyDescent="0.3">
      <c r="A410" s="4"/>
      <c r="B410" s="4"/>
      <c r="C410" s="4"/>
      <c r="D410" s="4"/>
      <c r="E410" s="4"/>
      <c r="F410" s="4"/>
      <c r="G410" s="4"/>
      <c r="H410" s="4"/>
      <c r="I410" s="4"/>
      <c r="J410" s="4"/>
      <c r="K410" s="4"/>
      <c r="L410" s="4"/>
      <c r="M410" s="4"/>
      <c r="N410" s="4"/>
      <c r="O410" s="4"/>
      <c r="P410" s="4"/>
      <c r="Q410" s="4"/>
      <c r="R410" s="4"/>
      <c r="S410" s="47"/>
      <c r="T410" s="4"/>
      <c r="U410" s="4"/>
      <c r="V410" s="47"/>
      <c r="W410" s="4"/>
      <c r="X410" s="4"/>
      <c r="Y410" s="47"/>
      <c r="Z410" s="4"/>
      <c r="AA410" s="4"/>
    </row>
    <row r="411" spans="1:27" ht="24" customHeight="1" x14ac:dyDescent="0.3">
      <c r="A411" s="4"/>
      <c r="B411" s="4"/>
      <c r="C411" s="4"/>
      <c r="D411" s="4"/>
      <c r="E411" s="4"/>
      <c r="F411" s="4"/>
      <c r="G411" s="4"/>
      <c r="H411" s="4"/>
      <c r="I411" s="4"/>
      <c r="J411" s="4"/>
      <c r="K411" s="4"/>
      <c r="L411" s="4"/>
      <c r="M411" s="4"/>
      <c r="N411" s="4"/>
      <c r="O411" s="4"/>
      <c r="P411" s="4"/>
      <c r="Q411" s="4"/>
      <c r="R411" s="4"/>
      <c r="S411" s="47"/>
      <c r="T411" s="4"/>
      <c r="U411" s="4"/>
      <c r="V411" s="47"/>
      <c r="W411" s="4"/>
      <c r="X411" s="4"/>
      <c r="Y411" s="47"/>
      <c r="Z411" s="4"/>
      <c r="AA411" s="4"/>
    </row>
    <row r="412" spans="1:27" ht="24" customHeight="1" x14ac:dyDescent="0.3">
      <c r="A412" s="4"/>
      <c r="B412" s="4"/>
      <c r="C412" s="4"/>
      <c r="D412" s="4"/>
      <c r="E412" s="4"/>
      <c r="F412" s="4"/>
      <c r="G412" s="4"/>
      <c r="H412" s="4"/>
      <c r="I412" s="4"/>
      <c r="J412" s="4"/>
      <c r="K412" s="4"/>
      <c r="L412" s="4"/>
      <c r="M412" s="4"/>
      <c r="N412" s="4"/>
      <c r="O412" s="4"/>
      <c r="P412" s="4"/>
      <c r="Q412" s="4"/>
      <c r="R412" s="4"/>
      <c r="S412" s="47"/>
      <c r="T412" s="4"/>
      <c r="U412" s="4"/>
      <c r="V412" s="47"/>
      <c r="W412" s="4"/>
      <c r="X412" s="4"/>
      <c r="Y412" s="47"/>
      <c r="Z412" s="4"/>
      <c r="AA412" s="4"/>
    </row>
    <row r="413" spans="1:27" ht="24" customHeight="1" x14ac:dyDescent="0.3">
      <c r="A413" s="4"/>
      <c r="B413" s="4"/>
      <c r="C413" s="4"/>
      <c r="D413" s="4"/>
      <c r="E413" s="4"/>
      <c r="F413" s="4"/>
      <c r="G413" s="4"/>
      <c r="H413" s="4"/>
      <c r="I413" s="4"/>
      <c r="J413" s="4"/>
      <c r="K413" s="4"/>
      <c r="L413" s="4"/>
      <c r="M413" s="4"/>
      <c r="N413" s="4"/>
      <c r="O413" s="4"/>
      <c r="P413" s="4"/>
      <c r="Q413" s="4"/>
      <c r="R413" s="4"/>
      <c r="S413" s="47"/>
      <c r="T413" s="4"/>
      <c r="U413" s="4"/>
      <c r="V413" s="47"/>
      <c r="W413" s="4"/>
      <c r="X413" s="4"/>
      <c r="Y413" s="47"/>
      <c r="Z413" s="4"/>
      <c r="AA413" s="4"/>
    </row>
    <row r="414" spans="1:27" ht="24" customHeight="1" x14ac:dyDescent="0.3">
      <c r="A414" s="4"/>
      <c r="B414" s="4"/>
      <c r="C414" s="4"/>
      <c r="D414" s="4"/>
      <c r="E414" s="4"/>
      <c r="F414" s="4"/>
      <c r="G414" s="4"/>
      <c r="H414" s="4"/>
      <c r="I414" s="4"/>
      <c r="J414" s="4"/>
      <c r="K414" s="4"/>
      <c r="L414" s="4"/>
      <c r="M414" s="4"/>
      <c r="N414" s="4"/>
      <c r="O414" s="4"/>
      <c r="P414" s="4"/>
      <c r="Q414" s="4"/>
      <c r="R414" s="4"/>
      <c r="S414" s="47"/>
      <c r="T414" s="4"/>
      <c r="U414" s="4"/>
      <c r="V414" s="47"/>
      <c r="W414" s="4"/>
      <c r="X414" s="4"/>
      <c r="Y414" s="47"/>
      <c r="Z414" s="4"/>
      <c r="AA414" s="4"/>
    </row>
    <row r="415" spans="1:27" ht="24" customHeight="1" x14ac:dyDescent="0.3">
      <c r="A415" s="4"/>
      <c r="B415" s="4"/>
      <c r="C415" s="4"/>
      <c r="D415" s="4"/>
      <c r="E415" s="4"/>
      <c r="F415" s="4"/>
      <c r="G415" s="4"/>
      <c r="H415" s="4"/>
      <c r="I415" s="4"/>
      <c r="J415" s="4"/>
      <c r="K415" s="4"/>
      <c r="L415" s="4"/>
      <c r="M415" s="4"/>
      <c r="N415" s="4"/>
      <c r="O415" s="4"/>
      <c r="P415" s="4"/>
      <c r="Q415" s="4"/>
      <c r="R415" s="4"/>
      <c r="S415" s="47"/>
      <c r="T415" s="4"/>
      <c r="U415" s="4"/>
      <c r="V415" s="47"/>
      <c r="W415" s="4"/>
      <c r="X415" s="4"/>
      <c r="Y415" s="47"/>
      <c r="Z415" s="4"/>
      <c r="AA415" s="4"/>
    </row>
    <row r="416" spans="1:27" ht="24" customHeight="1" x14ac:dyDescent="0.3">
      <c r="A416" s="4"/>
      <c r="B416" s="4"/>
      <c r="C416" s="4"/>
      <c r="D416" s="4"/>
      <c r="E416" s="4"/>
      <c r="F416" s="4"/>
      <c r="G416" s="4"/>
      <c r="H416" s="4"/>
      <c r="I416" s="4"/>
      <c r="J416" s="4"/>
      <c r="K416" s="4"/>
      <c r="L416" s="4"/>
      <c r="M416" s="4"/>
      <c r="N416" s="4"/>
      <c r="O416" s="4"/>
      <c r="P416" s="4"/>
      <c r="Q416" s="4"/>
      <c r="R416" s="4"/>
      <c r="S416" s="47"/>
      <c r="T416" s="4"/>
      <c r="U416" s="4"/>
      <c r="V416" s="47"/>
      <c r="W416" s="4"/>
      <c r="X416" s="4"/>
      <c r="Y416" s="47"/>
      <c r="Z416" s="4"/>
      <c r="AA416" s="4"/>
    </row>
    <row r="417" spans="1:27" ht="24" customHeight="1" x14ac:dyDescent="0.3">
      <c r="A417" s="4"/>
      <c r="B417" s="4"/>
      <c r="C417" s="4"/>
      <c r="D417" s="4"/>
      <c r="E417" s="4"/>
      <c r="F417" s="4"/>
      <c r="G417" s="4"/>
      <c r="H417" s="4"/>
      <c r="I417" s="4"/>
      <c r="J417" s="4"/>
      <c r="K417" s="4"/>
      <c r="L417" s="4"/>
      <c r="M417" s="4"/>
      <c r="N417" s="4"/>
      <c r="O417" s="4"/>
      <c r="P417" s="4"/>
      <c r="Q417" s="4"/>
      <c r="R417" s="4"/>
      <c r="S417" s="47"/>
      <c r="T417" s="4"/>
      <c r="U417" s="4"/>
      <c r="V417" s="47"/>
      <c r="W417" s="4"/>
      <c r="X417" s="4"/>
      <c r="Y417" s="47"/>
      <c r="Z417" s="4"/>
      <c r="AA417" s="4"/>
    </row>
    <row r="418" spans="1:27" ht="24" customHeight="1" x14ac:dyDescent="0.3">
      <c r="A418" s="4"/>
      <c r="B418" s="4"/>
      <c r="C418" s="4"/>
      <c r="D418" s="4"/>
      <c r="E418" s="4"/>
      <c r="F418" s="4"/>
      <c r="G418" s="4"/>
      <c r="H418" s="4"/>
      <c r="I418" s="4"/>
      <c r="J418" s="4"/>
      <c r="K418" s="4"/>
      <c r="L418" s="4"/>
      <c r="M418" s="4"/>
      <c r="N418" s="4"/>
      <c r="O418" s="4"/>
      <c r="P418" s="4"/>
      <c r="Q418" s="4"/>
      <c r="R418" s="4"/>
      <c r="S418" s="47"/>
      <c r="T418" s="4"/>
      <c r="U418" s="4"/>
      <c r="V418" s="47"/>
      <c r="W418" s="4"/>
      <c r="X418" s="4"/>
      <c r="Y418" s="47"/>
      <c r="Z418" s="4"/>
      <c r="AA418" s="4"/>
    </row>
    <row r="419" spans="1:27" ht="24" customHeight="1" x14ac:dyDescent="0.3">
      <c r="A419" s="4"/>
      <c r="B419" s="4"/>
      <c r="C419" s="4"/>
      <c r="D419" s="4"/>
      <c r="E419" s="4"/>
      <c r="F419" s="4"/>
      <c r="G419" s="4"/>
      <c r="H419" s="4"/>
      <c r="I419" s="4"/>
      <c r="J419" s="4"/>
      <c r="K419" s="4"/>
      <c r="L419" s="4"/>
      <c r="M419" s="4"/>
      <c r="N419" s="4"/>
      <c r="O419" s="4"/>
      <c r="P419" s="4"/>
      <c r="Q419" s="4"/>
      <c r="R419" s="4"/>
      <c r="S419" s="47"/>
      <c r="T419" s="4"/>
      <c r="U419" s="4"/>
      <c r="V419" s="47"/>
      <c r="W419" s="4"/>
      <c r="X419" s="4"/>
      <c r="Y419" s="47"/>
      <c r="Z419" s="4"/>
      <c r="AA419" s="4"/>
    </row>
    <row r="420" spans="1:27" ht="24" customHeight="1" x14ac:dyDescent="0.3">
      <c r="A420" s="4"/>
      <c r="B420" s="4"/>
      <c r="C420" s="4"/>
      <c r="D420" s="4"/>
      <c r="E420" s="4"/>
      <c r="F420" s="4"/>
      <c r="G420" s="4"/>
      <c r="H420" s="4"/>
      <c r="I420" s="4"/>
      <c r="J420" s="4"/>
      <c r="K420" s="4"/>
      <c r="L420" s="4"/>
      <c r="M420" s="4"/>
      <c r="N420" s="4"/>
      <c r="O420" s="4"/>
      <c r="P420" s="4"/>
      <c r="Q420" s="4"/>
      <c r="R420" s="4"/>
      <c r="S420" s="47"/>
      <c r="T420" s="4"/>
      <c r="U420" s="4"/>
      <c r="V420" s="47"/>
      <c r="W420" s="4"/>
      <c r="X420" s="4"/>
      <c r="Y420" s="47"/>
      <c r="Z420" s="4"/>
      <c r="AA420" s="4"/>
    </row>
    <row r="421" spans="1:27" ht="24" customHeight="1" x14ac:dyDescent="0.3">
      <c r="A421" s="4"/>
      <c r="B421" s="4"/>
      <c r="C421" s="4"/>
      <c r="D421" s="4"/>
      <c r="E421" s="4"/>
      <c r="F421" s="4"/>
      <c r="G421" s="4"/>
      <c r="H421" s="4"/>
      <c r="I421" s="4"/>
      <c r="J421" s="4"/>
      <c r="K421" s="4"/>
      <c r="L421" s="4"/>
      <c r="M421" s="4"/>
      <c r="N421" s="4"/>
      <c r="O421" s="4"/>
      <c r="P421" s="4"/>
      <c r="Q421" s="4"/>
      <c r="R421" s="4"/>
      <c r="S421" s="47"/>
      <c r="T421" s="4"/>
      <c r="U421" s="4"/>
      <c r="V421" s="47"/>
      <c r="W421" s="4"/>
      <c r="X421" s="4"/>
      <c r="Y421" s="47"/>
      <c r="Z421" s="4"/>
      <c r="AA421" s="4"/>
    </row>
    <row r="422" spans="1:27" ht="24" customHeight="1" x14ac:dyDescent="0.3">
      <c r="A422" s="4"/>
      <c r="B422" s="4"/>
      <c r="C422" s="4"/>
      <c r="D422" s="4"/>
      <c r="E422" s="4"/>
      <c r="F422" s="4"/>
      <c r="G422" s="4"/>
      <c r="H422" s="4"/>
      <c r="I422" s="4"/>
      <c r="J422" s="4"/>
      <c r="K422" s="4"/>
      <c r="L422" s="4"/>
      <c r="M422" s="4"/>
      <c r="N422" s="4"/>
      <c r="O422" s="4"/>
      <c r="P422" s="4"/>
      <c r="Q422" s="4"/>
      <c r="R422" s="4"/>
      <c r="S422" s="47"/>
      <c r="T422" s="4"/>
      <c r="U422" s="4"/>
      <c r="V422" s="47"/>
      <c r="W422" s="4"/>
      <c r="X422" s="4"/>
      <c r="Y422" s="47"/>
      <c r="Z422" s="4"/>
      <c r="AA422" s="4"/>
    </row>
    <row r="423" spans="1:27" ht="24" customHeight="1" x14ac:dyDescent="0.3">
      <c r="A423" s="4"/>
      <c r="B423" s="4"/>
      <c r="C423" s="4"/>
      <c r="D423" s="4"/>
      <c r="E423" s="4"/>
      <c r="F423" s="4"/>
      <c r="G423" s="4"/>
      <c r="H423" s="4"/>
      <c r="I423" s="4"/>
      <c r="J423" s="4"/>
      <c r="K423" s="4"/>
      <c r="L423" s="4"/>
      <c r="M423" s="4"/>
      <c r="N423" s="4"/>
      <c r="O423" s="4"/>
      <c r="P423" s="4"/>
      <c r="Q423" s="4"/>
      <c r="R423" s="4"/>
      <c r="S423" s="47"/>
      <c r="T423" s="4"/>
      <c r="U423" s="4"/>
      <c r="V423" s="47"/>
      <c r="W423" s="4"/>
      <c r="X423" s="4"/>
      <c r="Y423" s="47"/>
      <c r="Z423" s="4"/>
      <c r="AA423" s="4"/>
    </row>
    <row r="424" spans="1:27" ht="24" customHeight="1" x14ac:dyDescent="0.3">
      <c r="A424" s="4"/>
      <c r="B424" s="4"/>
      <c r="C424" s="4"/>
      <c r="D424" s="4"/>
      <c r="E424" s="4"/>
      <c r="F424" s="4"/>
      <c r="G424" s="4"/>
      <c r="H424" s="4"/>
      <c r="I424" s="4"/>
      <c r="J424" s="4"/>
      <c r="K424" s="4"/>
      <c r="L424" s="4"/>
      <c r="M424" s="4"/>
      <c r="N424" s="4"/>
      <c r="O424" s="4"/>
      <c r="P424" s="4"/>
      <c r="Q424" s="4"/>
      <c r="R424" s="4"/>
      <c r="S424" s="47"/>
      <c r="T424" s="4"/>
      <c r="U424" s="4"/>
      <c r="V424" s="47"/>
      <c r="W424" s="4"/>
      <c r="X424" s="4"/>
      <c r="Y424" s="47"/>
      <c r="Z424" s="4"/>
      <c r="AA424" s="4"/>
    </row>
    <row r="425" spans="1:27" ht="24" customHeight="1" x14ac:dyDescent="0.3">
      <c r="A425" s="4"/>
      <c r="B425" s="4"/>
      <c r="C425" s="4"/>
      <c r="D425" s="4"/>
      <c r="E425" s="4"/>
      <c r="F425" s="4"/>
      <c r="G425" s="4"/>
      <c r="H425" s="4"/>
      <c r="I425" s="4"/>
      <c r="J425" s="4"/>
      <c r="K425" s="4"/>
      <c r="L425" s="4"/>
      <c r="M425" s="4"/>
      <c r="N425" s="4"/>
      <c r="O425" s="4"/>
      <c r="P425" s="4"/>
      <c r="Q425" s="4"/>
      <c r="R425" s="4"/>
      <c r="S425" s="47"/>
      <c r="T425" s="4"/>
      <c r="U425" s="4"/>
      <c r="V425" s="47"/>
      <c r="W425" s="4"/>
      <c r="X425" s="4"/>
      <c r="Y425" s="47"/>
      <c r="Z425" s="4"/>
      <c r="AA425" s="4"/>
    </row>
    <row r="426" spans="1:27" ht="24" customHeight="1" x14ac:dyDescent="0.3">
      <c r="A426" s="4"/>
      <c r="B426" s="4"/>
      <c r="C426" s="4"/>
      <c r="D426" s="4"/>
      <c r="E426" s="4"/>
      <c r="F426" s="4"/>
      <c r="G426" s="4"/>
      <c r="H426" s="4"/>
      <c r="I426" s="4"/>
      <c r="J426" s="4"/>
      <c r="K426" s="4"/>
      <c r="L426" s="4"/>
      <c r="M426" s="4"/>
      <c r="N426" s="4"/>
      <c r="O426" s="4"/>
      <c r="P426" s="4"/>
      <c r="Q426" s="4"/>
      <c r="R426" s="4"/>
      <c r="S426" s="47"/>
      <c r="T426" s="4"/>
      <c r="U426" s="4"/>
      <c r="V426" s="47"/>
      <c r="W426" s="4"/>
      <c r="X426" s="4"/>
      <c r="Y426" s="47"/>
      <c r="Z426" s="4"/>
      <c r="AA426" s="4"/>
    </row>
    <row r="427" spans="1:27" ht="24" customHeight="1" x14ac:dyDescent="0.3">
      <c r="A427" s="4"/>
      <c r="B427" s="4"/>
      <c r="C427" s="4"/>
      <c r="D427" s="4"/>
      <c r="E427" s="4"/>
      <c r="F427" s="4"/>
      <c r="G427" s="4"/>
      <c r="H427" s="4"/>
      <c r="I427" s="4"/>
      <c r="J427" s="4"/>
      <c r="K427" s="4"/>
      <c r="L427" s="4"/>
      <c r="M427" s="4"/>
      <c r="N427" s="4"/>
      <c r="O427" s="4"/>
      <c r="P427" s="4"/>
      <c r="Q427" s="4"/>
      <c r="R427" s="4"/>
      <c r="S427" s="47"/>
      <c r="T427" s="4"/>
      <c r="U427" s="4"/>
      <c r="V427" s="47"/>
      <c r="W427" s="4"/>
      <c r="X427" s="4"/>
      <c r="Y427" s="47"/>
      <c r="Z427" s="4"/>
      <c r="AA427" s="4"/>
    </row>
    <row r="428" spans="1:27" ht="24" customHeight="1" x14ac:dyDescent="0.3">
      <c r="A428" s="4"/>
      <c r="B428" s="4"/>
      <c r="C428" s="4"/>
      <c r="D428" s="4"/>
      <c r="E428" s="4"/>
      <c r="F428" s="4"/>
      <c r="G428" s="4"/>
      <c r="H428" s="4"/>
      <c r="I428" s="4"/>
      <c r="J428" s="4"/>
      <c r="K428" s="4"/>
      <c r="L428" s="4"/>
      <c r="M428" s="4"/>
      <c r="N428" s="4"/>
      <c r="O428" s="4"/>
      <c r="P428" s="4"/>
      <c r="Q428" s="4"/>
      <c r="R428" s="4"/>
      <c r="S428" s="47"/>
      <c r="T428" s="4"/>
      <c r="U428" s="4"/>
      <c r="V428" s="47"/>
      <c r="W428" s="4"/>
      <c r="X428" s="4"/>
      <c r="Y428" s="47"/>
      <c r="Z428" s="4"/>
      <c r="AA428" s="4"/>
    </row>
    <row r="429" spans="1:27" ht="24" customHeight="1" x14ac:dyDescent="0.3">
      <c r="A429" s="4"/>
      <c r="B429" s="4"/>
      <c r="C429" s="4"/>
      <c r="D429" s="4"/>
      <c r="E429" s="4"/>
      <c r="F429" s="4"/>
      <c r="G429" s="4"/>
      <c r="H429" s="4"/>
      <c r="I429" s="4"/>
      <c r="J429" s="4"/>
      <c r="K429" s="4"/>
      <c r="L429" s="4"/>
      <c r="M429" s="4"/>
      <c r="N429" s="4"/>
      <c r="O429" s="4"/>
      <c r="P429" s="4"/>
      <c r="Q429" s="4"/>
      <c r="R429" s="4"/>
      <c r="S429" s="47"/>
      <c r="T429" s="4"/>
      <c r="U429" s="4"/>
      <c r="V429" s="47"/>
      <c r="W429" s="4"/>
      <c r="X429" s="4"/>
      <c r="Y429" s="47"/>
      <c r="Z429" s="4"/>
      <c r="AA429" s="4"/>
    </row>
    <row r="430" spans="1:27" ht="24" customHeight="1" x14ac:dyDescent="0.3">
      <c r="A430" s="4"/>
      <c r="B430" s="4"/>
      <c r="C430" s="4"/>
      <c r="D430" s="4"/>
      <c r="E430" s="4"/>
      <c r="F430" s="4"/>
      <c r="G430" s="4"/>
      <c r="H430" s="4"/>
      <c r="I430" s="4"/>
      <c r="J430" s="4"/>
      <c r="K430" s="4"/>
      <c r="L430" s="4"/>
      <c r="M430" s="4"/>
      <c r="N430" s="4"/>
      <c r="O430" s="4"/>
      <c r="P430" s="4"/>
      <c r="Q430" s="4"/>
      <c r="R430" s="4"/>
      <c r="S430" s="47"/>
      <c r="T430" s="4"/>
      <c r="U430" s="4"/>
      <c r="V430" s="47"/>
      <c r="W430" s="4"/>
      <c r="X430" s="4"/>
      <c r="Y430" s="47"/>
      <c r="Z430" s="4"/>
      <c r="AA430" s="4"/>
    </row>
    <row r="431" spans="1:27" ht="24" customHeight="1" x14ac:dyDescent="0.3">
      <c r="A431" s="4"/>
      <c r="B431" s="4"/>
      <c r="C431" s="4"/>
      <c r="D431" s="4"/>
      <c r="E431" s="4"/>
      <c r="F431" s="4"/>
      <c r="G431" s="4"/>
      <c r="H431" s="4"/>
      <c r="I431" s="4"/>
      <c r="J431" s="4"/>
      <c r="K431" s="4"/>
      <c r="L431" s="4"/>
      <c r="M431" s="4"/>
      <c r="N431" s="4"/>
      <c r="O431" s="4"/>
      <c r="P431" s="4"/>
      <c r="Q431" s="4"/>
      <c r="R431" s="4"/>
      <c r="S431" s="47"/>
      <c r="T431" s="4"/>
      <c r="U431" s="4"/>
      <c r="V431" s="47"/>
      <c r="W431" s="4"/>
      <c r="X431" s="4"/>
      <c r="Y431" s="47"/>
      <c r="Z431" s="4"/>
      <c r="AA431" s="4"/>
    </row>
    <row r="432" spans="1:27" ht="24" customHeight="1" x14ac:dyDescent="0.3">
      <c r="A432" s="4"/>
      <c r="B432" s="4"/>
      <c r="C432" s="4"/>
      <c r="D432" s="4"/>
      <c r="E432" s="4"/>
      <c r="F432" s="4"/>
      <c r="G432" s="4"/>
      <c r="H432" s="4"/>
      <c r="I432" s="4"/>
      <c r="J432" s="4"/>
      <c r="K432" s="4"/>
      <c r="L432" s="4"/>
      <c r="M432" s="4"/>
      <c r="N432" s="4"/>
      <c r="O432" s="4"/>
      <c r="P432" s="4"/>
      <c r="Q432" s="4"/>
      <c r="R432" s="4"/>
      <c r="S432" s="47"/>
      <c r="T432" s="4"/>
      <c r="U432" s="4"/>
      <c r="V432" s="47"/>
      <c r="W432" s="4"/>
      <c r="X432" s="4"/>
      <c r="Y432" s="47"/>
      <c r="Z432" s="4"/>
      <c r="AA432" s="4"/>
    </row>
    <row r="433" spans="1:27" ht="24" customHeight="1" x14ac:dyDescent="0.3">
      <c r="A433" s="4"/>
      <c r="B433" s="4"/>
      <c r="C433" s="4"/>
      <c r="D433" s="4"/>
      <c r="E433" s="4"/>
      <c r="F433" s="4"/>
      <c r="G433" s="4"/>
      <c r="H433" s="4"/>
      <c r="I433" s="4"/>
      <c r="J433" s="4"/>
      <c r="K433" s="4"/>
      <c r="L433" s="4"/>
      <c r="M433" s="4"/>
      <c r="N433" s="4"/>
      <c r="O433" s="4"/>
      <c r="P433" s="4"/>
      <c r="Q433" s="4"/>
      <c r="R433" s="4"/>
      <c r="S433" s="47"/>
      <c r="T433" s="4"/>
      <c r="U433" s="4"/>
      <c r="V433" s="47"/>
      <c r="W433" s="4"/>
      <c r="X433" s="4"/>
      <c r="Y433" s="47"/>
      <c r="Z433" s="4"/>
      <c r="AA433" s="4"/>
    </row>
    <row r="434" spans="1:27" ht="24" customHeight="1" x14ac:dyDescent="0.3">
      <c r="A434" s="4"/>
      <c r="B434" s="4"/>
      <c r="C434" s="4"/>
      <c r="D434" s="4"/>
      <c r="E434" s="4"/>
      <c r="F434" s="4"/>
      <c r="G434" s="4"/>
      <c r="H434" s="4"/>
      <c r="I434" s="4"/>
      <c r="J434" s="4"/>
      <c r="K434" s="4"/>
      <c r="L434" s="4"/>
      <c r="M434" s="4"/>
      <c r="N434" s="4"/>
      <c r="O434" s="4"/>
      <c r="P434" s="4"/>
      <c r="Q434" s="4"/>
      <c r="R434" s="4"/>
      <c r="S434" s="47"/>
      <c r="T434" s="4"/>
      <c r="U434" s="4"/>
      <c r="V434" s="47"/>
      <c r="W434" s="4"/>
      <c r="X434" s="4"/>
      <c r="Y434" s="47"/>
      <c r="Z434" s="4"/>
      <c r="AA434" s="4"/>
    </row>
    <row r="435" spans="1:27" ht="24" customHeight="1" x14ac:dyDescent="0.3">
      <c r="A435" s="4"/>
      <c r="B435" s="4"/>
      <c r="C435" s="4"/>
      <c r="D435" s="4"/>
      <c r="E435" s="4"/>
      <c r="F435" s="4"/>
      <c r="G435" s="4"/>
      <c r="H435" s="4"/>
      <c r="I435" s="4"/>
      <c r="J435" s="4"/>
      <c r="K435" s="4"/>
      <c r="L435" s="4"/>
      <c r="M435" s="4"/>
      <c r="N435" s="4"/>
      <c r="O435" s="4"/>
      <c r="P435" s="4"/>
      <c r="Q435" s="4"/>
      <c r="R435" s="4"/>
      <c r="S435" s="47"/>
      <c r="T435" s="4"/>
      <c r="U435" s="4"/>
      <c r="V435" s="47"/>
      <c r="W435" s="4"/>
      <c r="X435" s="4"/>
      <c r="Y435" s="47"/>
      <c r="Z435" s="4"/>
      <c r="AA435" s="4"/>
    </row>
    <row r="436" spans="1:27" ht="24" customHeight="1" x14ac:dyDescent="0.3">
      <c r="A436" s="4"/>
      <c r="B436" s="4"/>
      <c r="C436" s="4"/>
      <c r="D436" s="4"/>
      <c r="E436" s="4"/>
      <c r="F436" s="4"/>
      <c r="G436" s="4"/>
      <c r="H436" s="4"/>
      <c r="I436" s="4"/>
      <c r="J436" s="4"/>
      <c r="K436" s="4"/>
      <c r="L436" s="4"/>
      <c r="M436" s="4"/>
      <c r="N436" s="4"/>
      <c r="O436" s="4"/>
      <c r="P436" s="4"/>
      <c r="Q436" s="4"/>
      <c r="R436" s="4"/>
      <c r="S436" s="47"/>
      <c r="T436" s="4"/>
      <c r="U436" s="4"/>
      <c r="V436" s="47"/>
      <c r="W436" s="4"/>
      <c r="X436" s="4"/>
      <c r="Y436" s="47"/>
      <c r="Z436" s="4"/>
      <c r="AA436" s="4"/>
    </row>
    <row r="437" spans="1:27" ht="24" customHeight="1" x14ac:dyDescent="0.3">
      <c r="A437" s="4"/>
      <c r="B437" s="4"/>
      <c r="C437" s="4"/>
      <c r="D437" s="4"/>
      <c r="E437" s="4"/>
      <c r="F437" s="4"/>
      <c r="G437" s="4"/>
      <c r="H437" s="4"/>
      <c r="I437" s="4"/>
      <c r="J437" s="4"/>
      <c r="K437" s="4"/>
      <c r="L437" s="4"/>
      <c r="M437" s="4"/>
      <c r="N437" s="4"/>
      <c r="O437" s="4"/>
      <c r="P437" s="4"/>
      <c r="Q437" s="4"/>
      <c r="R437" s="4"/>
      <c r="S437" s="47"/>
      <c r="T437" s="4"/>
      <c r="U437" s="4"/>
      <c r="V437" s="47"/>
      <c r="W437" s="4"/>
      <c r="X437" s="4"/>
      <c r="Y437" s="47"/>
      <c r="Z437" s="4"/>
      <c r="AA437" s="4"/>
    </row>
    <row r="438" spans="1:27" ht="24" customHeight="1" x14ac:dyDescent="0.3">
      <c r="A438" s="4"/>
      <c r="B438" s="4"/>
      <c r="C438" s="4"/>
      <c r="D438" s="4"/>
      <c r="E438" s="4"/>
      <c r="F438" s="4"/>
      <c r="G438" s="4"/>
      <c r="H438" s="4"/>
      <c r="I438" s="4"/>
      <c r="J438" s="4"/>
      <c r="K438" s="4"/>
      <c r="L438" s="4"/>
      <c r="M438" s="4"/>
      <c r="N438" s="4"/>
      <c r="O438" s="4"/>
      <c r="P438" s="4"/>
      <c r="Q438" s="4"/>
      <c r="R438" s="4"/>
      <c r="S438" s="47"/>
      <c r="T438" s="4"/>
      <c r="U438" s="4"/>
      <c r="V438" s="47"/>
      <c r="W438" s="4"/>
      <c r="X438" s="4"/>
      <c r="Y438" s="47"/>
      <c r="Z438" s="4"/>
      <c r="AA438" s="4"/>
    </row>
    <row r="439" spans="1:27" ht="24" customHeight="1" x14ac:dyDescent="0.3">
      <c r="A439" s="4"/>
      <c r="B439" s="4"/>
      <c r="C439" s="4"/>
      <c r="D439" s="4"/>
      <c r="E439" s="4"/>
      <c r="F439" s="4"/>
      <c r="G439" s="4"/>
      <c r="H439" s="4"/>
      <c r="I439" s="4"/>
      <c r="J439" s="4"/>
      <c r="K439" s="4"/>
      <c r="L439" s="4"/>
      <c r="M439" s="4"/>
      <c r="N439" s="4"/>
      <c r="O439" s="4"/>
      <c r="P439" s="4"/>
      <c r="Q439" s="4"/>
      <c r="R439" s="4"/>
      <c r="S439" s="47"/>
      <c r="T439" s="4"/>
      <c r="U439" s="4"/>
      <c r="V439" s="47"/>
      <c r="W439" s="4"/>
      <c r="X439" s="4"/>
      <c r="Y439" s="47"/>
      <c r="Z439" s="4"/>
      <c r="AA439" s="4"/>
    </row>
    <row r="440" spans="1:27" ht="24" customHeight="1" x14ac:dyDescent="0.3">
      <c r="A440" s="4"/>
      <c r="B440" s="4"/>
      <c r="C440" s="4"/>
      <c r="D440" s="4"/>
      <c r="E440" s="4"/>
      <c r="F440" s="4"/>
      <c r="G440" s="4"/>
      <c r="H440" s="4"/>
      <c r="I440" s="4"/>
      <c r="J440" s="4"/>
      <c r="K440" s="4"/>
      <c r="L440" s="4"/>
      <c r="M440" s="4"/>
      <c r="N440" s="4"/>
      <c r="O440" s="4"/>
      <c r="P440" s="4"/>
      <c r="Q440" s="4"/>
      <c r="R440" s="4"/>
      <c r="S440" s="47"/>
      <c r="T440" s="4"/>
      <c r="U440" s="4"/>
      <c r="V440" s="47"/>
      <c r="W440" s="4"/>
      <c r="X440" s="4"/>
      <c r="Y440" s="47"/>
      <c r="Z440" s="4"/>
      <c r="AA440" s="4"/>
    </row>
    <row r="441" spans="1:27" ht="24" customHeight="1" x14ac:dyDescent="0.3">
      <c r="A441" s="4"/>
      <c r="B441" s="4"/>
      <c r="C441" s="4"/>
      <c r="D441" s="4"/>
      <c r="E441" s="4"/>
      <c r="F441" s="4"/>
      <c r="G441" s="4"/>
      <c r="H441" s="4"/>
      <c r="I441" s="4"/>
      <c r="J441" s="4"/>
      <c r="K441" s="4"/>
      <c r="L441" s="4"/>
      <c r="M441" s="4"/>
      <c r="N441" s="4"/>
      <c r="O441" s="4"/>
      <c r="P441" s="4"/>
      <c r="Q441" s="4"/>
      <c r="R441" s="4"/>
      <c r="S441" s="47"/>
      <c r="T441" s="4"/>
      <c r="U441" s="4"/>
      <c r="V441" s="47"/>
      <c r="W441" s="4"/>
      <c r="X441" s="4"/>
      <c r="Y441" s="47"/>
      <c r="Z441" s="4"/>
      <c r="AA441" s="4"/>
    </row>
    <row r="442" spans="1:27" ht="24" customHeight="1" x14ac:dyDescent="0.3">
      <c r="A442" s="4"/>
      <c r="B442" s="4"/>
      <c r="C442" s="4"/>
      <c r="D442" s="4"/>
      <c r="E442" s="4"/>
      <c r="F442" s="4"/>
      <c r="G442" s="4"/>
      <c r="H442" s="4"/>
      <c r="I442" s="4"/>
      <c r="J442" s="4"/>
      <c r="K442" s="4"/>
      <c r="L442" s="4"/>
      <c r="M442" s="4"/>
      <c r="N442" s="4"/>
      <c r="O442" s="4"/>
      <c r="P442" s="4"/>
      <c r="Q442" s="4"/>
      <c r="R442" s="4"/>
      <c r="S442" s="47"/>
      <c r="T442" s="4"/>
      <c r="U442" s="4"/>
      <c r="V442" s="47"/>
      <c r="W442" s="4"/>
      <c r="X442" s="4"/>
      <c r="Y442" s="47"/>
      <c r="Z442" s="4"/>
      <c r="AA442" s="4"/>
    </row>
    <row r="443" spans="1:27" ht="24" customHeight="1" x14ac:dyDescent="0.3">
      <c r="A443" s="4"/>
      <c r="B443" s="4"/>
      <c r="C443" s="4"/>
      <c r="D443" s="4"/>
      <c r="E443" s="4"/>
      <c r="F443" s="4"/>
      <c r="G443" s="4"/>
      <c r="H443" s="4"/>
      <c r="I443" s="4"/>
      <c r="J443" s="4"/>
      <c r="K443" s="4"/>
      <c r="L443" s="4"/>
      <c r="M443" s="4"/>
      <c r="N443" s="4"/>
      <c r="O443" s="4"/>
      <c r="P443" s="4"/>
      <c r="Q443" s="4"/>
      <c r="R443" s="4"/>
      <c r="S443" s="47"/>
      <c r="T443" s="4"/>
      <c r="U443" s="4"/>
      <c r="V443" s="47"/>
      <c r="W443" s="4"/>
      <c r="X443" s="4"/>
      <c r="Y443" s="47"/>
      <c r="Z443" s="4"/>
      <c r="AA443" s="4"/>
    </row>
    <row r="444" spans="1:27" ht="24" customHeight="1" x14ac:dyDescent="0.3">
      <c r="A444" s="4"/>
      <c r="B444" s="4"/>
      <c r="C444" s="4"/>
      <c r="D444" s="4"/>
      <c r="E444" s="4"/>
      <c r="F444" s="4"/>
      <c r="G444" s="4"/>
      <c r="H444" s="4"/>
      <c r="I444" s="4"/>
      <c r="J444" s="4"/>
      <c r="K444" s="4"/>
      <c r="L444" s="4"/>
      <c r="M444" s="4"/>
      <c r="N444" s="4"/>
      <c r="O444" s="4"/>
      <c r="P444" s="4"/>
      <c r="Q444" s="4"/>
      <c r="R444" s="4"/>
      <c r="S444" s="47"/>
      <c r="T444" s="4"/>
      <c r="U444" s="4"/>
      <c r="V444" s="47"/>
      <c r="W444" s="4"/>
      <c r="X444" s="4"/>
      <c r="Y444" s="47"/>
      <c r="Z444" s="4"/>
      <c r="AA444" s="4"/>
    </row>
    <row r="445" spans="1:27" ht="24" customHeight="1" x14ac:dyDescent="0.3">
      <c r="A445" s="4"/>
      <c r="B445" s="4"/>
      <c r="C445" s="4"/>
      <c r="D445" s="4"/>
      <c r="E445" s="4"/>
      <c r="F445" s="4"/>
      <c r="G445" s="4"/>
      <c r="H445" s="4"/>
      <c r="I445" s="4"/>
      <c r="J445" s="4"/>
      <c r="K445" s="4"/>
      <c r="L445" s="4"/>
      <c r="M445" s="4"/>
      <c r="N445" s="4"/>
      <c r="O445" s="4"/>
      <c r="P445" s="4"/>
      <c r="Q445" s="4"/>
      <c r="R445" s="4"/>
      <c r="S445" s="47"/>
      <c r="T445" s="4"/>
      <c r="U445" s="4"/>
      <c r="V445" s="47"/>
      <c r="W445" s="4"/>
      <c r="X445" s="4"/>
      <c r="Y445" s="47"/>
      <c r="Z445" s="4"/>
      <c r="AA445" s="4"/>
    </row>
    <row r="446" spans="1:27" ht="24" customHeight="1" x14ac:dyDescent="0.3">
      <c r="A446" s="4"/>
      <c r="B446" s="4"/>
      <c r="C446" s="4"/>
      <c r="D446" s="4"/>
      <c r="E446" s="4"/>
      <c r="F446" s="4"/>
      <c r="G446" s="4"/>
      <c r="H446" s="4"/>
      <c r="I446" s="4"/>
      <c r="J446" s="4"/>
      <c r="K446" s="4"/>
      <c r="L446" s="4"/>
      <c r="M446" s="4"/>
      <c r="N446" s="4"/>
      <c r="O446" s="4"/>
      <c r="P446" s="4"/>
      <c r="Q446" s="4"/>
      <c r="R446" s="4"/>
      <c r="S446" s="47"/>
      <c r="T446" s="4"/>
      <c r="U446" s="4"/>
      <c r="V446" s="47"/>
      <c r="W446" s="4"/>
      <c r="X446" s="4"/>
      <c r="Y446" s="47"/>
      <c r="Z446" s="4"/>
      <c r="AA446" s="4"/>
    </row>
    <row r="447" spans="1:27" ht="24" customHeight="1" x14ac:dyDescent="0.3">
      <c r="A447" s="4"/>
      <c r="B447" s="4"/>
      <c r="C447" s="4"/>
      <c r="D447" s="4"/>
      <c r="E447" s="4"/>
      <c r="F447" s="4"/>
      <c r="G447" s="4"/>
      <c r="H447" s="4"/>
      <c r="I447" s="4"/>
      <c r="J447" s="4"/>
      <c r="K447" s="4"/>
      <c r="L447" s="4"/>
      <c r="M447" s="4"/>
      <c r="N447" s="4"/>
      <c r="O447" s="4"/>
      <c r="P447" s="4"/>
      <c r="Q447" s="4"/>
      <c r="R447" s="4"/>
      <c r="S447" s="47"/>
      <c r="T447" s="4"/>
      <c r="U447" s="4"/>
      <c r="V447" s="47"/>
      <c r="W447" s="4"/>
      <c r="X447" s="4"/>
      <c r="Y447" s="47"/>
      <c r="Z447" s="4"/>
      <c r="AA447" s="4"/>
    </row>
    <row r="448" spans="1:27" ht="24" customHeight="1" x14ac:dyDescent="0.3">
      <c r="A448" s="4"/>
      <c r="B448" s="4"/>
      <c r="C448" s="4"/>
      <c r="D448" s="4"/>
      <c r="E448" s="4"/>
      <c r="F448" s="4"/>
      <c r="G448" s="4"/>
      <c r="H448" s="4"/>
      <c r="I448" s="4"/>
      <c r="J448" s="4"/>
      <c r="K448" s="4"/>
      <c r="L448" s="4"/>
      <c r="M448" s="4"/>
      <c r="N448" s="4"/>
      <c r="O448" s="4"/>
      <c r="P448" s="4"/>
      <c r="Q448" s="4"/>
      <c r="R448" s="4"/>
      <c r="S448" s="47"/>
      <c r="T448" s="4"/>
      <c r="U448" s="4"/>
      <c r="V448" s="47"/>
      <c r="W448" s="4"/>
      <c r="X448" s="4"/>
      <c r="Y448" s="47"/>
      <c r="Z448" s="4"/>
      <c r="AA448" s="4"/>
    </row>
    <row r="449" spans="1:27" ht="24" customHeight="1" x14ac:dyDescent="0.3">
      <c r="A449" s="4"/>
      <c r="B449" s="4"/>
      <c r="C449" s="4"/>
      <c r="D449" s="4"/>
      <c r="E449" s="4"/>
      <c r="F449" s="4"/>
      <c r="G449" s="4"/>
      <c r="H449" s="4"/>
      <c r="I449" s="4"/>
      <c r="J449" s="4"/>
      <c r="K449" s="4"/>
      <c r="L449" s="4"/>
      <c r="M449" s="4"/>
      <c r="N449" s="4"/>
      <c r="O449" s="4"/>
      <c r="P449" s="4"/>
      <c r="Q449" s="4"/>
      <c r="R449" s="4"/>
      <c r="S449" s="47"/>
      <c r="T449" s="4"/>
      <c r="U449" s="4"/>
      <c r="V449" s="47"/>
      <c r="W449" s="4"/>
      <c r="X449" s="4"/>
      <c r="Y449" s="47"/>
      <c r="Z449" s="4"/>
      <c r="AA449" s="4"/>
    </row>
    <row r="450" spans="1:27" ht="24" customHeight="1" x14ac:dyDescent="0.3">
      <c r="A450" s="4"/>
      <c r="B450" s="4"/>
      <c r="C450" s="4"/>
      <c r="D450" s="4"/>
      <c r="E450" s="4"/>
      <c r="F450" s="4"/>
      <c r="G450" s="4"/>
      <c r="H450" s="4"/>
      <c r="I450" s="4"/>
      <c r="J450" s="4"/>
      <c r="K450" s="4"/>
      <c r="L450" s="4"/>
      <c r="M450" s="4"/>
      <c r="N450" s="4"/>
      <c r="O450" s="4"/>
      <c r="P450" s="4"/>
      <c r="Q450" s="4"/>
      <c r="R450" s="4"/>
      <c r="S450" s="47"/>
      <c r="T450" s="4"/>
      <c r="U450" s="4"/>
      <c r="V450" s="47"/>
      <c r="W450" s="4"/>
      <c r="X450" s="4"/>
      <c r="Y450" s="47"/>
      <c r="Z450" s="4"/>
      <c r="AA450" s="4"/>
    </row>
    <row r="451" spans="1:27" ht="24" customHeight="1" x14ac:dyDescent="0.3">
      <c r="A451" s="4"/>
      <c r="B451" s="4"/>
      <c r="C451" s="4"/>
      <c r="D451" s="4"/>
      <c r="E451" s="4"/>
      <c r="F451" s="4"/>
      <c r="G451" s="4"/>
      <c r="H451" s="4"/>
      <c r="I451" s="4"/>
      <c r="J451" s="4"/>
      <c r="K451" s="4"/>
      <c r="L451" s="4"/>
      <c r="M451" s="4"/>
      <c r="N451" s="4"/>
      <c r="O451" s="4"/>
      <c r="P451" s="4"/>
      <c r="Q451" s="4"/>
      <c r="R451" s="4"/>
      <c r="S451" s="47"/>
      <c r="T451" s="4"/>
      <c r="U451" s="4"/>
      <c r="V451" s="47"/>
      <c r="W451" s="4"/>
      <c r="X451" s="4"/>
      <c r="Y451" s="47"/>
      <c r="Z451" s="4"/>
      <c r="AA451" s="4"/>
    </row>
    <row r="452" spans="1:27" ht="24" customHeight="1" x14ac:dyDescent="0.3">
      <c r="A452" s="4"/>
      <c r="B452" s="4"/>
      <c r="C452" s="4"/>
      <c r="D452" s="4"/>
      <c r="E452" s="4"/>
      <c r="F452" s="4"/>
      <c r="G452" s="4"/>
      <c r="H452" s="4"/>
      <c r="I452" s="4"/>
      <c r="J452" s="4"/>
      <c r="K452" s="4"/>
      <c r="L452" s="4"/>
      <c r="M452" s="4"/>
      <c r="N452" s="4"/>
      <c r="O452" s="4"/>
      <c r="P452" s="4"/>
      <c r="Q452" s="4"/>
      <c r="R452" s="4"/>
      <c r="S452" s="47"/>
      <c r="T452" s="4"/>
      <c r="U452" s="4"/>
      <c r="V452" s="47"/>
      <c r="W452" s="4"/>
      <c r="X452" s="4"/>
      <c r="Y452" s="47"/>
      <c r="Z452" s="4"/>
      <c r="AA452" s="4"/>
    </row>
    <row r="453" spans="1:27" ht="24" customHeight="1" x14ac:dyDescent="0.3">
      <c r="A453" s="4"/>
      <c r="B453" s="4"/>
      <c r="C453" s="4"/>
      <c r="D453" s="4"/>
      <c r="E453" s="4"/>
      <c r="F453" s="4"/>
      <c r="G453" s="4"/>
      <c r="H453" s="4"/>
      <c r="I453" s="4"/>
      <c r="J453" s="4"/>
      <c r="K453" s="4"/>
      <c r="L453" s="4"/>
      <c r="M453" s="4"/>
      <c r="N453" s="4"/>
      <c r="O453" s="4"/>
      <c r="P453" s="4"/>
      <c r="Q453" s="4"/>
      <c r="R453" s="4"/>
      <c r="S453" s="47"/>
      <c r="T453" s="4"/>
      <c r="U453" s="4"/>
      <c r="V453" s="47"/>
      <c r="W453" s="4"/>
      <c r="X453" s="4"/>
      <c r="Y453" s="47"/>
      <c r="Z453" s="4"/>
      <c r="AA453" s="4"/>
    </row>
    <row r="454" spans="1:27" ht="24" customHeight="1" x14ac:dyDescent="0.3">
      <c r="A454" s="4"/>
      <c r="B454" s="4"/>
      <c r="C454" s="4"/>
      <c r="D454" s="4"/>
      <c r="E454" s="4"/>
      <c r="F454" s="4"/>
      <c r="G454" s="4"/>
      <c r="H454" s="4"/>
      <c r="I454" s="4"/>
      <c r="J454" s="4"/>
      <c r="K454" s="4"/>
      <c r="L454" s="4"/>
      <c r="M454" s="4"/>
      <c r="N454" s="4"/>
      <c r="O454" s="4"/>
      <c r="P454" s="4"/>
      <c r="Q454" s="4"/>
      <c r="R454" s="4"/>
      <c r="S454" s="47"/>
      <c r="T454" s="4"/>
      <c r="U454" s="4"/>
      <c r="V454" s="47"/>
      <c r="W454" s="4"/>
      <c r="X454" s="4"/>
      <c r="Y454" s="47"/>
      <c r="Z454" s="4"/>
      <c r="AA454" s="4"/>
    </row>
    <row r="455" spans="1:27" ht="24" customHeight="1" x14ac:dyDescent="0.3">
      <c r="A455" s="4"/>
      <c r="B455" s="4"/>
      <c r="C455" s="4"/>
      <c r="D455" s="4"/>
      <c r="E455" s="4"/>
      <c r="F455" s="4"/>
      <c r="G455" s="4"/>
      <c r="H455" s="4"/>
      <c r="I455" s="4"/>
      <c r="J455" s="4"/>
      <c r="K455" s="4"/>
      <c r="L455" s="4"/>
      <c r="M455" s="4"/>
      <c r="N455" s="4"/>
      <c r="O455" s="4"/>
      <c r="P455" s="4"/>
      <c r="Q455" s="4"/>
      <c r="R455" s="4"/>
      <c r="S455" s="47"/>
      <c r="T455" s="4"/>
      <c r="U455" s="4"/>
      <c r="V455" s="47"/>
      <c r="W455" s="4"/>
      <c r="X455" s="4"/>
      <c r="Y455" s="47"/>
      <c r="Z455" s="4"/>
      <c r="AA455" s="4"/>
    </row>
    <row r="456" spans="1:27" ht="24" customHeight="1" x14ac:dyDescent="0.3">
      <c r="A456" s="4"/>
      <c r="B456" s="4"/>
      <c r="C456" s="4"/>
      <c r="D456" s="4"/>
      <c r="E456" s="4"/>
      <c r="F456" s="4"/>
      <c r="G456" s="4"/>
      <c r="H456" s="4"/>
      <c r="I456" s="4"/>
      <c r="J456" s="4"/>
      <c r="K456" s="4"/>
      <c r="L456" s="4"/>
      <c r="M456" s="4"/>
      <c r="N456" s="4"/>
      <c r="O456" s="4"/>
      <c r="P456" s="4"/>
      <c r="Q456" s="4"/>
      <c r="R456" s="4"/>
      <c r="S456" s="47"/>
      <c r="T456" s="4"/>
      <c r="U456" s="4"/>
      <c r="V456" s="47"/>
      <c r="W456" s="4"/>
      <c r="X456" s="4"/>
      <c r="Y456" s="47"/>
      <c r="Z456" s="4"/>
      <c r="AA456" s="4"/>
    </row>
    <row r="457" spans="1:27" ht="24" customHeight="1" x14ac:dyDescent="0.3">
      <c r="A457" s="4"/>
      <c r="B457" s="4"/>
      <c r="C457" s="4"/>
      <c r="D457" s="4"/>
      <c r="E457" s="4"/>
      <c r="F457" s="4"/>
      <c r="G457" s="4"/>
      <c r="H457" s="4"/>
      <c r="I457" s="4"/>
      <c r="J457" s="4"/>
      <c r="K457" s="4"/>
      <c r="L457" s="4"/>
      <c r="M457" s="4"/>
      <c r="N457" s="4"/>
      <c r="O457" s="4"/>
      <c r="P457" s="4"/>
      <c r="Q457" s="4"/>
      <c r="R457" s="4"/>
      <c r="S457" s="47"/>
      <c r="T457" s="4"/>
      <c r="U457" s="4"/>
      <c r="V457" s="47"/>
      <c r="W457" s="4"/>
      <c r="X457" s="4"/>
      <c r="Y457" s="47"/>
      <c r="Z457" s="4"/>
      <c r="AA457" s="4"/>
    </row>
    <row r="458" spans="1:27" ht="24" customHeight="1" x14ac:dyDescent="0.3">
      <c r="A458" s="4"/>
      <c r="B458" s="4"/>
      <c r="C458" s="4"/>
      <c r="D458" s="4"/>
      <c r="E458" s="4"/>
      <c r="F458" s="4"/>
      <c r="G458" s="4"/>
      <c r="H458" s="4"/>
      <c r="I458" s="4"/>
      <c r="J458" s="4"/>
      <c r="K458" s="4"/>
      <c r="L458" s="4"/>
      <c r="M458" s="4"/>
      <c r="N458" s="4"/>
      <c r="O458" s="4"/>
      <c r="P458" s="4"/>
      <c r="Q458" s="4"/>
      <c r="R458" s="4"/>
      <c r="S458" s="47"/>
      <c r="T458" s="4"/>
      <c r="U458" s="4"/>
      <c r="V458" s="47"/>
      <c r="W458" s="4"/>
      <c r="X458" s="4"/>
      <c r="Y458" s="47"/>
      <c r="Z458" s="4"/>
      <c r="AA458" s="4"/>
    </row>
    <row r="459" spans="1:27" ht="24" customHeight="1" x14ac:dyDescent="0.3">
      <c r="A459" s="4"/>
      <c r="B459" s="4"/>
      <c r="C459" s="4"/>
      <c r="D459" s="4"/>
      <c r="E459" s="4"/>
      <c r="F459" s="4"/>
      <c r="G459" s="4"/>
      <c r="H459" s="4"/>
      <c r="I459" s="4"/>
      <c r="J459" s="4"/>
      <c r="K459" s="4"/>
      <c r="L459" s="4"/>
      <c r="M459" s="4"/>
      <c r="N459" s="4"/>
      <c r="O459" s="4"/>
      <c r="P459" s="4"/>
      <c r="Q459" s="4"/>
      <c r="R459" s="4"/>
      <c r="S459" s="47"/>
      <c r="T459" s="4"/>
      <c r="U459" s="4"/>
      <c r="V459" s="47"/>
      <c r="W459" s="4"/>
      <c r="X459" s="4"/>
      <c r="Y459" s="47"/>
      <c r="Z459" s="4"/>
      <c r="AA459" s="4"/>
    </row>
    <row r="460" spans="1:27" ht="24" customHeight="1" x14ac:dyDescent="0.3">
      <c r="A460" s="4"/>
      <c r="B460" s="4"/>
      <c r="C460" s="4"/>
      <c r="D460" s="4"/>
      <c r="E460" s="4"/>
      <c r="F460" s="4"/>
      <c r="G460" s="4"/>
      <c r="H460" s="4"/>
      <c r="I460" s="4"/>
      <c r="J460" s="4"/>
      <c r="K460" s="4"/>
      <c r="L460" s="4"/>
      <c r="M460" s="4"/>
      <c r="N460" s="4"/>
      <c r="O460" s="4"/>
      <c r="P460" s="4"/>
      <c r="Q460" s="4"/>
      <c r="R460" s="4"/>
      <c r="S460" s="47"/>
      <c r="T460" s="4"/>
      <c r="U460" s="4"/>
      <c r="V460" s="47"/>
      <c r="W460" s="4"/>
      <c r="X460" s="4"/>
      <c r="Y460" s="47"/>
      <c r="Z460" s="4"/>
      <c r="AA460" s="4"/>
    </row>
    <row r="461" spans="1:27" ht="24" customHeight="1" x14ac:dyDescent="0.3">
      <c r="A461" s="4"/>
      <c r="B461" s="4"/>
      <c r="C461" s="4"/>
      <c r="D461" s="4"/>
      <c r="E461" s="4"/>
      <c r="F461" s="4"/>
      <c r="G461" s="4"/>
      <c r="H461" s="4"/>
      <c r="I461" s="4"/>
      <c r="J461" s="4"/>
      <c r="K461" s="4"/>
      <c r="L461" s="4"/>
      <c r="M461" s="4"/>
      <c r="N461" s="4"/>
      <c r="O461" s="4"/>
      <c r="P461" s="4"/>
      <c r="Q461" s="4"/>
      <c r="R461" s="4"/>
      <c r="S461" s="47"/>
      <c r="T461" s="4"/>
      <c r="U461" s="4"/>
      <c r="V461" s="47"/>
      <c r="W461" s="4"/>
      <c r="X461" s="4"/>
      <c r="Y461" s="47"/>
      <c r="Z461" s="4"/>
      <c r="AA461" s="4"/>
    </row>
    <row r="462" spans="1:27" ht="24" customHeight="1" x14ac:dyDescent="0.3">
      <c r="A462" s="4"/>
      <c r="B462" s="4"/>
      <c r="C462" s="4"/>
      <c r="D462" s="4"/>
      <c r="E462" s="4"/>
      <c r="F462" s="4"/>
      <c r="G462" s="4"/>
      <c r="H462" s="4"/>
      <c r="I462" s="4"/>
      <c r="J462" s="4"/>
      <c r="K462" s="4"/>
      <c r="L462" s="4"/>
      <c r="M462" s="4"/>
      <c r="N462" s="4"/>
      <c r="O462" s="4"/>
      <c r="P462" s="4"/>
      <c r="Q462" s="4"/>
      <c r="R462" s="4"/>
      <c r="S462" s="47"/>
      <c r="T462" s="4"/>
      <c r="U462" s="4"/>
      <c r="V462" s="47"/>
      <c r="W462" s="4"/>
      <c r="X462" s="4"/>
      <c r="Y462" s="47"/>
      <c r="Z462" s="4"/>
      <c r="AA462" s="4"/>
    </row>
    <row r="463" spans="1:27" ht="24" customHeight="1" x14ac:dyDescent="0.3">
      <c r="A463" s="4"/>
      <c r="B463" s="4"/>
      <c r="C463" s="4"/>
      <c r="D463" s="4"/>
      <c r="E463" s="4"/>
      <c r="F463" s="4"/>
      <c r="G463" s="4"/>
      <c r="H463" s="4"/>
      <c r="I463" s="4"/>
      <c r="J463" s="4"/>
      <c r="K463" s="4"/>
      <c r="L463" s="4"/>
      <c r="M463" s="4"/>
      <c r="N463" s="4"/>
      <c r="O463" s="4"/>
      <c r="P463" s="4"/>
      <c r="Q463" s="4"/>
      <c r="R463" s="4"/>
      <c r="S463" s="47"/>
      <c r="T463" s="4"/>
      <c r="U463" s="4"/>
      <c r="V463" s="47"/>
      <c r="W463" s="4"/>
      <c r="X463" s="4"/>
      <c r="Y463" s="47"/>
      <c r="Z463" s="4"/>
      <c r="AA463" s="4"/>
    </row>
    <row r="464" spans="1:27" ht="24" customHeight="1" x14ac:dyDescent="0.3">
      <c r="A464" s="4"/>
      <c r="B464" s="4"/>
      <c r="C464" s="4"/>
      <c r="D464" s="4"/>
      <c r="E464" s="4"/>
      <c r="F464" s="4"/>
      <c r="G464" s="4"/>
      <c r="H464" s="4"/>
      <c r="I464" s="4"/>
      <c r="J464" s="4"/>
      <c r="K464" s="4"/>
      <c r="L464" s="4"/>
      <c r="M464" s="4"/>
      <c r="N464" s="4"/>
      <c r="O464" s="4"/>
      <c r="P464" s="4"/>
      <c r="Q464" s="4"/>
      <c r="R464" s="4"/>
      <c r="S464" s="47"/>
      <c r="T464" s="4"/>
      <c r="U464" s="4"/>
      <c r="V464" s="47"/>
      <c r="W464" s="4"/>
      <c r="X464" s="4"/>
      <c r="Y464" s="47"/>
      <c r="Z464" s="4"/>
      <c r="AA464" s="4"/>
    </row>
    <row r="465" spans="1:27" ht="24" customHeight="1" x14ac:dyDescent="0.3">
      <c r="A465" s="4"/>
      <c r="B465" s="4"/>
      <c r="C465" s="4"/>
      <c r="D465" s="4"/>
      <c r="E465" s="4"/>
      <c r="F465" s="4"/>
      <c r="G465" s="4"/>
      <c r="H465" s="4"/>
      <c r="I465" s="4"/>
      <c r="J465" s="4"/>
      <c r="K465" s="4"/>
      <c r="L465" s="4"/>
      <c r="M465" s="4"/>
      <c r="N465" s="4"/>
      <c r="O465" s="4"/>
      <c r="P465" s="4"/>
      <c r="Q465" s="4"/>
      <c r="R465" s="4"/>
      <c r="S465" s="47"/>
      <c r="T465" s="4"/>
      <c r="U465" s="4"/>
      <c r="V465" s="47"/>
      <c r="W465" s="4"/>
      <c r="X465" s="4"/>
      <c r="Y465" s="47"/>
      <c r="Z465" s="4"/>
      <c r="AA465" s="4"/>
    </row>
    <row r="466" spans="1:27" ht="24" customHeight="1" x14ac:dyDescent="0.3">
      <c r="A466" s="4"/>
      <c r="B466" s="4"/>
      <c r="C466" s="4"/>
      <c r="D466" s="4"/>
      <c r="E466" s="4"/>
      <c r="F466" s="4"/>
      <c r="G466" s="4"/>
      <c r="H466" s="4"/>
      <c r="I466" s="4"/>
      <c r="J466" s="4"/>
      <c r="K466" s="4"/>
      <c r="L466" s="4"/>
      <c r="M466" s="4"/>
      <c r="N466" s="4"/>
      <c r="O466" s="4"/>
      <c r="P466" s="4"/>
      <c r="Q466" s="4"/>
      <c r="R466" s="4"/>
      <c r="S466" s="47"/>
      <c r="T466" s="4"/>
      <c r="U466" s="4"/>
      <c r="V466" s="47"/>
      <c r="W466" s="4"/>
      <c r="X466" s="4"/>
      <c r="Y466" s="47"/>
      <c r="Z466" s="4"/>
      <c r="AA466" s="4"/>
    </row>
    <row r="467" spans="1:27" ht="24" customHeight="1" x14ac:dyDescent="0.3">
      <c r="A467" s="4"/>
      <c r="B467" s="4"/>
      <c r="C467" s="4"/>
      <c r="D467" s="4"/>
      <c r="E467" s="4"/>
      <c r="F467" s="4"/>
      <c r="G467" s="4"/>
      <c r="H467" s="4"/>
      <c r="I467" s="4"/>
      <c r="J467" s="4"/>
      <c r="K467" s="4"/>
      <c r="L467" s="4"/>
      <c r="M467" s="4"/>
      <c r="N467" s="4"/>
      <c r="O467" s="4"/>
      <c r="P467" s="4"/>
      <c r="Q467" s="4"/>
      <c r="R467" s="4"/>
      <c r="S467" s="47"/>
      <c r="T467" s="4"/>
      <c r="U467" s="4"/>
      <c r="V467" s="47"/>
      <c r="W467" s="4"/>
      <c r="X467" s="4"/>
      <c r="Y467" s="47"/>
      <c r="Z467" s="4"/>
      <c r="AA467" s="4"/>
    </row>
    <row r="468" spans="1:27" ht="24" customHeight="1" x14ac:dyDescent="0.3">
      <c r="A468" s="4"/>
      <c r="B468" s="4"/>
      <c r="C468" s="4"/>
      <c r="D468" s="4"/>
      <c r="E468" s="4"/>
      <c r="F468" s="4"/>
      <c r="G468" s="4"/>
      <c r="H468" s="4"/>
      <c r="I468" s="4"/>
      <c r="J468" s="4"/>
      <c r="K468" s="4"/>
      <c r="L468" s="4"/>
      <c r="M468" s="4"/>
      <c r="N468" s="4"/>
      <c r="O468" s="4"/>
      <c r="P468" s="4"/>
      <c r="Q468" s="4"/>
      <c r="R468" s="4"/>
      <c r="S468" s="47"/>
      <c r="T468" s="4"/>
      <c r="U468" s="4"/>
      <c r="V468" s="47"/>
      <c r="W468" s="4"/>
      <c r="X468" s="4"/>
      <c r="Y468" s="47"/>
      <c r="Z468" s="4"/>
      <c r="AA468" s="4"/>
    </row>
    <row r="469" spans="1:27" ht="24" customHeight="1" x14ac:dyDescent="0.3">
      <c r="A469" s="4"/>
      <c r="B469" s="4"/>
      <c r="C469" s="4"/>
      <c r="D469" s="4"/>
      <c r="E469" s="4"/>
      <c r="F469" s="4"/>
      <c r="G469" s="4"/>
      <c r="H469" s="4"/>
      <c r="I469" s="4"/>
      <c r="J469" s="4"/>
      <c r="K469" s="4"/>
      <c r="L469" s="4"/>
      <c r="M469" s="4"/>
      <c r="N469" s="4"/>
      <c r="O469" s="4"/>
      <c r="P469" s="4"/>
      <c r="Q469" s="4"/>
      <c r="R469" s="4"/>
      <c r="S469" s="47"/>
      <c r="T469" s="4"/>
      <c r="U469" s="4"/>
      <c r="V469" s="47"/>
      <c r="W469" s="4"/>
      <c r="X469" s="4"/>
      <c r="Y469" s="47"/>
      <c r="Z469" s="4"/>
      <c r="AA469" s="4"/>
    </row>
    <row r="470" spans="1:27" ht="24" customHeight="1" x14ac:dyDescent="0.3">
      <c r="A470" s="4"/>
      <c r="B470" s="4"/>
      <c r="C470" s="4"/>
      <c r="D470" s="4"/>
      <c r="E470" s="4"/>
      <c r="F470" s="4"/>
      <c r="G470" s="4"/>
      <c r="H470" s="4"/>
      <c r="I470" s="4"/>
      <c r="J470" s="4"/>
      <c r="K470" s="4"/>
      <c r="L470" s="4"/>
      <c r="M470" s="4"/>
      <c r="N470" s="4"/>
      <c r="O470" s="4"/>
      <c r="P470" s="4"/>
      <c r="Q470" s="4"/>
      <c r="R470" s="4"/>
      <c r="S470" s="47"/>
      <c r="T470" s="4"/>
      <c r="U470" s="4"/>
      <c r="V470" s="47"/>
      <c r="W470" s="4"/>
      <c r="X470" s="4"/>
      <c r="Y470" s="47"/>
      <c r="Z470" s="4"/>
      <c r="AA470" s="4"/>
    </row>
    <row r="471" spans="1:27" ht="24" customHeight="1" x14ac:dyDescent="0.3">
      <c r="A471" s="4"/>
      <c r="B471" s="4"/>
      <c r="C471" s="4"/>
      <c r="D471" s="4"/>
      <c r="E471" s="4"/>
      <c r="F471" s="4"/>
      <c r="G471" s="4"/>
      <c r="H471" s="4"/>
      <c r="I471" s="4"/>
      <c r="J471" s="4"/>
      <c r="K471" s="4"/>
      <c r="L471" s="4"/>
      <c r="M471" s="4"/>
      <c r="N471" s="4"/>
      <c r="O471" s="4"/>
      <c r="P471" s="4"/>
      <c r="Q471" s="4"/>
      <c r="R471" s="4"/>
      <c r="S471" s="47"/>
      <c r="T471" s="4"/>
      <c r="U471" s="4"/>
      <c r="V471" s="47"/>
      <c r="W471" s="4"/>
      <c r="X471" s="4"/>
      <c r="Y471" s="47"/>
      <c r="Z471" s="4"/>
      <c r="AA471" s="4"/>
    </row>
    <row r="472" spans="1:27" ht="24" customHeight="1" x14ac:dyDescent="0.3">
      <c r="A472" s="4"/>
      <c r="B472" s="4"/>
      <c r="C472" s="4"/>
      <c r="D472" s="4"/>
      <c r="E472" s="4"/>
      <c r="F472" s="4"/>
      <c r="G472" s="4"/>
      <c r="H472" s="4"/>
      <c r="I472" s="4"/>
      <c r="J472" s="4"/>
      <c r="K472" s="4"/>
      <c r="L472" s="4"/>
      <c r="M472" s="4"/>
      <c r="N472" s="4"/>
      <c r="O472" s="4"/>
      <c r="P472" s="4"/>
      <c r="Q472" s="4"/>
      <c r="R472" s="4"/>
      <c r="S472" s="47"/>
      <c r="T472" s="4"/>
      <c r="U472" s="4"/>
      <c r="V472" s="47"/>
      <c r="W472" s="4"/>
      <c r="X472" s="4"/>
      <c r="Y472" s="47"/>
      <c r="Z472" s="4"/>
      <c r="AA472" s="4"/>
    </row>
    <row r="473" spans="1:27" ht="24" customHeight="1" x14ac:dyDescent="0.3">
      <c r="A473" s="4"/>
      <c r="B473" s="4"/>
      <c r="C473" s="4"/>
      <c r="D473" s="4"/>
      <c r="E473" s="4"/>
      <c r="F473" s="4"/>
      <c r="G473" s="4"/>
      <c r="H473" s="4"/>
      <c r="I473" s="4"/>
      <c r="J473" s="4"/>
      <c r="K473" s="4"/>
      <c r="L473" s="4"/>
      <c r="M473" s="4"/>
      <c r="N473" s="4"/>
      <c r="O473" s="4"/>
      <c r="P473" s="4"/>
      <c r="Q473" s="4"/>
      <c r="R473" s="4"/>
      <c r="S473" s="47"/>
      <c r="T473" s="4"/>
      <c r="U473" s="4"/>
      <c r="V473" s="47"/>
      <c r="W473" s="4"/>
      <c r="X473" s="4"/>
      <c r="Y473" s="47"/>
      <c r="Z473" s="4"/>
      <c r="AA473" s="4"/>
    </row>
    <row r="474" spans="1:27" ht="24" customHeight="1" x14ac:dyDescent="0.3">
      <c r="A474" s="4"/>
      <c r="B474" s="4"/>
      <c r="C474" s="4"/>
      <c r="D474" s="4"/>
      <c r="E474" s="4"/>
      <c r="F474" s="4"/>
      <c r="G474" s="4"/>
      <c r="H474" s="4"/>
      <c r="I474" s="4"/>
      <c r="J474" s="4"/>
      <c r="K474" s="4"/>
      <c r="L474" s="4"/>
      <c r="M474" s="4"/>
      <c r="N474" s="4"/>
      <c r="O474" s="4"/>
      <c r="P474" s="4"/>
      <c r="Q474" s="4"/>
      <c r="R474" s="4"/>
      <c r="S474" s="47"/>
      <c r="T474" s="4"/>
      <c r="U474" s="4"/>
      <c r="V474" s="47"/>
      <c r="W474" s="4"/>
      <c r="X474" s="4"/>
      <c r="Y474" s="47"/>
      <c r="Z474" s="4"/>
      <c r="AA474" s="4"/>
    </row>
    <row r="475" spans="1:27" ht="24" customHeight="1" x14ac:dyDescent="0.3">
      <c r="A475" s="4"/>
      <c r="B475" s="4"/>
      <c r="C475" s="4"/>
      <c r="D475" s="4"/>
      <c r="E475" s="4"/>
      <c r="F475" s="4"/>
      <c r="G475" s="4"/>
      <c r="H475" s="4"/>
      <c r="I475" s="4"/>
      <c r="J475" s="4"/>
      <c r="K475" s="4"/>
      <c r="L475" s="4"/>
      <c r="M475" s="4"/>
      <c r="N475" s="4"/>
      <c r="O475" s="4"/>
      <c r="P475" s="4"/>
      <c r="Q475" s="4"/>
      <c r="R475" s="4"/>
      <c r="S475" s="47"/>
      <c r="T475" s="4"/>
      <c r="U475" s="4"/>
      <c r="V475" s="47"/>
      <c r="W475" s="4"/>
      <c r="X475" s="4"/>
      <c r="Y475" s="47"/>
      <c r="Z475" s="4"/>
      <c r="AA475" s="4"/>
    </row>
    <row r="476" spans="1:27" ht="24" customHeight="1" x14ac:dyDescent="0.3">
      <c r="A476" s="4"/>
      <c r="B476" s="4"/>
      <c r="C476" s="4"/>
      <c r="D476" s="4"/>
      <c r="E476" s="4"/>
      <c r="F476" s="4"/>
      <c r="G476" s="4"/>
      <c r="H476" s="4"/>
      <c r="I476" s="4"/>
      <c r="J476" s="4"/>
      <c r="K476" s="4"/>
      <c r="L476" s="4"/>
      <c r="M476" s="4"/>
      <c r="N476" s="4"/>
      <c r="O476" s="4"/>
      <c r="P476" s="4"/>
      <c r="Q476" s="4"/>
      <c r="R476" s="4"/>
      <c r="S476" s="47"/>
      <c r="T476" s="4"/>
      <c r="U476" s="4"/>
      <c r="V476" s="47"/>
      <c r="W476" s="4"/>
      <c r="X476" s="4"/>
      <c r="Y476" s="47"/>
      <c r="Z476" s="4"/>
      <c r="AA476" s="4"/>
    </row>
    <row r="477" spans="1:27" ht="24" customHeight="1" x14ac:dyDescent="0.3">
      <c r="A477" s="4"/>
      <c r="B477" s="4"/>
      <c r="C477" s="4"/>
      <c r="D477" s="4"/>
      <c r="E477" s="4"/>
      <c r="F477" s="4"/>
      <c r="G477" s="4"/>
      <c r="H477" s="4"/>
      <c r="I477" s="4"/>
      <c r="J477" s="4"/>
      <c r="K477" s="4"/>
      <c r="L477" s="4"/>
      <c r="M477" s="4"/>
      <c r="N477" s="4"/>
      <c r="O477" s="4"/>
      <c r="P477" s="4"/>
      <c r="Q477" s="4"/>
      <c r="R477" s="4"/>
      <c r="S477" s="47"/>
      <c r="T477" s="4"/>
      <c r="U477" s="4"/>
      <c r="V477" s="47"/>
      <c r="W477" s="4"/>
      <c r="X477" s="4"/>
      <c r="Y477" s="47"/>
      <c r="Z477" s="4"/>
      <c r="AA477" s="4"/>
    </row>
    <row r="478" spans="1:27" ht="24" customHeight="1" x14ac:dyDescent="0.3">
      <c r="A478" s="4"/>
      <c r="B478" s="4"/>
      <c r="C478" s="4"/>
      <c r="D478" s="4"/>
      <c r="E478" s="4"/>
      <c r="F478" s="4"/>
      <c r="G478" s="4"/>
      <c r="H478" s="4"/>
      <c r="I478" s="4"/>
      <c r="J478" s="4"/>
      <c r="K478" s="4"/>
      <c r="L478" s="4"/>
      <c r="M478" s="4"/>
      <c r="N478" s="4"/>
      <c r="O478" s="4"/>
      <c r="P478" s="4"/>
      <c r="Q478" s="4"/>
      <c r="R478" s="4"/>
      <c r="S478" s="47"/>
      <c r="T478" s="4"/>
      <c r="U478" s="4"/>
      <c r="V478" s="47"/>
      <c r="W478" s="4"/>
      <c r="X478" s="4"/>
      <c r="Y478" s="47"/>
      <c r="Z478" s="4"/>
      <c r="AA478" s="4"/>
    </row>
    <row r="479" spans="1:27" ht="24" customHeight="1" x14ac:dyDescent="0.3">
      <c r="A479" s="4"/>
      <c r="B479" s="4"/>
      <c r="C479" s="4"/>
      <c r="D479" s="4"/>
      <c r="E479" s="4"/>
      <c r="F479" s="4"/>
      <c r="G479" s="4"/>
      <c r="H479" s="4"/>
      <c r="I479" s="4"/>
      <c r="J479" s="4"/>
      <c r="K479" s="4"/>
      <c r="L479" s="4"/>
      <c r="M479" s="4"/>
      <c r="N479" s="4"/>
      <c r="O479" s="4"/>
      <c r="P479" s="4"/>
      <c r="Q479" s="4"/>
      <c r="R479" s="4"/>
      <c r="S479" s="47"/>
      <c r="T479" s="4"/>
      <c r="U479" s="4"/>
      <c r="V479" s="47"/>
      <c r="W479" s="4"/>
      <c r="X479" s="4"/>
      <c r="Y479" s="47"/>
      <c r="Z479" s="4"/>
      <c r="AA479" s="4"/>
    </row>
    <row r="480" spans="1:27" ht="24" customHeight="1" x14ac:dyDescent="0.3">
      <c r="A480" s="4"/>
      <c r="B480" s="4"/>
      <c r="C480" s="4"/>
      <c r="D480" s="4"/>
      <c r="E480" s="4"/>
      <c r="F480" s="4"/>
      <c r="G480" s="4"/>
      <c r="H480" s="4"/>
      <c r="I480" s="4"/>
      <c r="J480" s="4"/>
      <c r="K480" s="4"/>
      <c r="L480" s="4"/>
      <c r="M480" s="4"/>
      <c r="N480" s="4"/>
      <c r="O480" s="4"/>
      <c r="P480" s="4"/>
      <c r="Q480" s="4"/>
      <c r="R480" s="4"/>
      <c r="S480" s="47"/>
      <c r="T480" s="4"/>
      <c r="U480" s="4"/>
      <c r="V480" s="47"/>
      <c r="W480" s="4"/>
      <c r="X480" s="4"/>
      <c r="Y480" s="47"/>
      <c r="Z480" s="4"/>
      <c r="AA480" s="4"/>
    </row>
    <row r="481" spans="1:27" ht="24" customHeight="1" x14ac:dyDescent="0.3">
      <c r="A481" s="4"/>
      <c r="B481" s="4"/>
      <c r="C481" s="4"/>
      <c r="D481" s="4"/>
      <c r="E481" s="4"/>
      <c r="F481" s="4"/>
      <c r="G481" s="4"/>
      <c r="H481" s="4"/>
      <c r="I481" s="4"/>
      <c r="J481" s="4"/>
      <c r="K481" s="4"/>
      <c r="L481" s="4"/>
      <c r="M481" s="4"/>
      <c r="N481" s="4"/>
      <c r="O481" s="4"/>
      <c r="P481" s="4"/>
      <c r="Q481" s="4"/>
      <c r="R481" s="4"/>
      <c r="S481" s="47"/>
      <c r="T481" s="4"/>
      <c r="U481" s="4"/>
      <c r="V481" s="47"/>
      <c r="W481" s="4"/>
      <c r="X481" s="4"/>
      <c r="Y481" s="47"/>
      <c r="Z481" s="4"/>
      <c r="AA481" s="4"/>
    </row>
    <row r="482" spans="1:27" ht="24" customHeight="1" x14ac:dyDescent="0.3">
      <c r="A482" s="4"/>
      <c r="B482" s="4"/>
      <c r="C482" s="4"/>
      <c r="D482" s="4"/>
      <c r="E482" s="4"/>
      <c r="F482" s="4"/>
      <c r="G482" s="4"/>
      <c r="H482" s="4"/>
      <c r="I482" s="4"/>
      <c r="J482" s="4"/>
      <c r="K482" s="4"/>
      <c r="L482" s="4"/>
      <c r="M482" s="4"/>
      <c r="N482" s="4"/>
      <c r="O482" s="4"/>
      <c r="P482" s="4"/>
      <c r="Q482" s="4"/>
      <c r="R482" s="4"/>
      <c r="S482" s="47"/>
      <c r="T482" s="4"/>
      <c r="U482" s="4"/>
      <c r="V482" s="47"/>
      <c r="W482" s="4"/>
      <c r="X482" s="4"/>
      <c r="Y482" s="47"/>
      <c r="Z482" s="4"/>
      <c r="AA482" s="4"/>
    </row>
    <row r="483" spans="1:27" ht="24" customHeight="1" x14ac:dyDescent="0.3">
      <c r="A483" s="4"/>
      <c r="B483" s="4"/>
      <c r="C483" s="4"/>
      <c r="D483" s="4"/>
      <c r="E483" s="4"/>
      <c r="F483" s="4"/>
      <c r="G483" s="4"/>
      <c r="H483" s="4"/>
      <c r="I483" s="4"/>
      <c r="J483" s="4"/>
      <c r="K483" s="4"/>
      <c r="L483" s="4"/>
      <c r="M483" s="4"/>
      <c r="N483" s="4"/>
      <c r="O483" s="4"/>
      <c r="P483" s="4"/>
      <c r="Q483" s="4"/>
      <c r="R483" s="4"/>
      <c r="S483" s="47"/>
      <c r="T483" s="4"/>
      <c r="U483" s="4"/>
      <c r="V483" s="47"/>
      <c r="W483" s="4"/>
      <c r="X483" s="4"/>
      <c r="Y483" s="47"/>
      <c r="Z483" s="4"/>
      <c r="AA483" s="4"/>
    </row>
    <row r="484" spans="1:27" ht="24" customHeight="1" x14ac:dyDescent="0.3">
      <c r="A484" s="4"/>
      <c r="B484" s="4"/>
      <c r="C484" s="4"/>
      <c r="D484" s="4"/>
      <c r="E484" s="4"/>
      <c r="F484" s="4"/>
      <c r="G484" s="4"/>
      <c r="H484" s="4"/>
      <c r="I484" s="4"/>
      <c r="J484" s="4"/>
      <c r="K484" s="4"/>
      <c r="L484" s="4"/>
      <c r="M484" s="4"/>
      <c r="N484" s="4"/>
      <c r="O484" s="4"/>
      <c r="P484" s="4"/>
      <c r="Q484" s="4"/>
      <c r="R484" s="4"/>
      <c r="S484" s="47"/>
      <c r="T484" s="4"/>
      <c r="U484" s="4"/>
      <c r="V484" s="47"/>
      <c r="W484" s="4"/>
      <c r="X484" s="4"/>
      <c r="Y484" s="47"/>
      <c r="Z484" s="4"/>
      <c r="AA484" s="4"/>
    </row>
    <row r="485" spans="1:27" ht="24" customHeight="1" x14ac:dyDescent="0.3">
      <c r="A485" s="4"/>
      <c r="B485" s="4"/>
      <c r="C485" s="4"/>
      <c r="D485" s="4"/>
      <c r="E485" s="4"/>
      <c r="F485" s="4"/>
      <c r="G485" s="4"/>
      <c r="H485" s="4"/>
      <c r="I485" s="4"/>
      <c r="J485" s="4"/>
      <c r="K485" s="4"/>
      <c r="L485" s="4"/>
      <c r="M485" s="4"/>
      <c r="N485" s="4"/>
      <c r="O485" s="4"/>
      <c r="P485" s="4"/>
      <c r="Q485" s="4"/>
      <c r="R485" s="4"/>
      <c r="S485" s="47"/>
      <c r="T485" s="4"/>
      <c r="U485" s="4"/>
      <c r="V485" s="47"/>
      <c r="W485" s="4"/>
      <c r="X485" s="4"/>
      <c r="Y485" s="47"/>
      <c r="Z485" s="4"/>
      <c r="AA485" s="4"/>
    </row>
    <row r="486" spans="1:27" ht="24" customHeight="1" x14ac:dyDescent="0.3">
      <c r="A486" s="4"/>
      <c r="B486" s="4"/>
      <c r="C486" s="4"/>
      <c r="D486" s="4"/>
      <c r="E486" s="4"/>
      <c r="F486" s="4"/>
      <c r="G486" s="4"/>
      <c r="H486" s="4"/>
      <c r="I486" s="4"/>
      <c r="J486" s="4"/>
      <c r="K486" s="4"/>
      <c r="L486" s="4"/>
      <c r="M486" s="4"/>
      <c r="N486" s="4"/>
      <c r="O486" s="4"/>
      <c r="P486" s="4"/>
      <c r="Q486" s="4"/>
      <c r="R486" s="4"/>
      <c r="S486" s="47"/>
      <c r="T486" s="4"/>
      <c r="U486" s="4"/>
      <c r="V486" s="47"/>
      <c r="W486" s="4"/>
      <c r="X486" s="4"/>
      <c r="Y486" s="47"/>
      <c r="Z486" s="4"/>
      <c r="AA486" s="4"/>
    </row>
    <row r="487" spans="1:27" ht="24" customHeight="1" x14ac:dyDescent="0.3">
      <c r="A487" s="4"/>
      <c r="B487" s="4"/>
      <c r="C487" s="4"/>
      <c r="D487" s="4"/>
      <c r="E487" s="4"/>
      <c r="F487" s="4"/>
      <c r="G487" s="4"/>
      <c r="H487" s="4"/>
      <c r="I487" s="4"/>
      <c r="J487" s="4"/>
      <c r="K487" s="4"/>
      <c r="L487" s="4"/>
      <c r="M487" s="4"/>
      <c r="N487" s="4"/>
      <c r="O487" s="4"/>
      <c r="P487" s="4"/>
      <c r="Q487" s="4"/>
      <c r="R487" s="4"/>
      <c r="S487" s="47"/>
      <c r="T487" s="4"/>
      <c r="U487" s="4"/>
      <c r="V487" s="47"/>
      <c r="W487" s="4"/>
      <c r="X487" s="4"/>
      <c r="Y487" s="47"/>
      <c r="Z487" s="4"/>
      <c r="AA487" s="4"/>
    </row>
    <row r="488" spans="1:27" ht="24" customHeight="1" x14ac:dyDescent="0.3">
      <c r="A488" s="4"/>
      <c r="B488" s="4"/>
      <c r="C488" s="4"/>
      <c r="D488" s="4"/>
      <c r="E488" s="4"/>
      <c r="F488" s="4"/>
      <c r="G488" s="4"/>
      <c r="H488" s="4"/>
      <c r="I488" s="4"/>
      <c r="J488" s="4"/>
      <c r="K488" s="4"/>
      <c r="L488" s="4"/>
      <c r="M488" s="4"/>
      <c r="N488" s="4"/>
      <c r="O488" s="4"/>
      <c r="P488" s="4"/>
      <c r="Q488" s="4"/>
      <c r="R488" s="4"/>
      <c r="S488" s="47"/>
      <c r="T488" s="4"/>
      <c r="U488" s="4"/>
      <c r="V488" s="47"/>
      <c r="W488" s="4"/>
      <c r="X488" s="4"/>
      <c r="Y488" s="47"/>
      <c r="Z488" s="4"/>
      <c r="AA488" s="4"/>
    </row>
    <row r="489" spans="1:27" ht="24" customHeight="1" x14ac:dyDescent="0.3">
      <c r="A489" s="4"/>
      <c r="B489" s="4"/>
      <c r="C489" s="4"/>
      <c r="D489" s="4"/>
      <c r="E489" s="4"/>
      <c r="F489" s="4"/>
      <c r="G489" s="4"/>
      <c r="H489" s="4"/>
      <c r="I489" s="4"/>
      <c r="J489" s="4"/>
      <c r="K489" s="4"/>
      <c r="L489" s="4"/>
      <c r="M489" s="4"/>
      <c r="N489" s="4"/>
      <c r="O489" s="4"/>
      <c r="P489" s="4"/>
      <c r="Q489" s="4"/>
      <c r="R489" s="4"/>
      <c r="S489" s="47"/>
      <c r="T489" s="4"/>
      <c r="U489" s="4"/>
      <c r="V489" s="47"/>
      <c r="W489" s="4"/>
      <c r="X489" s="4"/>
      <c r="Y489" s="47"/>
      <c r="Z489" s="4"/>
      <c r="AA489" s="4"/>
    </row>
    <row r="490" spans="1:27" ht="24" customHeight="1" x14ac:dyDescent="0.3">
      <c r="A490" s="4"/>
      <c r="B490" s="4"/>
      <c r="C490" s="4"/>
      <c r="D490" s="4"/>
      <c r="E490" s="4"/>
      <c r="F490" s="4"/>
      <c r="G490" s="4"/>
      <c r="H490" s="4"/>
      <c r="I490" s="4"/>
      <c r="J490" s="4"/>
      <c r="K490" s="4"/>
      <c r="L490" s="4"/>
      <c r="M490" s="4"/>
      <c r="N490" s="4"/>
      <c r="O490" s="4"/>
      <c r="P490" s="4"/>
      <c r="Q490" s="4"/>
      <c r="R490" s="4"/>
      <c r="S490" s="47"/>
      <c r="T490" s="4"/>
      <c r="U490" s="4"/>
      <c r="V490" s="47"/>
      <c r="W490" s="4"/>
      <c r="X490" s="4"/>
      <c r="Y490" s="47"/>
      <c r="Z490" s="4"/>
      <c r="AA490" s="4"/>
    </row>
    <row r="491" spans="1:27" ht="24" customHeight="1" x14ac:dyDescent="0.3">
      <c r="A491" s="4"/>
      <c r="B491" s="4"/>
      <c r="C491" s="4"/>
      <c r="D491" s="4"/>
      <c r="E491" s="4"/>
      <c r="F491" s="4"/>
      <c r="G491" s="4"/>
      <c r="H491" s="4"/>
      <c r="I491" s="4"/>
      <c r="J491" s="4"/>
      <c r="K491" s="4"/>
      <c r="L491" s="4"/>
      <c r="M491" s="4"/>
      <c r="N491" s="4"/>
      <c r="O491" s="4"/>
      <c r="P491" s="4"/>
      <c r="Q491" s="4"/>
      <c r="R491" s="4"/>
      <c r="S491" s="47"/>
      <c r="T491" s="4"/>
      <c r="U491" s="4"/>
      <c r="V491" s="47"/>
      <c r="W491" s="4"/>
      <c r="X491" s="4"/>
      <c r="Y491" s="47"/>
      <c r="Z491" s="4"/>
      <c r="AA491" s="4"/>
    </row>
    <row r="492" spans="1:27" ht="24" customHeight="1" x14ac:dyDescent="0.3">
      <c r="A492" s="4"/>
      <c r="B492" s="4"/>
      <c r="C492" s="4"/>
      <c r="D492" s="4"/>
      <c r="E492" s="4"/>
      <c r="F492" s="4"/>
      <c r="G492" s="4"/>
      <c r="H492" s="4"/>
      <c r="I492" s="4"/>
      <c r="J492" s="4"/>
      <c r="K492" s="4"/>
      <c r="L492" s="4"/>
      <c r="M492" s="4"/>
      <c r="N492" s="4"/>
      <c r="O492" s="4"/>
      <c r="P492" s="4"/>
      <c r="Q492" s="4"/>
      <c r="R492" s="4"/>
      <c r="S492" s="47"/>
      <c r="T492" s="4"/>
      <c r="U492" s="4"/>
      <c r="V492" s="47"/>
      <c r="W492" s="4"/>
      <c r="X492" s="4"/>
      <c r="Y492" s="47"/>
      <c r="Z492" s="4"/>
      <c r="AA492" s="4"/>
    </row>
    <row r="493" spans="1:27" ht="24" customHeight="1" x14ac:dyDescent="0.3">
      <c r="A493" s="4"/>
      <c r="B493" s="4"/>
      <c r="C493" s="4"/>
      <c r="D493" s="4"/>
      <c r="E493" s="4"/>
      <c r="F493" s="4"/>
      <c r="G493" s="4"/>
      <c r="H493" s="4"/>
      <c r="I493" s="4"/>
      <c r="J493" s="4"/>
      <c r="K493" s="4"/>
      <c r="L493" s="4"/>
      <c r="M493" s="4"/>
      <c r="N493" s="4"/>
      <c r="O493" s="4"/>
      <c r="P493" s="4"/>
      <c r="Q493" s="4"/>
      <c r="R493" s="4"/>
      <c r="S493" s="47"/>
      <c r="T493" s="4"/>
      <c r="U493" s="4"/>
      <c r="V493" s="47"/>
      <c r="W493" s="4"/>
      <c r="X493" s="4"/>
      <c r="Y493" s="47"/>
      <c r="Z493" s="4"/>
      <c r="AA493" s="4"/>
    </row>
    <row r="494" spans="1:27" ht="24" customHeight="1" x14ac:dyDescent="0.3">
      <c r="A494" s="4"/>
      <c r="B494" s="4"/>
      <c r="C494" s="4"/>
      <c r="D494" s="4"/>
      <c r="E494" s="4"/>
      <c r="F494" s="4"/>
      <c r="G494" s="4"/>
      <c r="H494" s="4"/>
      <c r="I494" s="4"/>
      <c r="J494" s="4"/>
      <c r="K494" s="4"/>
      <c r="L494" s="4"/>
      <c r="M494" s="4"/>
      <c r="N494" s="4"/>
      <c r="O494" s="4"/>
      <c r="P494" s="4"/>
      <c r="Q494" s="4"/>
      <c r="R494" s="4"/>
      <c r="S494" s="47"/>
      <c r="T494" s="4"/>
      <c r="U494" s="4"/>
      <c r="V494" s="47"/>
      <c r="W494" s="4"/>
      <c r="X494" s="4"/>
      <c r="Y494" s="47"/>
      <c r="Z494" s="4"/>
      <c r="AA494" s="4"/>
    </row>
    <row r="495" spans="1:27" ht="24" customHeight="1" x14ac:dyDescent="0.3">
      <c r="A495" s="4"/>
      <c r="B495" s="4"/>
      <c r="C495" s="4"/>
      <c r="D495" s="4"/>
      <c r="E495" s="4"/>
      <c r="F495" s="4"/>
      <c r="G495" s="4"/>
      <c r="H495" s="4"/>
      <c r="I495" s="4"/>
      <c r="J495" s="4"/>
      <c r="K495" s="4"/>
      <c r="L495" s="4"/>
      <c r="M495" s="4"/>
      <c r="N495" s="4"/>
      <c r="O495" s="4"/>
      <c r="P495" s="4"/>
      <c r="Q495" s="4"/>
      <c r="R495" s="4"/>
      <c r="S495" s="47"/>
      <c r="T495" s="4"/>
      <c r="U495" s="4"/>
      <c r="V495" s="47"/>
      <c r="W495" s="4"/>
      <c r="X495" s="4"/>
      <c r="Y495" s="47"/>
      <c r="Z495" s="4"/>
      <c r="AA495" s="4"/>
    </row>
    <row r="496" spans="1:27" ht="24" customHeight="1" x14ac:dyDescent="0.3">
      <c r="A496" s="4"/>
      <c r="B496" s="4"/>
      <c r="C496" s="4"/>
      <c r="D496" s="4"/>
      <c r="E496" s="4"/>
      <c r="F496" s="4"/>
      <c r="G496" s="4"/>
      <c r="H496" s="4"/>
      <c r="I496" s="4"/>
      <c r="J496" s="4"/>
      <c r="K496" s="4"/>
      <c r="L496" s="4"/>
      <c r="M496" s="4"/>
      <c r="N496" s="4"/>
      <c r="O496" s="4"/>
      <c r="P496" s="4"/>
      <c r="Q496" s="4"/>
      <c r="R496" s="4"/>
      <c r="S496" s="47"/>
      <c r="T496" s="4"/>
      <c r="U496" s="4"/>
      <c r="V496" s="47"/>
      <c r="W496" s="4"/>
      <c r="X496" s="4"/>
      <c r="Y496" s="47"/>
      <c r="Z496" s="4"/>
      <c r="AA496" s="4"/>
    </row>
    <row r="497" spans="1:27" ht="24" customHeight="1" x14ac:dyDescent="0.3">
      <c r="A497" s="4"/>
      <c r="B497" s="4"/>
      <c r="C497" s="4"/>
      <c r="D497" s="4"/>
      <c r="E497" s="4"/>
      <c r="F497" s="4"/>
      <c r="G497" s="4"/>
      <c r="H497" s="4"/>
      <c r="I497" s="4"/>
      <c r="J497" s="4"/>
      <c r="K497" s="4"/>
      <c r="L497" s="4"/>
      <c r="M497" s="4"/>
      <c r="N497" s="4"/>
      <c r="O497" s="4"/>
      <c r="P497" s="4"/>
      <c r="Q497" s="4"/>
      <c r="R497" s="4"/>
      <c r="S497" s="47"/>
      <c r="T497" s="4"/>
      <c r="U497" s="4"/>
      <c r="V497" s="47"/>
      <c r="W497" s="4"/>
      <c r="X497" s="4"/>
      <c r="Y497" s="47"/>
      <c r="Z497" s="4"/>
      <c r="AA497" s="4"/>
    </row>
    <row r="498" spans="1:27" ht="24" customHeight="1" x14ac:dyDescent="0.3">
      <c r="A498" s="4"/>
      <c r="B498" s="4"/>
      <c r="C498" s="4"/>
      <c r="D498" s="4"/>
      <c r="E498" s="4"/>
      <c r="F498" s="4"/>
      <c r="G498" s="4"/>
      <c r="H498" s="4"/>
      <c r="I498" s="4"/>
      <c r="J498" s="4"/>
      <c r="K498" s="4"/>
      <c r="L498" s="4"/>
      <c r="M498" s="4"/>
      <c r="N498" s="4"/>
      <c r="O498" s="4"/>
      <c r="P498" s="4"/>
      <c r="Q498" s="4"/>
      <c r="R498" s="4"/>
      <c r="S498" s="47"/>
      <c r="T498" s="4"/>
      <c r="U498" s="4"/>
      <c r="V498" s="47"/>
      <c r="W498" s="4"/>
      <c r="X498" s="4"/>
      <c r="Y498" s="47"/>
      <c r="Z498" s="4"/>
      <c r="AA498" s="4"/>
    </row>
    <row r="499" spans="1:27" ht="24" customHeight="1" x14ac:dyDescent="0.3">
      <c r="A499" s="4"/>
      <c r="B499" s="4"/>
      <c r="C499" s="4"/>
      <c r="D499" s="4"/>
      <c r="E499" s="4"/>
      <c r="F499" s="4"/>
      <c r="G499" s="4"/>
      <c r="H499" s="4"/>
      <c r="I499" s="4"/>
      <c r="J499" s="4"/>
      <c r="K499" s="4"/>
      <c r="L499" s="4"/>
      <c r="M499" s="4"/>
      <c r="N499" s="4"/>
      <c r="O499" s="4"/>
      <c r="P499" s="4"/>
      <c r="Q499" s="4"/>
      <c r="R499" s="4"/>
      <c r="S499" s="47"/>
      <c r="T499" s="4"/>
      <c r="U499" s="4"/>
      <c r="V499" s="47"/>
      <c r="W499" s="4"/>
      <c r="X499" s="4"/>
      <c r="Y499" s="47"/>
      <c r="Z499" s="4"/>
      <c r="AA499" s="4"/>
    </row>
    <row r="500" spans="1:27" ht="24" customHeight="1" x14ac:dyDescent="0.3">
      <c r="A500" s="4"/>
      <c r="B500" s="4"/>
      <c r="C500" s="4"/>
      <c r="D500" s="4"/>
      <c r="E500" s="4"/>
      <c r="F500" s="4"/>
      <c r="G500" s="4"/>
      <c r="H500" s="4"/>
      <c r="I500" s="4"/>
      <c r="J500" s="4"/>
      <c r="K500" s="4"/>
      <c r="L500" s="4"/>
      <c r="M500" s="4"/>
      <c r="N500" s="4"/>
      <c r="O500" s="4"/>
      <c r="P500" s="4"/>
      <c r="Q500" s="4"/>
      <c r="R500" s="4"/>
      <c r="S500" s="47"/>
      <c r="T500" s="4"/>
      <c r="U500" s="4"/>
      <c r="V500" s="47"/>
      <c r="W500" s="4"/>
      <c r="X500" s="4"/>
      <c r="Y500" s="47"/>
      <c r="Z500" s="4"/>
      <c r="AA500" s="4"/>
    </row>
    <row r="501" spans="1:27" ht="24" customHeight="1" x14ac:dyDescent="0.3">
      <c r="A501" s="4"/>
      <c r="B501" s="4"/>
      <c r="C501" s="4"/>
      <c r="D501" s="4"/>
      <c r="E501" s="4"/>
      <c r="F501" s="4"/>
      <c r="G501" s="4"/>
      <c r="H501" s="4"/>
      <c r="I501" s="4"/>
      <c r="J501" s="4"/>
      <c r="K501" s="4"/>
      <c r="L501" s="4"/>
      <c r="M501" s="4"/>
      <c r="N501" s="4"/>
      <c r="O501" s="4"/>
      <c r="P501" s="4"/>
      <c r="Q501" s="4"/>
      <c r="R501" s="4"/>
      <c r="S501" s="47"/>
      <c r="T501" s="4"/>
      <c r="U501" s="4"/>
      <c r="V501" s="47"/>
      <c r="W501" s="4"/>
      <c r="X501" s="4"/>
      <c r="Y501" s="47"/>
      <c r="Z501" s="4"/>
      <c r="AA501" s="4"/>
    </row>
    <row r="502" spans="1:27" ht="24" customHeight="1" x14ac:dyDescent="0.3">
      <c r="A502" s="4"/>
      <c r="B502" s="4"/>
      <c r="C502" s="4"/>
      <c r="D502" s="4"/>
      <c r="E502" s="4"/>
      <c r="F502" s="4"/>
      <c r="G502" s="4"/>
      <c r="H502" s="4"/>
      <c r="I502" s="4"/>
      <c r="J502" s="4"/>
      <c r="K502" s="4"/>
      <c r="L502" s="4"/>
      <c r="M502" s="4"/>
      <c r="N502" s="4"/>
      <c r="O502" s="4"/>
      <c r="P502" s="4"/>
      <c r="Q502" s="4"/>
      <c r="R502" s="4"/>
      <c r="S502" s="47"/>
      <c r="T502" s="4"/>
      <c r="U502" s="4"/>
      <c r="V502" s="47"/>
      <c r="W502" s="4"/>
      <c r="X502" s="4"/>
      <c r="Y502" s="47"/>
      <c r="Z502" s="4"/>
      <c r="AA502" s="4"/>
    </row>
    <row r="503" spans="1:27" ht="24" customHeight="1" x14ac:dyDescent="0.3">
      <c r="A503" s="4"/>
      <c r="B503" s="4"/>
      <c r="C503" s="4"/>
      <c r="D503" s="4"/>
      <c r="E503" s="4"/>
      <c r="F503" s="4"/>
      <c r="G503" s="4"/>
      <c r="H503" s="4"/>
      <c r="I503" s="4"/>
      <c r="J503" s="4"/>
      <c r="K503" s="4"/>
      <c r="L503" s="4"/>
      <c r="M503" s="4"/>
      <c r="N503" s="4"/>
      <c r="O503" s="4"/>
      <c r="P503" s="4"/>
      <c r="Q503" s="4"/>
      <c r="R503" s="4"/>
      <c r="S503" s="47"/>
      <c r="T503" s="4"/>
      <c r="U503" s="4"/>
      <c r="V503" s="47"/>
      <c r="W503" s="4"/>
      <c r="X503" s="4"/>
      <c r="Y503" s="47"/>
      <c r="Z503" s="4"/>
      <c r="AA503" s="4"/>
    </row>
    <row r="504" spans="1:27" ht="24" customHeight="1" x14ac:dyDescent="0.3">
      <c r="A504" s="4"/>
      <c r="B504" s="4"/>
      <c r="C504" s="4"/>
      <c r="D504" s="4"/>
      <c r="E504" s="4"/>
      <c r="F504" s="4"/>
      <c r="G504" s="4"/>
      <c r="H504" s="4"/>
      <c r="I504" s="4"/>
      <c r="J504" s="4"/>
      <c r="K504" s="4"/>
      <c r="L504" s="4"/>
      <c r="M504" s="4"/>
      <c r="N504" s="4"/>
      <c r="O504" s="4"/>
      <c r="P504" s="4"/>
      <c r="Q504" s="4"/>
      <c r="R504" s="4"/>
      <c r="S504" s="47"/>
      <c r="T504" s="4"/>
      <c r="U504" s="4"/>
      <c r="V504" s="47"/>
      <c r="W504" s="4"/>
      <c r="X504" s="4"/>
      <c r="Y504" s="47"/>
      <c r="Z504" s="4"/>
      <c r="AA504" s="4"/>
    </row>
    <row r="505" spans="1:27" ht="24" customHeight="1" x14ac:dyDescent="0.3">
      <c r="A505" s="4"/>
      <c r="B505" s="4"/>
      <c r="C505" s="4"/>
      <c r="D505" s="4"/>
      <c r="E505" s="4"/>
      <c r="F505" s="4"/>
      <c r="G505" s="4"/>
      <c r="H505" s="4"/>
      <c r="I505" s="4"/>
      <c r="J505" s="4"/>
      <c r="K505" s="4"/>
      <c r="L505" s="4"/>
      <c r="M505" s="4"/>
      <c r="N505" s="4"/>
      <c r="O505" s="4"/>
      <c r="P505" s="4"/>
      <c r="Q505" s="4"/>
      <c r="R505" s="4"/>
      <c r="S505" s="47"/>
      <c r="T505" s="4"/>
      <c r="U505" s="4"/>
      <c r="V505" s="47"/>
      <c r="W505" s="4"/>
      <c r="X505" s="4"/>
      <c r="Y505" s="47"/>
      <c r="Z505" s="4"/>
      <c r="AA505" s="4"/>
    </row>
    <row r="506" spans="1:27" ht="24" customHeight="1" x14ac:dyDescent="0.3">
      <c r="A506" s="4"/>
      <c r="B506" s="4"/>
      <c r="C506" s="4"/>
      <c r="D506" s="4"/>
      <c r="E506" s="4"/>
      <c r="F506" s="4"/>
      <c r="G506" s="4"/>
      <c r="H506" s="4"/>
      <c r="I506" s="4"/>
      <c r="J506" s="4"/>
      <c r="K506" s="4"/>
      <c r="L506" s="4"/>
      <c r="M506" s="4"/>
      <c r="N506" s="4"/>
      <c r="O506" s="4"/>
      <c r="P506" s="4"/>
      <c r="Q506" s="4"/>
      <c r="R506" s="4"/>
      <c r="S506" s="47"/>
      <c r="T506" s="4"/>
      <c r="U506" s="4"/>
      <c r="V506" s="47"/>
      <c r="W506" s="4"/>
      <c r="X506" s="4"/>
      <c r="Y506" s="47"/>
      <c r="Z506" s="4"/>
      <c r="AA506" s="4"/>
    </row>
    <row r="507" spans="1:27" ht="24" customHeight="1" x14ac:dyDescent="0.3">
      <c r="A507" s="4"/>
      <c r="B507" s="4"/>
      <c r="C507" s="4"/>
      <c r="D507" s="4"/>
      <c r="E507" s="4"/>
      <c r="F507" s="4"/>
      <c r="G507" s="4"/>
      <c r="H507" s="4"/>
      <c r="I507" s="4"/>
      <c r="J507" s="4"/>
      <c r="K507" s="4"/>
      <c r="L507" s="4"/>
      <c r="M507" s="4"/>
      <c r="N507" s="4"/>
      <c r="O507" s="4"/>
      <c r="P507" s="4"/>
      <c r="Q507" s="4"/>
      <c r="R507" s="4"/>
      <c r="S507" s="47"/>
      <c r="T507" s="4"/>
      <c r="U507" s="4"/>
      <c r="V507" s="47"/>
      <c r="W507" s="4"/>
      <c r="X507" s="4"/>
      <c r="Y507" s="47"/>
      <c r="Z507" s="4"/>
      <c r="AA507" s="4"/>
    </row>
    <row r="508" spans="1:27" ht="24" customHeight="1" x14ac:dyDescent="0.3">
      <c r="A508" s="4"/>
      <c r="B508" s="4"/>
      <c r="C508" s="4"/>
      <c r="D508" s="4"/>
      <c r="E508" s="4"/>
      <c r="F508" s="4"/>
      <c r="G508" s="4"/>
      <c r="H508" s="4"/>
      <c r="I508" s="4"/>
      <c r="J508" s="4"/>
      <c r="K508" s="4"/>
      <c r="L508" s="4"/>
      <c r="M508" s="4"/>
      <c r="N508" s="4"/>
      <c r="O508" s="4"/>
      <c r="P508" s="4"/>
      <c r="Q508" s="4"/>
      <c r="R508" s="4"/>
      <c r="S508" s="47"/>
      <c r="T508" s="4"/>
      <c r="U508" s="4"/>
      <c r="V508" s="47"/>
      <c r="W508" s="4"/>
      <c r="X508" s="4"/>
      <c r="Y508" s="47"/>
      <c r="Z508" s="4"/>
      <c r="AA508" s="4"/>
    </row>
    <row r="509" spans="1:27" ht="24" customHeight="1" x14ac:dyDescent="0.3">
      <c r="A509" s="4"/>
      <c r="B509" s="4"/>
      <c r="C509" s="4"/>
      <c r="D509" s="4"/>
      <c r="E509" s="4"/>
      <c r="F509" s="4"/>
      <c r="G509" s="4"/>
      <c r="H509" s="4"/>
      <c r="I509" s="4"/>
      <c r="J509" s="4"/>
      <c r="K509" s="4"/>
      <c r="L509" s="4"/>
      <c r="M509" s="4"/>
      <c r="N509" s="4"/>
      <c r="O509" s="4"/>
      <c r="P509" s="4"/>
      <c r="Q509" s="4"/>
      <c r="R509" s="4"/>
      <c r="S509" s="47"/>
      <c r="T509" s="4"/>
      <c r="U509" s="4"/>
      <c r="V509" s="47"/>
      <c r="W509" s="4"/>
      <c r="X509" s="4"/>
      <c r="Y509" s="47"/>
      <c r="Z509" s="4"/>
      <c r="AA509" s="4"/>
    </row>
    <row r="510" spans="1:27" ht="24" customHeight="1" x14ac:dyDescent="0.3">
      <c r="A510" s="4"/>
      <c r="B510" s="4"/>
      <c r="C510" s="4"/>
      <c r="D510" s="4"/>
      <c r="E510" s="4"/>
      <c r="F510" s="4"/>
      <c r="G510" s="4"/>
      <c r="H510" s="4"/>
      <c r="I510" s="4"/>
      <c r="J510" s="4"/>
      <c r="K510" s="4"/>
      <c r="L510" s="4"/>
      <c r="M510" s="4"/>
      <c r="N510" s="4"/>
      <c r="O510" s="4"/>
      <c r="P510" s="4"/>
      <c r="Q510" s="4"/>
      <c r="R510" s="4"/>
      <c r="S510" s="47"/>
      <c r="T510" s="4"/>
      <c r="U510" s="4"/>
      <c r="V510" s="47"/>
      <c r="W510" s="4"/>
      <c r="X510" s="4"/>
      <c r="Y510" s="47"/>
      <c r="Z510" s="4"/>
      <c r="AA510" s="4"/>
    </row>
    <row r="511" spans="1:27" ht="24" customHeight="1" x14ac:dyDescent="0.3">
      <c r="A511" s="4"/>
      <c r="B511" s="4"/>
      <c r="C511" s="4"/>
      <c r="D511" s="4"/>
      <c r="E511" s="4"/>
      <c r="F511" s="4"/>
      <c r="G511" s="4"/>
      <c r="H511" s="4"/>
      <c r="I511" s="4"/>
      <c r="J511" s="4"/>
      <c r="K511" s="4"/>
      <c r="L511" s="4"/>
      <c r="M511" s="4"/>
      <c r="N511" s="4"/>
      <c r="O511" s="4"/>
      <c r="P511" s="4"/>
      <c r="Q511" s="4"/>
      <c r="R511" s="4"/>
      <c r="S511" s="47"/>
      <c r="T511" s="4"/>
      <c r="U511" s="4"/>
      <c r="V511" s="47"/>
      <c r="W511" s="4"/>
      <c r="X511" s="4"/>
      <c r="Y511" s="47"/>
      <c r="Z511" s="4"/>
      <c r="AA511" s="4"/>
    </row>
    <row r="512" spans="1:27" ht="24" customHeight="1" x14ac:dyDescent="0.3">
      <c r="A512" s="4"/>
      <c r="B512" s="4"/>
      <c r="C512" s="4"/>
      <c r="D512" s="4"/>
      <c r="E512" s="4"/>
      <c r="F512" s="4"/>
      <c r="G512" s="4"/>
      <c r="H512" s="4"/>
      <c r="I512" s="4"/>
      <c r="J512" s="4"/>
      <c r="K512" s="4"/>
      <c r="L512" s="4"/>
      <c r="M512" s="4"/>
      <c r="N512" s="4"/>
      <c r="O512" s="4"/>
      <c r="P512" s="4"/>
      <c r="Q512" s="4"/>
      <c r="R512" s="4"/>
      <c r="S512" s="47"/>
      <c r="T512" s="4"/>
      <c r="U512" s="4"/>
      <c r="V512" s="47"/>
      <c r="W512" s="4"/>
      <c r="X512" s="4"/>
      <c r="Y512" s="47"/>
      <c r="Z512" s="4"/>
      <c r="AA512" s="4"/>
    </row>
    <row r="513" spans="1:27" ht="24" customHeight="1" x14ac:dyDescent="0.3">
      <c r="A513" s="4"/>
      <c r="B513" s="4"/>
      <c r="C513" s="4"/>
      <c r="D513" s="4"/>
      <c r="E513" s="4"/>
      <c r="F513" s="4"/>
      <c r="G513" s="4"/>
      <c r="H513" s="4"/>
      <c r="I513" s="4"/>
      <c r="J513" s="4"/>
      <c r="K513" s="4"/>
      <c r="L513" s="4"/>
      <c r="M513" s="4"/>
      <c r="N513" s="4"/>
      <c r="O513" s="4"/>
      <c r="P513" s="4"/>
      <c r="Q513" s="4"/>
      <c r="R513" s="4"/>
      <c r="S513" s="47"/>
      <c r="T513" s="4"/>
      <c r="U513" s="4"/>
      <c r="V513" s="47"/>
      <c r="W513" s="4"/>
      <c r="X513" s="4"/>
      <c r="Y513" s="47"/>
      <c r="Z513" s="4"/>
      <c r="AA513" s="4"/>
    </row>
    <row r="514" spans="1:27" ht="24" customHeight="1" x14ac:dyDescent="0.3">
      <c r="A514" s="4"/>
      <c r="B514" s="4"/>
      <c r="C514" s="4"/>
      <c r="D514" s="4"/>
      <c r="E514" s="4"/>
      <c r="F514" s="4"/>
      <c r="G514" s="4"/>
      <c r="H514" s="4"/>
      <c r="I514" s="4"/>
      <c r="J514" s="4"/>
      <c r="K514" s="4"/>
      <c r="L514" s="4"/>
      <c r="M514" s="4"/>
      <c r="N514" s="4"/>
      <c r="O514" s="4"/>
      <c r="P514" s="4"/>
      <c r="Q514" s="4"/>
      <c r="R514" s="4"/>
      <c r="S514" s="47"/>
      <c r="T514" s="4"/>
      <c r="U514" s="4"/>
      <c r="V514" s="47"/>
      <c r="W514" s="4"/>
      <c r="X514" s="4"/>
      <c r="Y514" s="47"/>
      <c r="Z514" s="4"/>
      <c r="AA514" s="4"/>
    </row>
    <row r="515" spans="1:27" ht="24" customHeight="1" x14ac:dyDescent="0.3">
      <c r="A515" s="4"/>
      <c r="B515" s="4"/>
      <c r="C515" s="4"/>
      <c r="D515" s="4"/>
      <c r="E515" s="4"/>
      <c r="F515" s="4"/>
      <c r="G515" s="4"/>
      <c r="H515" s="4"/>
      <c r="I515" s="4"/>
      <c r="J515" s="4"/>
      <c r="K515" s="4"/>
      <c r="L515" s="4"/>
      <c r="M515" s="4"/>
      <c r="N515" s="4"/>
      <c r="O515" s="4"/>
      <c r="P515" s="4"/>
      <c r="Q515" s="4"/>
      <c r="R515" s="4"/>
      <c r="S515" s="47"/>
      <c r="T515" s="4"/>
      <c r="U515" s="4"/>
      <c r="V515" s="47"/>
      <c r="W515" s="4"/>
      <c r="X515" s="4"/>
      <c r="Y515" s="47"/>
      <c r="Z515" s="4"/>
      <c r="AA515" s="4"/>
    </row>
    <row r="516" spans="1:27" ht="24" customHeight="1" x14ac:dyDescent="0.3">
      <c r="A516" s="4"/>
      <c r="B516" s="4"/>
      <c r="C516" s="4"/>
      <c r="D516" s="4"/>
      <c r="E516" s="4"/>
      <c r="F516" s="4"/>
      <c r="G516" s="4"/>
      <c r="H516" s="4"/>
      <c r="I516" s="4"/>
      <c r="J516" s="4"/>
      <c r="K516" s="4"/>
      <c r="L516" s="4"/>
      <c r="M516" s="4"/>
      <c r="N516" s="4"/>
      <c r="O516" s="4"/>
      <c r="P516" s="4"/>
      <c r="Q516" s="4"/>
      <c r="R516" s="4"/>
      <c r="S516" s="47"/>
      <c r="T516" s="4"/>
      <c r="U516" s="4"/>
      <c r="V516" s="47"/>
      <c r="W516" s="4"/>
      <c r="X516" s="4"/>
      <c r="Y516" s="47"/>
      <c r="Z516" s="4"/>
      <c r="AA516" s="4"/>
    </row>
    <row r="517" spans="1:27" ht="24" customHeight="1" x14ac:dyDescent="0.3">
      <c r="A517" s="4"/>
      <c r="B517" s="4"/>
      <c r="C517" s="4"/>
      <c r="D517" s="4"/>
      <c r="E517" s="4"/>
      <c r="F517" s="4"/>
      <c r="G517" s="4"/>
      <c r="H517" s="4"/>
      <c r="I517" s="4"/>
      <c r="J517" s="4"/>
      <c r="K517" s="4"/>
      <c r="L517" s="4"/>
      <c r="M517" s="4"/>
      <c r="N517" s="4"/>
      <c r="O517" s="4"/>
      <c r="P517" s="4"/>
      <c r="Q517" s="4"/>
      <c r="R517" s="4"/>
      <c r="S517" s="47"/>
      <c r="T517" s="4"/>
      <c r="U517" s="4"/>
      <c r="V517" s="47"/>
      <c r="W517" s="4"/>
      <c r="X517" s="4"/>
      <c r="Y517" s="47"/>
      <c r="Z517" s="4"/>
      <c r="AA517" s="4"/>
    </row>
    <row r="518" spans="1:27" ht="24" customHeight="1" x14ac:dyDescent="0.3">
      <c r="A518" s="4"/>
      <c r="B518" s="4"/>
      <c r="C518" s="4"/>
      <c r="D518" s="4"/>
      <c r="E518" s="4"/>
      <c r="F518" s="4"/>
      <c r="G518" s="4"/>
      <c r="H518" s="4"/>
      <c r="I518" s="4"/>
      <c r="J518" s="4"/>
      <c r="K518" s="4"/>
      <c r="L518" s="4"/>
      <c r="M518" s="4"/>
      <c r="N518" s="4"/>
      <c r="O518" s="4"/>
      <c r="P518" s="4"/>
      <c r="Q518" s="4"/>
      <c r="R518" s="4"/>
      <c r="S518" s="47"/>
      <c r="T518" s="4"/>
      <c r="U518" s="4"/>
      <c r="V518" s="47"/>
      <c r="W518" s="4"/>
      <c r="X518" s="4"/>
      <c r="Y518" s="47"/>
      <c r="Z518" s="4"/>
      <c r="AA518" s="4"/>
    </row>
    <row r="519" spans="1:27" ht="24" customHeight="1" x14ac:dyDescent="0.3">
      <c r="A519" s="4"/>
      <c r="B519" s="4"/>
      <c r="C519" s="4"/>
      <c r="D519" s="4"/>
      <c r="E519" s="4"/>
      <c r="F519" s="4"/>
      <c r="G519" s="4"/>
      <c r="H519" s="4"/>
      <c r="I519" s="4"/>
      <c r="J519" s="4"/>
      <c r="K519" s="4"/>
      <c r="L519" s="4"/>
      <c r="M519" s="4"/>
      <c r="N519" s="4"/>
      <c r="O519" s="4"/>
      <c r="P519" s="4"/>
      <c r="Q519" s="4"/>
      <c r="R519" s="4"/>
      <c r="S519" s="47"/>
      <c r="T519" s="4"/>
      <c r="U519" s="4"/>
      <c r="V519" s="47"/>
      <c r="W519" s="4"/>
      <c r="X519" s="4"/>
      <c r="Y519" s="47"/>
      <c r="Z519" s="4"/>
      <c r="AA519" s="4"/>
    </row>
    <row r="520" spans="1:27" ht="24" customHeight="1" x14ac:dyDescent="0.3">
      <c r="A520" s="4"/>
      <c r="B520" s="4"/>
      <c r="C520" s="4"/>
      <c r="D520" s="4"/>
      <c r="E520" s="4"/>
      <c r="F520" s="4"/>
      <c r="G520" s="4"/>
      <c r="H520" s="4"/>
      <c r="I520" s="4"/>
      <c r="J520" s="4"/>
      <c r="K520" s="4"/>
      <c r="L520" s="4"/>
      <c r="M520" s="4"/>
      <c r="N520" s="4"/>
      <c r="O520" s="4"/>
      <c r="P520" s="4"/>
      <c r="Q520" s="4"/>
      <c r="R520" s="4"/>
      <c r="S520" s="47"/>
      <c r="T520" s="4"/>
      <c r="U520" s="4"/>
      <c r="V520" s="47"/>
      <c r="W520" s="4"/>
      <c r="X520" s="4"/>
      <c r="Y520" s="47"/>
      <c r="Z520" s="4"/>
      <c r="AA520" s="4"/>
    </row>
    <row r="521" spans="1:27" ht="24" customHeight="1" x14ac:dyDescent="0.3">
      <c r="A521" s="4"/>
      <c r="B521" s="4"/>
      <c r="C521" s="4"/>
      <c r="D521" s="4"/>
      <c r="E521" s="4"/>
      <c r="F521" s="4"/>
      <c r="G521" s="4"/>
      <c r="H521" s="4"/>
      <c r="I521" s="4"/>
      <c r="J521" s="4"/>
      <c r="K521" s="4"/>
      <c r="L521" s="4"/>
      <c r="M521" s="4"/>
      <c r="N521" s="4"/>
      <c r="O521" s="4"/>
      <c r="P521" s="4"/>
      <c r="Q521" s="4"/>
      <c r="R521" s="4"/>
      <c r="S521" s="47"/>
      <c r="T521" s="4"/>
      <c r="U521" s="4"/>
      <c r="V521" s="47"/>
      <c r="W521" s="4"/>
      <c r="X521" s="4"/>
      <c r="Y521" s="47"/>
      <c r="Z521" s="4"/>
      <c r="AA521" s="4"/>
    </row>
    <row r="522" spans="1:27" ht="24" customHeight="1" x14ac:dyDescent="0.3">
      <c r="A522" s="4"/>
      <c r="B522" s="4"/>
      <c r="C522" s="4"/>
      <c r="D522" s="4"/>
      <c r="E522" s="4"/>
      <c r="F522" s="4"/>
      <c r="G522" s="4"/>
      <c r="H522" s="4"/>
      <c r="I522" s="4"/>
      <c r="J522" s="4"/>
      <c r="K522" s="4"/>
      <c r="L522" s="4"/>
      <c r="M522" s="4"/>
      <c r="N522" s="4"/>
      <c r="O522" s="4"/>
      <c r="P522" s="4"/>
      <c r="Q522" s="4"/>
      <c r="R522" s="4"/>
      <c r="S522" s="47"/>
      <c r="T522" s="4"/>
      <c r="U522" s="4"/>
      <c r="V522" s="47"/>
      <c r="W522" s="4"/>
      <c r="X522" s="4"/>
      <c r="Y522" s="47"/>
      <c r="Z522" s="4"/>
      <c r="AA522" s="4"/>
    </row>
    <row r="523" spans="1:27" ht="24" customHeight="1" x14ac:dyDescent="0.3">
      <c r="A523" s="4"/>
      <c r="B523" s="4"/>
      <c r="C523" s="4"/>
      <c r="D523" s="4"/>
      <c r="E523" s="4"/>
      <c r="F523" s="4"/>
      <c r="G523" s="4"/>
      <c r="H523" s="4"/>
      <c r="I523" s="4"/>
      <c r="J523" s="4"/>
      <c r="K523" s="4"/>
      <c r="L523" s="4"/>
      <c r="M523" s="4"/>
      <c r="N523" s="4"/>
      <c r="O523" s="4"/>
      <c r="P523" s="4"/>
      <c r="Q523" s="4"/>
      <c r="R523" s="4"/>
      <c r="S523" s="47"/>
      <c r="T523" s="4"/>
      <c r="U523" s="4"/>
      <c r="V523" s="47"/>
      <c r="W523" s="4"/>
      <c r="X523" s="4"/>
      <c r="Y523" s="47"/>
      <c r="Z523" s="4"/>
      <c r="AA523" s="4"/>
    </row>
    <row r="524" spans="1:27" ht="24" customHeight="1" x14ac:dyDescent="0.3">
      <c r="A524" s="4"/>
      <c r="B524" s="4"/>
      <c r="C524" s="4"/>
      <c r="D524" s="4"/>
      <c r="E524" s="4"/>
      <c r="F524" s="4"/>
      <c r="G524" s="4"/>
      <c r="H524" s="4"/>
      <c r="I524" s="4"/>
      <c r="J524" s="4"/>
      <c r="K524" s="4"/>
      <c r="L524" s="4"/>
      <c r="M524" s="4"/>
      <c r="N524" s="4"/>
      <c r="O524" s="4"/>
      <c r="P524" s="4"/>
      <c r="Q524" s="4"/>
      <c r="R524" s="4"/>
      <c r="S524" s="47"/>
      <c r="T524" s="4"/>
      <c r="U524" s="4"/>
      <c r="V524" s="47"/>
      <c r="W524" s="4"/>
      <c r="X524" s="4"/>
      <c r="Y524" s="47"/>
      <c r="Z524" s="4"/>
      <c r="AA524" s="4"/>
    </row>
    <row r="525" spans="1:27" ht="24" customHeight="1" x14ac:dyDescent="0.3">
      <c r="A525" s="4"/>
      <c r="B525" s="4"/>
      <c r="C525" s="4"/>
      <c r="D525" s="4"/>
      <c r="E525" s="4"/>
      <c r="F525" s="4"/>
      <c r="G525" s="4"/>
      <c r="H525" s="4"/>
      <c r="I525" s="4"/>
      <c r="J525" s="4"/>
      <c r="K525" s="4"/>
      <c r="L525" s="4"/>
      <c r="M525" s="4"/>
      <c r="N525" s="4"/>
      <c r="O525" s="4"/>
      <c r="P525" s="4"/>
      <c r="Q525" s="4"/>
      <c r="R525" s="4"/>
      <c r="S525" s="47"/>
      <c r="T525" s="4"/>
      <c r="U525" s="4"/>
      <c r="V525" s="47"/>
      <c r="W525" s="4"/>
      <c r="X525" s="4"/>
      <c r="Y525" s="47"/>
      <c r="Z525" s="4"/>
      <c r="AA525" s="4"/>
    </row>
    <row r="526" spans="1:27" ht="24" customHeight="1" x14ac:dyDescent="0.3">
      <c r="A526" s="4"/>
      <c r="B526" s="4"/>
      <c r="C526" s="4"/>
      <c r="D526" s="4"/>
      <c r="E526" s="4"/>
      <c r="F526" s="4"/>
      <c r="G526" s="4"/>
      <c r="H526" s="4"/>
      <c r="I526" s="4"/>
      <c r="J526" s="4"/>
      <c r="K526" s="4"/>
      <c r="L526" s="4"/>
      <c r="M526" s="4"/>
      <c r="N526" s="4"/>
      <c r="O526" s="4"/>
      <c r="P526" s="4"/>
      <c r="Q526" s="4"/>
      <c r="R526" s="4"/>
      <c r="S526" s="47"/>
      <c r="T526" s="4"/>
      <c r="U526" s="4"/>
      <c r="V526" s="47"/>
      <c r="W526" s="4"/>
      <c r="X526" s="4"/>
      <c r="Y526" s="47"/>
      <c r="Z526" s="4"/>
      <c r="AA526" s="4"/>
    </row>
    <row r="527" spans="1:27" ht="24" customHeight="1" x14ac:dyDescent="0.3">
      <c r="A527" s="4"/>
      <c r="B527" s="4"/>
      <c r="C527" s="4"/>
      <c r="D527" s="4"/>
      <c r="E527" s="4"/>
      <c r="F527" s="4"/>
      <c r="G527" s="4"/>
      <c r="H527" s="4"/>
      <c r="I527" s="4"/>
      <c r="J527" s="4"/>
      <c r="K527" s="4"/>
      <c r="L527" s="4"/>
      <c r="M527" s="4"/>
      <c r="N527" s="4"/>
      <c r="O527" s="4"/>
      <c r="P527" s="4"/>
      <c r="Q527" s="4"/>
      <c r="R527" s="4"/>
      <c r="S527" s="47"/>
      <c r="T527" s="4"/>
      <c r="U527" s="4"/>
      <c r="V527" s="47"/>
      <c r="W527" s="4"/>
      <c r="X527" s="4"/>
      <c r="Y527" s="47"/>
      <c r="Z527" s="4"/>
      <c r="AA527" s="4"/>
    </row>
    <row r="528" spans="1:27" ht="24" customHeight="1" x14ac:dyDescent="0.3">
      <c r="A528" s="4"/>
      <c r="B528" s="4"/>
      <c r="C528" s="4"/>
      <c r="D528" s="4"/>
      <c r="E528" s="4"/>
      <c r="F528" s="4"/>
      <c r="G528" s="4"/>
      <c r="H528" s="4"/>
      <c r="I528" s="4"/>
      <c r="J528" s="4"/>
      <c r="K528" s="4"/>
      <c r="L528" s="4"/>
      <c r="M528" s="4"/>
      <c r="N528" s="4"/>
      <c r="O528" s="4"/>
      <c r="P528" s="4"/>
      <c r="Q528" s="4"/>
      <c r="R528" s="4"/>
      <c r="S528" s="47"/>
      <c r="T528" s="4"/>
      <c r="U528" s="4"/>
      <c r="V528" s="47"/>
      <c r="W528" s="4"/>
      <c r="X528" s="4"/>
      <c r="Y528" s="47"/>
      <c r="Z528" s="4"/>
      <c r="AA528" s="4"/>
    </row>
    <row r="529" spans="1:27" ht="24" customHeight="1" x14ac:dyDescent="0.3">
      <c r="A529" s="4"/>
      <c r="B529" s="4"/>
      <c r="C529" s="4"/>
      <c r="D529" s="4"/>
      <c r="E529" s="4"/>
      <c r="F529" s="4"/>
      <c r="G529" s="4"/>
      <c r="H529" s="4"/>
      <c r="I529" s="4"/>
      <c r="J529" s="4"/>
      <c r="K529" s="4"/>
      <c r="L529" s="4"/>
      <c r="M529" s="4"/>
      <c r="N529" s="4"/>
      <c r="O529" s="4"/>
      <c r="P529" s="4"/>
      <c r="Q529" s="4"/>
      <c r="R529" s="4"/>
      <c r="S529" s="47"/>
      <c r="T529" s="4"/>
      <c r="U529" s="4"/>
      <c r="V529" s="47"/>
      <c r="W529" s="4"/>
      <c r="X529" s="4"/>
      <c r="Y529" s="47"/>
      <c r="Z529" s="4"/>
      <c r="AA529" s="4"/>
    </row>
    <row r="530" spans="1:27" ht="24" customHeight="1" x14ac:dyDescent="0.3">
      <c r="A530" s="4"/>
      <c r="B530" s="4"/>
      <c r="C530" s="4"/>
      <c r="D530" s="4"/>
      <c r="E530" s="4"/>
      <c r="F530" s="4"/>
      <c r="G530" s="4"/>
      <c r="H530" s="4"/>
      <c r="I530" s="4"/>
      <c r="J530" s="4"/>
      <c r="K530" s="4"/>
      <c r="L530" s="4"/>
      <c r="M530" s="4"/>
      <c r="N530" s="4"/>
      <c r="O530" s="4"/>
      <c r="P530" s="4"/>
      <c r="Q530" s="4"/>
      <c r="R530" s="4"/>
      <c r="S530" s="47"/>
      <c r="T530" s="4"/>
      <c r="U530" s="4"/>
      <c r="V530" s="47"/>
      <c r="W530" s="4"/>
      <c r="X530" s="4"/>
      <c r="Y530" s="47"/>
      <c r="Z530" s="4"/>
      <c r="AA530" s="4"/>
    </row>
    <row r="531" spans="1:27" ht="24" customHeight="1" x14ac:dyDescent="0.3">
      <c r="A531" s="4"/>
      <c r="B531" s="4"/>
      <c r="C531" s="4"/>
      <c r="D531" s="4"/>
      <c r="E531" s="4"/>
      <c r="F531" s="4"/>
      <c r="G531" s="4"/>
      <c r="H531" s="4"/>
      <c r="I531" s="4"/>
      <c r="J531" s="4"/>
      <c r="K531" s="4"/>
      <c r="L531" s="4"/>
      <c r="M531" s="4"/>
      <c r="N531" s="4"/>
      <c r="O531" s="4"/>
      <c r="P531" s="4"/>
      <c r="Q531" s="4"/>
      <c r="R531" s="4"/>
      <c r="S531" s="47"/>
      <c r="T531" s="4"/>
      <c r="U531" s="4"/>
      <c r="V531" s="47"/>
      <c r="W531" s="4"/>
      <c r="X531" s="4"/>
      <c r="Y531" s="47"/>
      <c r="Z531" s="4"/>
      <c r="AA531" s="4"/>
    </row>
    <row r="532" spans="1:27" ht="24" customHeight="1" x14ac:dyDescent="0.3">
      <c r="A532" s="4"/>
      <c r="B532" s="4"/>
      <c r="C532" s="4"/>
      <c r="D532" s="4"/>
      <c r="E532" s="4"/>
      <c r="F532" s="4"/>
      <c r="G532" s="4"/>
      <c r="H532" s="4"/>
      <c r="I532" s="4"/>
      <c r="J532" s="4"/>
      <c r="K532" s="4"/>
      <c r="L532" s="4"/>
      <c r="M532" s="4"/>
      <c r="N532" s="4"/>
      <c r="O532" s="4"/>
      <c r="P532" s="4"/>
      <c r="Q532" s="4"/>
      <c r="R532" s="4"/>
      <c r="S532" s="47"/>
      <c r="T532" s="4"/>
      <c r="U532" s="4"/>
      <c r="V532" s="47"/>
      <c r="W532" s="4"/>
      <c r="X532" s="4"/>
      <c r="Y532" s="47"/>
      <c r="Z532" s="4"/>
      <c r="AA532" s="4"/>
    </row>
    <row r="533" spans="1:27" ht="24" customHeight="1" x14ac:dyDescent="0.3">
      <c r="A533" s="4"/>
      <c r="B533" s="4"/>
      <c r="C533" s="4"/>
      <c r="D533" s="4"/>
      <c r="E533" s="4"/>
      <c r="F533" s="4"/>
      <c r="G533" s="4"/>
      <c r="H533" s="4"/>
      <c r="I533" s="4"/>
      <c r="J533" s="4"/>
      <c r="K533" s="4"/>
      <c r="L533" s="4"/>
      <c r="M533" s="4"/>
      <c r="N533" s="4"/>
      <c r="O533" s="4"/>
      <c r="P533" s="4"/>
      <c r="Q533" s="4"/>
      <c r="R533" s="4"/>
      <c r="S533" s="47"/>
      <c r="T533" s="4"/>
      <c r="U533" s="4"/>
      <c r="V533" s="47"/>
      <c r="W533" s="4"/>
      <c r="X533" s="4"/>
      <c r="Y533" s="47"/>
      <c r="Z533" s="4"/>
      <c r="AA533" s="4"/>
    </row>
    <row r="534" spans="1:27" ht="24" customHeight="1" x14ac:dyDescent="0.3">
      <c r="A534" s="4"/>
      <c r="B534" s="4"/>
      <c r="C534" s="4"/>
      <c r="D534" s="4"/>
      <c r="E534" s="4"/>
      <c r="F534" s="4"/>
      <c r="G534" s="4"/>
      <c r="H534" s="4"/>
      <c r="I534" s="4"/>
      <c r="J534" s="4"/>
      <c r="K534" s="4"/>
      <c r="L534" s="4"/>
      <c r="M534" s="4"/>
      <c r="N534" s="4"/>
      <c r="O534" s="4"/>
      <c r="P534" s="4"/>
      <c r="Q534" s="4"/>
      <c r="R534" s="4"/>
      <c r="S534" s="47"/>
      <c r="T534" s="4"/>
      <c r="U534" s="4"/>
      <c r="V534" s="47"/>
      <c r="W534" s="4"/>
      <c r="X534" s="4"/>
      <c r="Y534" s="47"/>
      <c r="Z534" s="4"/>
      <c r="AA534" s="4"/>
    </row>
    <row r="535" spans="1:27" ht="24" customHeight="1" x14ac:dyDescent="0.3">
      <c r="A535" s="4"/>
      <c r="B535" s="4"/>
      <c r="C535" s="4"/>
      <c r="D535" s="4"/>
      <c r="E535" s="4"/>
      <c r="F535" s="4"/>
      <c r="G535" s="4"/>
      <c r="H535" s="4"/>
      <c r="I535" s="4"/>
      <c r="J535" s="4"/>
      <c r="K535" s="4"/>
      <c r="L535" s="4"/>
      <c r="M535" s="4"/>
      <c r="N535" s="4"/>
      <c r="O535" s="4"/>
      <c r="P535" s="4"/>
      <c r="Q535" s="4"/>
      <c r="R535" s="4"/>
      <c r="S535" s="47"/>
      <c r="T535" s="4"/>
      <c r="U535" s="4"/>
      <c r="V535" s="47"/>
      <c r="W535" s="4"/>
      <c r="X535" s="4"/>
      <c r="Y535" s="47"/>
      <c r="Z535" s="4"/>
      <c r="AA535" s="4"/>
    </row>
    <row r="536" spans="1:27" ht="24" customHeight="1" x14ac:dyDescent="0.3">
      <c r="A536" s="4"/>
      <c r="B536" s="4"/>
      <c r="C536" s="4"/>
      <c r="D536" s="4"/>
      <c r="E536" s="4"/>
      <c r="F536" s="4"/>
      <c r="G536" s="4"/>
      <c r="H536" s="4"/>
      <c r="I536" s="4"/>
      <c r="J536" s="4"/>
      <c r="K536" s="4"/>
      <c r="L536" s="4"/>
      <c r="M536" s="4"/>
      <c r="N536" s="4"/>
      <c r="O536" s="4"/>
      <c r="P536" s="4"/>
      <c r="Q536" s="4"/>
      <c r="R536" s="4"/>
      <c r="S536" s="47"/>
      <c r="T536" s="4"/>
      <c r="U536" s="4"/>
      <c r="V536" s="47"/>
      <c r="W536" s="4"/>
      <c r="X536" s="4"/>
      <c r="Y536" s="47"/>
      <c r="Z536" s="4"/>
      <c r="AA536" s="4"/>
    </row>
    <row r="537" spans="1:27" ht="24" customHeight="1" x14ac:dyDescent="0.3">
      <c r="A537" s="4"/>
      <c r="B537" s="4"/>
      <c r="C537" s="4"/>
      <c r="D537" s="4"/>
      <c r="E537" s="4"/>
      <c r="F537" s="4"/>
      <c r="G537" s="4"/>
      <c r="H537" s="4"/>
      <c r="I537" s="4"/>
      <c r="J537" s="4"/>
      <c r="K537" s="4"/>
      <c r="L537" s="4"/>
      <c r="M537" s="4"/>
      <c r="N537" s="4"/>
      <c r="O537" s="4"/>
      <c r="P537" s="4"/>
      <c r="Q537" s="4"/>
      <c r="R537" s="4"/>
      <c r="S537" s="47"/>
      <c r="T537" s="4"/>
      <c r="U537" s="4"/>
      <c r="V537" s="47"/>
      <c r="W537" s="4"/>
      <c r="X537" s="4"/>
      <c r="Y537" s="47"/>
      <c r="Z537" s="4"/>
      <c r="AA537" s="4"/>
    </row>
    <row r="538" spans="1:27" ht="24" customHeight="1" x14ac:dyDescent="0.3">
      <c r="A538" s="4"/>
      <c r="B538" s="4"/>
      <c r="C538" s="4"/>
      <c r="D538" s="4"/>
      <c r="E538" s="4"/>
      <c r="F538" s="4"/>
      <c r="G538" s="4"/>
      <c r="H538" s="4"/>
      <c r="I538" s="4"/>
      <c r="J538" s="4"/>
      <c r="K538" s="4"/>
      <c r="L538" s="4"/>
      <c r="M538" s="4"/>
      <c r="N538" s="4"/>
      <c r="O538" s="4"/>
      <c r="P538" s="4"/>
      <c r="Q538" s="4"/>
      <c r="R538" s="4"/>
      <c r="S538" s="47"/>
      <c r="T538" s="4"/>
      <c r="U538" s="4"/>
      <c r="V538" s="47"/>
      <c r="W538" s="4"/>
      <c r="X538" s="4"/>
      <c r="Y538" s="47"/>
      <c r="Z538" s="4"/>
      <c r="AA538" s="4"/>
    </row>
    <row r="539" spans="1:27" ht="24" customHeight="1" x14ac:dyDescent="0.3">
      <c r="A539" s="4"/>
      <c r="B539" s="4"/>
      <c r="C539" s="4"/>
      <c r="D539" s="4"/>
      <c r="E539" s="4"/>
      <c r="F539" s="4"/>
      <c r="G539" s="4"/>
      <c r="H539" s="4"/>
      <c r="I539" s="4"/>
      <c r="J539" s="4"/>
      <c r="K539" s="4"/>
      <c r="L539" s="4"/>
      <c r="M539" s="4"/>
      <c r="N539" s="4"/>
      <c r="O539" s="4"/>
      <c r="P539" s="4"/>
      <c r="Q539" s="4"/>
      <c r="R539" s="4"/>
      <c r="S539" s="47"/>
      <c r="T539" s="4"/>
      <c r="U539" s="4"/>
      <c r="V539" s="47"/>
      <c r="W539" s="4"/>
      <c r="X539" s="4"/>
      <c r="Y539" s="47"/>
      <c r="Z539" s="4"/>
      <c r="AA539" s="4"/>
    </row>
    <row r="540" spans="1:27" ht="24" customHeight="1" x14ac:dyDescent="0.3">
      <c r="A540" s="4"/>
      <c r="B540" s="4"/>
      <c r="C540" s="4"/>
      <c r="D540" s="4"/>
      <c r="E540" s="4"/>
      <c r="F540" s="4"/>
      <c r="G540" s="4"/>
      <c r="H540" s="4"/>
      <c r="I540" s="4"/>
      <c r="J540" s="4"/>
      <c r="K540" s="4"/>
      <c r="L540" s="4"/>
      <c r="M540" s="4"/>
      <c r="N540" s="4"/>
      <c r="O540" s="4"/>
      <c r="P540" s="4"/>
      <c r="Q540" s="4"/>
      <c r="R540" s="4"/>
      <c r="S540" s="47"/>
      <c r="T540" s="4"/>
      <c r="U540" s="4"/>
      <c r="V540" s="47"/>
      <c r="W540" s="4"/>
      <c r="X540" s="4"/>
      <c r="Y540" s="47"/>
      <c r="Z540" s="4"/>
      <c r="AA540" s="4"/>
    </row>
    <row r="541" spans="1:27" ht="24" customHeight="1" x14ac:dyDescent="0.3">
      <c r="A541" s="4"/>
      <c r="B541" s="4"/>
      <c r="C541" s="4"/>
      <c r="D541" s="4"/>
      <c r="E541" s="4"/>
      <c r="F541" s="4"/>
      <c r="G541" s="4"/>
      <c r="H541" s="4"/>
      <c r="I541" s="4"/>
      <c r="J541" s="4"/>
      <c r="K541" s="4"/>
      <c r="L541" s="4"/>
      <c r="M541" s="4"/>
      <c r="N541" s="4"/>
      <c r="O541" s="4"/>
      <c r="P541" s="4"/>
      <c r="Q541" s="4"/>
      <c r="R541" s="4"/>
      <c r="S541" s="47"/>
      <c r="T541" s="4"/>
      <c r="U541" s="4"/>
      <c r="V541" s="47"/>
      <c r="W541" s="4"/>
      <c r="X541" s="4"/>
      <c r="Y541" s="47"/>
      <c r="Z541" s="4"/>
      <c r="AA541" s="4"/>
    </row>
    <row r="542" spans="1:27" ht="24" customHeight="1" x14ac:dyDescent="0.3">
      <c r="A542" s="4"/>
      <c r="B542" s="4"/>
      <c r="C542" s="4"/>
      <c r="D542" s="4"/>
      <c r="E542" s="4"/>
      <c r="F542" s="4"/>
      <c r="G542" s="4"/>
      <c r="H542" s="4"/>
      <c r="I542" s="4"/>
      <c r="J542" s="4"/>
      <c r="K542" s="4"/>
      <c r="L542" s="4"/>
      <c r="M542" s="4"/>
      <c r="N542" s="4"/>
      <c r="O542" s="4"/>
      <c r="P542" s="4"/>
      <c r="Q542" s="4"/>
      <c r="R542" s="4"/>
      <c r="S542" s="47"/>
      <c r="T542" s="4"/>
      <c r="U542" s="4"/>
      <c r="V542" s="47"/>
      <c r="W542" s="4"/>
      <c r="X542" s="4"/>
      <c r="Y542" s="47"/>
      <c r="Z542" s="4"/>
      <c r="AA542" s="4"/>
    </row>
    <row r="543" spans="1:27" ht="24" customHeight="1" x14ac:dyDescent="0.3">
      <c r="A543" s="4"/>
      <c r="B543" s="4"/>
      <c r="C543" s="4"/>
      <c r="D543" s="4"/>
      <c r="E543" s="4"/>
      <c r="F543" s="4"/>
      <c r="G543" s="4"/>
      <c r="H543" s="4"/>
      <c r="I543" s="4"/>
      <c r="J543" s="4"/>
      <c r="K543" s="4"/>
      <c r="L543" s="4"/>
      <c r="M543" s="4"/>
      <c r="N543" s="4"/>
      <c r="O543" s="4"/>
      <c r="P543" s="4"/>
      <c r="Q543" s="4"/>
      <c r="R543" s="4"/>
      <c r="S543" s="47"/>
      <c r="T543" s="4"/>
      <c r="U543" s="4"/>
      <c r="V543" s="47"/>
      <c r="W543" s="4"/>
      <c r="X543" s="4"/>
      <c r="Y543" s="47"/>
      <c r="Z543" s="4"/>
      <c r="AA543" s="4"/>
    </row>
    <row r="544" spans="1:27" ht="24" customHeight="1" x14ac:dyDescent="0.3">
      <c r="A544" s="4"/>
      <c r="B544" s="4"/>
      <c r="C544" s="4"/>
      <c r="D544" s="4"/>
      <c r="E544" s="4"/>
      <c r="F544" s="4"/>
      <c r="G544" s="4"/>
      <c r="H544" s="4"/>
      <c r="I544" s="4"/>
      <c r="J544" s="4"/>
      <c r="K544" s="4"/>
      <c r="L544" s="4"/>
      <c r="M544" s="4"/>
      <c r="N544" s="4"/>
      <c r="O544" s="4"/>
      <c r="P544" s="4"/>
      <c r="Q544" s="4"/>
      <c r="R544" s="4"/>
      <c r="S544" s="47"/>
      <c r="T544" s="4"/>
      <c r="U544" s="4"/>
      <c r="V544" s="47"/>
      <c r="W544" s="4"/>
      <c r="X544" s="4"/>
      <c r="Y544" s="47"/>
      <c r="Z544" s="4"/>
      <c r="AA544" s="4"/>
    </row>
    <row r="545" spans="1:27" ht="24" customHeight="1" x14ac:dyDescent="0.3">
      <c r="A545" s="4"/>
      <c r="B545" s="4"/>
      <c r="C545" s="4"/>
      <c r="D545" s="4"/>
      <c r="E545" s="4"/>
      <c r="F545" s="4"/>
      <c r="G545" s="4"/>
      <c r="H545" s="4"/>
      <c r="I545" s="4"/>
      <c r="J545" s="4"/>
      <c r="K545" s="4"/>
      <c r="L545" s="4"/>
      <c r="M545" s="4"/>
      <c r="N545" s="4"/>
      <c r="O545" s="4"/>
      <c r="P545" s="4"/>
      <c r="Q545" s="4"/>
      <c r="R545" s="4"/>
      <c r="S545" s="47"/>
      <c r="T545" s="4"/>
      <c r="U545" s="4"/>
      <c r="V545" s="47"/>
      <c r="W545" s="4"/>
      <c r="X545" s="4"/>
      <c r="Y545" s="47"/>
      <c r="Z545" s="4"/>
      <c r="AA545" s="4"/>
    </row>
    <row r="546" spans="1:27" ht="24" customHeight="1" x14ac:dyDescent="0.3">
      <c r="A546" s="4"/>
      <c r="B546" s="4"/>
      <c r="C546" s="4"/>
      <c r="D546" s="4"/>
      <c r="E546" s="4"/>
      <c r="F546" s="4"/>
      <c r="G546" s="4"/>
      <c r="H546" s="4"/>
      <c r="I546" s="4"/>
      <c r="J546" s="4"/>
      <c r="K546" s="4"/>
      <c r="L546" s="4"/>
      <c r="M546" s="4"/>
      <c r="N546" s="4"/>
      <c r="O546" s="4"/>
      <c r="P546" s="4"/>
      <c r="Q546" s="4"/>
      <c r="R546" s="4"/>
      <c r="S546" s="47"/>
      <c r="T546" s="4"/>
      <c r="U546" s="4"/>
      <c r="V546" s="47"/>
      <c r="W546" s="4"/>
      <c r="X546" s="4"/>
      <c r="Y546" s="47"/>
      <c r="Z546" s="4"/>
      <c r="AA546" s="4"/>
    </row>
    <row r="547" spans="1:27" ht="24" customHeight="1" x14ac:dyDescent="0.3">
      <c r="A547" s="4"/>
      <c r="B547" s="4"/>
      <c r="C547" s="4"/>
      <c r="D547" s="4"/>
      <c r="E547" s="4"/>
      <c r="F547" s="4"/>
      <c r="G547" s="4"/>
      <c r="H547" s="4"/>
      <c r="I547" s="4"/>
      <c r="J547" s="4"/>
      <c r="K547" s="4"/>
      <c r="L547" s="4"/>
      <c r="M547" s="4"/>
      <c r="N547" s="4"/>
      <c r="O547" s="4"/>
      <c r="P547" s="4"/>
      <c r="Q547" s="4"/>
      <c r="R547" s="4"/>
      <c r="S547" s="47"/>
      <c r="T547" s="4"/>
      <c r="U547" s="4"/>
      <c r="V547" s="47"/>
      <c r="W547" s="4"/>
      <c r="X547" s="4"/>
      <c r="Y547" s="47"/>
      <c r="Z547" s="4"/>
      <c r="AA547" s="4"/>
    </row>
    <row r="548" spans="1:27" ht="24" customHeight="1" x14ac:dyDescent="0.3">
      <c r="A548" s="4"/>
      <c r="B548" s="4"/>
      <c r="C548" s="4"/>
      <c r="D548" s="4"/>
      <c r="E548" s="4"/>
      <c r="F548" s="4"/>
      <c r="G548" s="4"/>
      <c r="H548" s="4"/>
      <c r="I548" s="4"/>
      <c r="J548" s="4"/>
      <c r="K548" s="4"/>
      <c r="L548" s="4"/>
      <c r="M548" s="4"/>
      <c r="N548" s="4"/>
      <c r="O548" s="4"/>
      <c r="P548" s="4"/>
      <c r="Q548" s="4"/>
      <c r="R548" s="4"/>
      <c r="S548" s="47"/>
      <c r="T548" s="4"/>
      <c r="U548" s="4"/>
      <c r="V548" s="47"/>
      <c r="W548" s="4"/>
      <c r="X548" s="4"/>
      <c r="Y548" s="47"/>
      <c r="Z548" s="4"/>
      <c r="AA548" s="4"/>
    </row>
    <row r="549" spans="1:27" ht="24" customHeight="1" x14ac:dyDescent="0.3">
      <c r="A549" s="4"/>
      <c r="B549" s="4"/>
      <c r="C549" s="4"/>
      <c r="D549" s="4"/>
      <c r="E549" s="4"/>
      <c r="F549" s="4"/>
      <c r="G549" s="4"/>
      <c r="H549" s="4"/>
      <c r="I549" s="4"/>
      <c r="J549" s="4"/>
      <c r="K549" s="4"/>
      <c r="L549" s="4"/>
      <c r="M549" s="4"/>
      <c r="N549" s="4"/>
      <c r="O549" s="4"/>
      <c r="P549" s="4"/>
      <c r="Q549" s="4"/>
      <c r="R549" s="4"/>
      <c r="S549" s="47"/>
      <c r="T549" s="4"/>
      <c r="U549" s="4"/>
      <c r="V549" s="47"/>
      <c r="W549" s="4"/>
      <c r="X549" s="4"/>
      <c r="Y549" s="47"/>
      <c r="Z549" s="4"/>
      <c r="AA549" s="4"/>
    </row>
    <row r="550" spans="1:27" ht="24" customHeight="1" x14ac:dyDescent="0.3">
      <c r="A550" s="4"/>
      <c r="B550" s="4"/>
      <c r="C550" s="4"/>
      <c r="D550" s="4"/>
      <c r="E550" s="4"/>
      <c r="F550" s="4"/>
      <c r="G550" s="4"/>
      <c r="H550" s="4"/>
      <c r="I550" s="4"/>
      <c r="J550" s="4"/>
      <c r="K550" s="4"/>
      <c r="L550" s="4"/>
      <c r="M550" s="4"/>
      <c r="N550" s="4"/>
      <c r="O550" s="4"/>
      <c r="P550" s="4"/>
      <c r="Q550" s="4"/>
      <c r="R550" s="4"/>
      <c r="S550" s="47"/>
      <c r="T550" s="4"/>
      <c r="U550" s="4"/>
      <c r="V550" s="47"/>
      <c r="W550" s="4"/>
      <c r="X550" s="4"/>
      <c r="Y550" s="47"/>
      <c r="Z550" s="4"/>
      <c r="AA550" s="4"/>
    </row>
    <row r="551" spans="1:27" ht="24" customHeight="1" x14ac:dyDescent="0.3">
      <c r="A551" s="4"/>
      <c r="B551" s="4"/>
      <c r="C551" s="4"/>
      <c r="D551" s="4"/>
      <c r="E551" s="4"/>
      <c r="F551" s="4"/>
      <c r="G551" s="4"/>
      <c r="H551" s="4"/>
      <c r="I551" s="4"/>
      <c r="J551" s="4"/>
      <c r="K551" s="4"/>
      <c r="L551" s="4"/>
      <c r="M551" s="4"/>
      <c r="N551" s="4"/>
      <c r="O551" s="4"/>
      <c r="P551" s="4"/>
      <c r="Q551" s="4"/>
      <c r="R551" s="4"/>
      <c r="S551" s="47"/>
      <c r="T551" s="4"/>
      <c r="U551" s="4"/>
      <c r="V551" s="47"/>
      <c r="W551" s="4"/>
      <c r="X551" s="4"/>
      <c r="Y551" s="47"/>
      <c r="Z551" s="4"/>
      <c r="AA551" s="4"/>
    </row>
    <row r="552" spans="1:27" ht="24" customHeight="1" x14ac:dyDescent="0.3">
      <c r="A552" s="4"/>
      <c r="B552" s="4"/>
      <c r="C552" s="4"/>
      <c r="D552" s="4"/>
      <c r="E552" s="4"/>
      <c r="F552" s="4"/>
      <c r="G552" s="4"/>
      <c r="H552" s="4"/>
      <c r="I552" s="4"/>
      <c r="J552" s="4"/>
      <c r="K552" s="4"/>
      <c r="L552" s="4"/>
      <c r="M552" s="4"/>
      <c r="N552" s="4"/>
      <c r="O552" s="4"/>
      <c r="P552" s="4"/>
      <c r="Q552" s="4"/>
      <c r="R552" s="4"/>
      <c r="S552" s="47"/>
      <c r="T552" s="4"/>
      <c r="U552" s="4"/>
      <c r="V552" s="47"/>
      <c r="W552" s="4"/>
      <c r="X552" s="4"/>
      <c r="Y552" s="47"/>
      <c r="Z552" s="4"/>
      <c r="AA552" s="4"/>
    </row>
    <row r="553" spans="1:27" ht="24" customHeight="1" x14ac:dyDescent="0.3">
      <c r="A553" s="4"/>
      <c r="B553" s="4"/>
      <c r="C553" s="4"/>
      <c r="D553" s="4"/>
      <c r="E553" s="4"/>
      <c r="F553" s="4"/>
      <c r="G553" s="4"/>
      <c r="H553" s="4"/>
      <c r="I553" s="4"/>
      <c r="J553" s="4"/>
      <c r="K553" s="4"/>
      <c r="L553" s="4"/>
      <c r="M553" s="4"/>
      <c r="N553" s="4"/>
      <c r="O553" s="4"/>
      <c r="P553" s="4"/>
      <c r="Q553" s="4"/>
      <c r="R553" s="4"/>
      <c r="S553" s="47"/>
      <c r="T553" s="4"/>
      <c r="U553" s="4"/>
      <c r="V553" s="47"/>
      <c r="W553" s="4"/>
      <c r="X553" s="4"/>
      <c r="Y553" s="47"/>
      <c r="Z553" s="4"/>
      <c r="AA553" s="4"/>
    </row>
    <row r="554" spans="1:27" ht="24" customHeight="1" x14ac:dyDescent="0.3">
      <c r="A554" s="4"/>
      <c r="B554" s="4"/>
      <c r="C554" s="4"/>
      <c r="D554" s="4"/>
      <c r="E554" s="4"/>
      <c r="F554" s="4"/>
      <c r="G554" s="4"/>
      <c r="H554" s="4"/>
      <c r="I554" s="4"/>
      <c r="J554" s="4"/>
      <c r="K554" s="4"/>
      <c r="L554" s="4"/>
      <c r="M554" s="4"/>
      <c r="N554" s="4"/>
      <c r="O554" s="4"/>
      <c r="P554" s="4"/>
      <c r="Q554" s="4"/>
      <c r="R554" s="4"/>
      <c r="S554" s="47"/>
      <c r="T554" s="4"/>
      <c r="U554" s="4"/>
      <c r="V554" s="47"/>
      <c r="W554" s="4"/>
      <c r="X554" s="4"/>
      <c r="Y554" s="47"/>
      <c r="Z554" s="4"/>
      <c r="AA554" s="4"/>
    </row>
    <row r="555" spans="1:27" ht="24" customHeight="1" x14ac:dyDescent="0.3">
      <c r="A555" s="4"/>
      <c r="B555" s="4"/>
      <c r="C555" s="4"/>
      <c r="D555" s="4"/>
      <c r="E555" s="4"/>
      <c r="F555" s="4"/>
      <c r="G555" s="4"/>
      <c r="H555" s="4"/>
      <c r="I555" s="4"/>
      <c r="J555" s="4"/>
      <c r="K555" s="4"/>
      <c r="L555" s="4"/>
      <c r="M555" s="4"/>
      <c r="N555" s="4"/>
      <c r="O555" s="4"/>
      <c r="P555" s="4"/>
      <c r="Q555" s="4"/>
      <c r="R555" s="4"/>
      <c r="S555" s="47"/>
      <c r="T555" s="4"/>
      <c r="U555" s="4"/>
      <c r="V555" s="47"/>
      <c r="W555" s="4"/>
      <c r="X555" s="4"/>
      <c r="Y555" s="47"/>
      <c r="Z555" s="4"/>
      <c r="AA555" s="4"/>
    </row>
    <row r="556" spans="1:27" ht="24" customHeight="1" x14ac:dyDescent="0.3">
      <c r="A556" s="4"/>
      <c r="B556" s="4"/>
      <c r="C556" s="4"/>
      <c r="D556" s="4"/>
      <c r="E556" s="4"/>
      <c r="F556" s="4"/>
      <c r="G556" s="4"/>
      <c r="H556" s="4"/>
      <c r="I556" s="4"/>
      <c r="J556" s="4"/>
      <c r="K556" s="4"/>
      <c r="L556" s="4"/>
      <c r="M556" s="4"/>
      <c r="N556" s="4"/>
      <c r="O556" s="4"/>
      <c r="P556" s="4"/>
      <c r="Q556" s="4"/>
      <c r="R556" s="4"/>
      <c r="S556" s="47"/>
      <c r="T556" s="4"/>
      <c r="U556" s="4"/>
      <c r="V556" s="47"/>
      <c r="W556" s="4"/>
      <c r="X556" s="4"/>
      <c r="Y556" s="47"/>
      <c r="Z556" s="4"/>
      <c r="AA556" s="4"/>
    </row>
    <row r="557" spans="1:27" ht="24" customHeight="1" x14ac:dyDescent="0.3">
      <c r="A557" s="4"/>
      <c r="B557" s="4"/>
      <c r="C557" s="4"/>
      <c r="D557" s="4"/>
      <c r="E557" s="4"/>
      <c r="F557" s="4"/>
      <c r="G557" s="4"/>
      <c r="H557" s="4"/>
      <c r="I557" s="4"/>
      <c r="J557" s="4"/>
      <c r="K557" s="4"/>
      <c r="L557" s="4"/>
      <c r="M557" s="4"/>
      <c r="N557" s="4"/>
      <c r="O557" s="4"/>
      <c r="P557" s="4"/>
      <c r="Q557" s="4"/>
      <c r="R557" s="4"/>
      <c r="S557" s="47"/>
      <c r="T557" s="4"/>
      <c r="U557" s="4"/>
      <c r="V557" s="47"/>
      <c r="W557" s="4"/>
      <c r="X557" s="4"/>
      <c r="Y557" s="47"/>
      <c r="Z557" s="4"/>
      <c r="AA557" s="4"/>
    </row>
    <row r="558" spans="1:27" ht="24" customHeight="1" x14ac:dyDescent="0.3">
      <c r="A558" s="4"/>
      <c r="B558" s="4"/>
      <c r="C558" s="4"/>
      <c r="D558" s="4"/>
      <c r="E558" s="4"/>
      <c r="F558" s="4"/>
      <c r="G558" s="4"/>
      <c r="H558" s="4"/>
      <c r="I558" s="4"/>
      <c r="J558" s="4"/>
      <c r="K558" s="4"/>
      <c r="L558" s="4"/>
      <c r="M558" s="4"/>
      <c r="N558" s="4"/>
      <c r="O558" s="4"/>
      <c r="P558" s="4"/>
      <c r="Q558" s="4"/>
      <c r="R558" s="4"/>
      <c r="S558" s="47"/>
      <c r="T558" s="4"/>
      <c r="U558" s="4"/>
      <c r="V558" s="47"/>
      <c r="W558" s="4"/>
      <c r="X558" s="4"/>
      <c r="Y558" s="47"/>
      <c r="Z558" s="4"/>
      <c r="AA558" s="4"/>
    </row>
    <row r="559" spans="1:27" ht="24" customHeight="1" x14ac:dyDescent="0.3">
      <c r="A559" s="4"/>
      <c r="B559" s="4"/>
      <c r="C559" s="4"/>
      <c r="D559" s="4"/>
      <c r="E559" s="4"/>
      <c r="F559" s="4"/>
      <c r="G559" s="4"/>
      <c r="H559" s="4"/>
      <c r="I559" s="4"/>
      <c r="J559" s="4"/>
      <c r="K559" s="4"/>
      <c r="L559" s="4"/>
      <c r="M559" s="4"/>
      <c r="N559" s="4"/>
      <c r="O559" s="4"/>
      <c r="P559" s="4"/>
      <c r="Q559" s="4"/>
      <c r="R559" s="4"/>
      <c r="S559" s="47"/>
      <c r="T559" s="4"/>
      <c r="U559" s="4"/>
      <c r="V559" s="47"/>
      <c r="W559" s="4"/>
      <c r="X559" s="4"/>
      <c r="Y559" s="47"/>
      <c r="Z559" s="4"/>
      <c r="AA559" s="4"/>
    </row>
    <row r="560" spans="1:27" ht="24" customHeight="1" x14ac:dyDescent="0.3">
      <c r="A560" s="4"/>
      <c r="B560" s="4"/>
      <c r="C560" s="4"/>
      <c r="D560" s="4"/>
      <c r="E560" s="4"/>
      <c r="F560" s="4"/>
      <c r="G560" s="4"/>
      <c r="H560" s="4"/>
      <c r="I560" s="4"/>
      <c r="J560" s="4"/>
      <c r="K560" s="4"/>
      <c r="L560" s="4"/>
      <c r="M560" s="4"/>
      <c r="N560" s="4"/>
      <c r="O560" s="4"/>
      <c r="P560" s="4"/>
      <c r="Q560" s="4"/>
      <c r="R560" s="4"/>
      <c r="S560" s="47"/>
      <c r="T560" s="4"/>
      <c r="U560" s="4"/>
      <c r="V560" s="47"/>
      <c r="W560" s="4"/>
      <c r="X560" s="4"/>
      <c r="Y560" s="47"/>
      <c r="Z560" s="4"/>
      <c r="AA560" s="4"/>
    </row>
    <row r="561" spans="1:27" ht="24" customHeight="1" x14ac:dyDescent="0.3">
      <c r="A561" s="4"/>
      <c r="B561" s="4"/>
      <c r="C561" s="4"/>
      <c r="D561" s="4"/>
      <c r="E561" s="4"/>
      <c r="F561" s="4"/>
      <c r="G561" s="4"/>
      <c r="H561" s="4"/>
      <c r="I561" s="4"/>
      <c r="J561" s="4"/>
      <c r="K561" s="4"/>
      <c r="L561" s="4"/>
      <c r="M561" s="4"/>
      <c r="N561" s="4"/>
      <c r="O561" s="4"/>
      <c r="P561" s="4"/>
      <c r="Q561" s="4"/>
      <c r="R561" s="4"/>
      <c r="S561" s="47"/>
      <c r="T561" s="4"/>
      <c r="U561" s="4"/>
      <c r="V561" s="47"/>
      <c r="W561" s="4"/>
      <c r="X561" s="4"/>
      <c r="Y561" s="47"/>
      <c r="Z561" s="4"/>
      <c r="AA561" s="4"/>
    </row>
    <row r="562" spans="1:27" ht="24" customHeight="1" x14ac:dyDescent="0.3">
      <c r="A562" s="4"/>
      <c r="B562" s="4"/>
      <c r="C562" s="4"/>
      <c r="D562" s="4"/>
      <c r="E562" s="4"/>
      <c r="F562" s="4"/>
      <c r="G562" s="4"/>
      <c r="H562" s="4"/>
      <c r="I562" s="4"/>
      <c r="J562" s="4"/>
      <c r="K562" s="4"/>
      <c r="L562" s="4"/>
      <c r="M562" s="4"/>
      <c r="N562" s="4"/>
      <c r="O562" s="4"/>
      <c r="P562" s="4"/>
      <c r="Q562" s="4"/>
      <c r="R562" s="4"/>
      <c r="S562" s="47"/>
      <c r="T562" s="4"/>
      <c r="U562" s="4"/>
      <c r="V562" s="47"/>
      <c r="W562" s="4"/>
      <c r="X562" s="4"/>
      <c r="Y562" s="47"/>
      <c r="Z562" s="4"/>
      <c r="AA562" s="4"/>
    </row>
    <row r="563" spans="1:27" ht="24" customHeight="1" x14ac:dyDescent="0.3">
      <c r="A563" s="4"/>
      <c r="B563" s="4"/>
      <c r="C563" s="4"/>
      <c r="D563" s="4"/>
      <c r="E563" s="4"/>
      <c r="F563" s="4"/>
      <c r="G563" s="4"/>
      <c r="H563" s="4"/>
      <c r="I563" s="4"/>
      <c r="J563" s="4"/>
      <c r="K563" s="4"/>
      <c r="L563" s="4"/>
      <c r="M563" s="4"/>
      <c r="N563" s="4"/>
      <c r="O563" s="4"/>
      <c r="P563" s="4"/>
      <c r="Q563" s="4"/>
      <c r="R563" s="4"/>
      <c r="S563" s="47"/>
      <c r="T563" s="4"/>
      <c r="U563" s="4"/>
      <c r="V563" s="47"/>
      <c r="W563" s="4"/>
      <c r="X563" s="4"/>
      <c r="Y563" s="47"/>
      <c r="Z563" s="4"/>
      <c r="AA563" s="4"/>
    </row>
    <row r="564" spans="1:27" ht="24" customHeight="1" x14ac:dyDescent="0.3">
      <c r="A564" s="4"/>
      <c r="B564" s="4"/>
      <c r="C564" s="4"/>
      <c r="D564" s="4"/>
      <c r="E564" s="4"/>
      <c r="F564" s="4"/>
      <c r="G564" s="4"/>
      <c r="H564" s="4"/>
      <c r="I564" s="4"/>
      <c r="J564" s="4"/>
      <c r="K564" s="4"/>
      <c r="L564" s="4"/>
      <c r="M564" s="4"/>
      <c r="N564" s="4"/>
      <c r="O564" s="4"/>
      <c r="P564" s="4"/>
      <c r="Q564" s="4"/>
      <c r="R564" s="4"/>
      <c r="S564" s="47"/>
      <c r="T564" s="4"/>
      <c r="U564" s="4"/>
      <c r="V564" s="47"/>
      <c r="W564" s="4"/>
      <c r="X564" s="4"/>
      <c r="Y564" s="47"/>
      <c r="Z564" s="4"/>
      <c r="AA564" s="4"/>
    </row>
    <row r="565" spans="1:27" ht="24" customHeight="1" x14ac:dyDescent="0.3">
      <c r="A565" s="4"/>
      <c r="B565" s="4"/>
      <c r="C565" s="4"/>
      <c r="D565" s="4"/>
      <c r="E565" s="4"/>
      <c r="F565" s="4"/>
      <c r="G565" s="4"/>
      <c r="H565" s="4"/>
      <c r="I565" s="4"/>
      <c r="J565" s="4"/>
      <c r="K565" s="4"/>
      <c r="L565" s="4"/>
      <c r="M565" s="4"/>
      <c r="N565" s="4"/>
      <c r="O565" s="4"/>
      <c r="P565" s="4"/>
      <c r="Q565" s="4"/>
      <c r="R565" s="4"/>
      <c r="S565" s="47"/>
      <c r="T565" s="4"/>
      <c r="U565" s="4"/>
      <c r="V565" s="47"/>
      <c r="W565" s="4"/>
      <c r="X565" s="4"/>
      <c r="Y565" s="47"/>
      <c r="Z565" s="4"/>
      <c r="AA565" s="4"/>
    </row>
    <row r="566" spans="1:27" ht="24" customHeight="1" x14ac:dyDescent="0.3">
      <c r="A566" s="4"/>
      <c r="B566" s="4"/>
      <c r="C566" s="4"/>
      <c r="D566" s="4"/>
      <c r="E566" s="4"/>
      <c r="F566" s="4"/>
      <c r="G566" s="4"/>
      <c r="H566" s="4"/>
      <c r="I566" s="4"/>
      <c r="J566" s="4"/>
      <c r="K566" s="4"/>
      <c r="L566" s="4"/>
      <c r="M566" s="4"/>
      <c r="N566" s="4"/>
      <c r="O566" s="4"/>
      <c r="P566" s="4"/>
      <c r="Q566" s="4"/>
      <c r="R566" s="4"/>
      <c r="S566" s="47"/>
      <c r="T566" s="4"/>
      <c r="U566" s="4"/>
      <c r="V566" s="47"/>
      <c r="W566" s="4"/>
      <c r="X566" s="4"/>
      <c r="Y566" s="47"/>
      <c r="Z566" s="4"/>
      <c r="AA566" s="4"/>
    </row>
    <row r="567" spans="1:27" ht="24" customHeight="1" x14ac:dyDescent="0.3">
      <c r="A567" s="4"/>
      <c r="B567" s="4"/>
      <c r="C567" s="4"/>
      <c r="D567" s="4"/>
      <c r="E567" s="4"/>
      <c r="F567" s="4"/>
      <c r="G567" s="4"/>
      <c r="H567" s="4"/>
      <c r="I567" s="4"/>
      <c r="J567" s="4"/>
      <c r="K567" s="4"/>
      <c r="L567" s="4"/>
      <c r="M567" s="4"/>
      <c r="N567" s="4"/>
      <c r="O567" s="4"/>
      <c r="P567" s="4"/>
      <c r="Q567" s="4"/>
      <c r="R567" s="4"/>
      <c r="S567" s="47"/>
      <c r="T567" s="4"/>
      <c r="U567" s="4"/>
      <c r="V567" s="47"/>
      <c r="W567" s="4"/>
      <c r="X567" s="4"/>
      <c r="Y567" s="47"/>
      <c r="Z567" s="4"/>
      <c r="AA567" s="4"/>
    </row>
    <row r="568" spans="1:27" ht="24" customHeight="1" x14ac:dyDescent="0.3">
      <c r="A568" s="4"/>
      <c r="B568" s="4"/>
      <c r="C568" s="4"/>
      <c r="D568" s="4"/>
      <c r="E568" s="4"/>
      <c r="F568" s="4"/>
      <c r="G568" s="4"/>
      <c r="H568" s="4"/>
      <c r="I568" s="4"/>
      <c r="J568" s="4"/>
      <c r="K568" s="4"/>
      <c r="L568" s="4"/>
      <c r="M568" s="4"/>
      <c r="N568" s="4"/>
      <c r="O568" s="4"/>
      <c r="P568" s="4"/>
      <c r="Q568" s="4"/>
      <c r="R568" s="4"/>
      <c r="S568" s="47"/>
      <c r="T568" s="4"/>
      <c r="U568" s="4"/>
      <c r="V568" s="47"/>
      <c r="W568" s="4"/>
      <c r="X568" s="4"/>
      <c r="Y568" s="47"/>
      <c r="Z568" s="4"/>
      <c r="AA568" s="4"/>
    </row>
    <row r="569" spans="1:27" ht="24" customHeight="1" x14ac:dyDescent="0.3">
      <c r="A569" s="4"/>
      <c r="B569" s="4"/>
      <c r="C569" s="4"/>
      <c r="D569" s="4"/>
      <c r="E569" s="4"/>
      <c r="F569" s="4"/>
      <c r="G569" s="4"/>
      <c r="H569" s="4"/>
      <c r="I569" s="4"/>
      <c r="J569" s="4"/>
      <c r="K569" s="4"/>
      <c r="L569" s="4"/>
      <c r="M569" s="4"/>
      <c r="N569" s="4"/>
      <c r="O569" s="4"/>
      <c r="P569" s="4"/>
      <c r="Q569" s="4"/>
      <c r="R569" s="4"/>
      <c r="S569" s="47"/>
      <c r="T569" s="4"/>
      <c r="U569" s="4"/>
      <c r="V569" s="47"/>
      <c r="W569" s="4"/>
      <c r="X569" s="4"/>
      <c r="Y569" s="47"/>
      <c r="Z569" s="4"/>
      <c r="AA569" s="4"/>
    </row>
    <row r="570" spans="1:27" ht="24" customHeight="1" x14ac:dyDescent="0.3">
      <c r="A570" s="4"/>
      <c r="B570" s="4"/>
      <c r="C570" s="4"/>
      <c r="D570" s="4"/>
      <c r="E570" s="4"/>
      <c r="F570" s="4"/>
      <c r="G570" s="4"/>
      <c r="H570" s="4"/>
      <c r="I570" s="4"/>
      <c r="J570" s="4"/>
      <c r="K570" s="4"/>
      <c r="L570" s="4"/>
      <c r="M570" s="4"/>
      <c r="N570" s="4"/>
      <c r="O570" s="4"/>
      <c r="P570" s="4"/>
      <c r="Q570" s="4"/>
      <c r="R570" s="4"/>
      <c r="S570" s="47"/>
      <c r="T570" s="4"/>
      <c r="U570" s="4"/>
      <c r="V570" s="47"/>
      <c r="W570" s="4"/>
      <c r="X570" s="4"/>
      <c r="Y570" s="47"/>
      <c r="Z570" s="4"/>
      <c r="AA570" s="4"/>
    </row>
    <row r="571" spans="1:27" ht="24" customHeight="1" x14ac:dyDescent="0.3">
      <c r="A571" s="4"/>
      <c r="B571" s="4"/>
      <c r="C571" s="4"/>
      <c r="D571" s="4"/>
      <c r="E571" s="4"/>
      <c r="F571" s="4"/>
      <c r="G571" s="4"/>
      <c r="H571" s="4"/>
      <c r="I571" s="4"/>
      <c r="J571" s="4"/>
      <c r="K571" s="4"/>
      <c r="L571" s="4"/>
      <c r="M571" s="4"/>
      <c r="N571" s="4"/>
      <c r="O571" s="4"/>
      <c r="P571" s="4"/>
      <c r="Q571" s="4"/>
      <c r="R571" s="4"/>
      <c r="S571" s="47"/>
      <c r="T571" s="4"/>
      <c r="U571" s="4"/>
      <c r="V571" s="47"/>
      <c r="W571" s="4"/>
      <c r="X571" s="4"/>
      <c r="Y571" s="47"/>
      <c r="Z571" s="4"/>
      <c r="AA571" s="4"/>
    </row>
    <row r="572" spans="1:27" ht="24" customHeight="1" x14ac:dyDescent="0.3">
      <c r="A572" s="4"/>
      <c r="B572" s="4"/>
      <c r="C572" s="4"/>
      <c r="D572" s="4"/>
      <c r="E572" s="4"/>
      <c r="F572" s="4"/>
      <c r="G572" s="4"/>
      <c r="H572" s="4"/>
      <c r="I572" s="4"/>
      <c r="J572" s="4"/>
      <c r="K572" s="4"/>
      <c r="L572" s="4"/>
      <c r="M572" s="4"/>
      <c r="N572" s="4"/>
      <c r="O572" s="4"/>
      <c r="P572" s="4"/>
      <c r="Q572" s="4"/>
      <c r="R572" s="4"/>
      <c r="S572" s="47"/>
      <c r="T572" s="4"/>
      <c r="U572" s="4"/>
      <c r="V572" s="47"/>
      <c r="W572" s="4"/>
      <c r="X572" s="4"/>
      <c r="Y572" s="47"/>
      <c r="Z572" s="4"/>
      <c r="AA572" s="4"/>
    </row>
    <row r="573" spans="1:27" ht="24" customHeight="1" x14ac:dyDescent="0.3">
      <c r="A573" s="4"/>
      <c r="B573" s="4"/>
      <c r="C573" s="4"/>
      <c r="D573" s="4"/>
      <c r="E573" s="4"/>
      <c r="F573" s="4"/>
      <c r="G573" s="4"/>
      <c r="H573" s="4"/>
      <c r="I573" s="4"/>
      <c r="J573" s="4"/>
      <c r="K573" s="4"/>
      <c r="L573" s="4"/>
      <c r="M573" s="4"/>
      <c r="N573" s="4"/>
      <c r="O573" s="4"/>
      <c r="P573" s="4"/>
      <c r="Q573" s="4"/>
      <c r="R573" s="4"/>
      <c r="S573" s="47"/>
      <c r="T573" s="4"/>
      <c r="U573" s="4"/>
      <c r="V573" s="47"/>
      <c r="W573" s="4"/>
      <c r="X573" s="4"/>
      <c r="Y573" s="47"/>
      <c r="Z573" s="4"/>
      <c r="AA573" s="4"/>
    </row>
    <row r="574" spans="1:27" ht="24" customHeight="1" x14ac:dyDescent="0.3">
      <c r="A574" s="4"/>
      <c r="B574" s="4"/>
      <c r="C574" s="4"/>
      <c r="D574" s="4"/>
      <c r="E574" s="4"/>
      <c r="F574" s="4"/>
      <c r="G574" s="4"/>
      <c r="H574" s="4"/>
      <c r="I574" s="4"/>
      <c r="J574" s="4"/>
      <c r="K574" s="4"/>
      <c r="L574" s="4"/>
      <c r="M574" s="4"/>
      <c r="N574" s="4"/>
      <c r="O574" s="4"/>
      <c r="P574" s="4"/>
      <c r="Q574" s="4"/>
      <c r="R574" s="4"/>
      <c r="S574" s="47"/>
      <c r="T574" s="4"/>
      <c r="U574" s="4"/>
      <c r="V574" s="47"/>
      <c r="W574" s="4"/>
      <c r="X574" s="4"/>
      <c r="Y574" s="47"/>
      <c r="Z574" s="4"/>
      <c r="AA574" s="4"/>
    </row>
    <row r="575" spans="1:27" ht="24" customHeight="1" x14ac:dyDescent="0.3">
      <c r="A575" s="4"/>
      <c r="B575" s="4"/>
      <c r="C575" s="4"/>
      <c r="D575" s="4"/>
      <c r="E575" s="4"/>
      <c r="F575" s="4"/>
      <c r="G575" s="4"/>
      <c r="H575" s="4"/>
      <c r="I575" s="4"/>
      <c r="J575" s="4"/>
      <c r="K575" s="4"/>
      <c r="L575" s="4"/>
      <c r="M575" s="4"/>
      <c r="N575" s="4"/>
      <c r="O575" s="4"/>
      <c r="P575" s="4"/>
      <c r="Q575" s="4"/>
      <c r="R575" s="4"/>
      <c r="S575" s="47"/>
      <c r="T575" s="4"/>
      <c r="U575" s="4"/>
      <c r="V575" s="47"/>
      <c r="W575" s="4"/>
      <c r="X575" s="4"/>
      <c r="Y575" s="47"/>
      <c r="Z575" s="4"/>
      <c r="AA575" s="4"/>
    </row>
    <row r="576" spans="1:27" ht="24" customHeight="1" x14ac:dyDescent="0.3">
      <c r="A576" s="4"/>
      <c r="B576" s="4"/>
      <c r="C576" s="4"/>
      <c r="D576" s="4"/>
      <c r="E576" s="4"/>
      <c r="F576" s="4"/>
      <c r="G576" s="4"/>
      <c r="H576" s="4"/>
      <c r="I576" s="4"/>
      <c r="J576" s="4"/>
      <c r="K576" s="4"/>
      <c r="L576" s="4"/>
      <c r="M576" s="4"/>
      <c r="N576" s="4"/>
      <c r="O576" s="4"/>
      <c r="P576" s="4"/>
      <c r="Q576" s="4"/>
      <c r="R576" s="4"/>
      <c r="S576" s="47"/>
      <c r="T576" s="4"/>
      <c r="U576" s="4"/>
      <c r="V576" s="47"/>
      <c r="W576" s="4"/>
      <c r="X576" s="4"/>
      <c r="Y576" s="47"/>
      <c r="Z576" s="4"/>
      <c r="AA576" s="4"/>
    </row>
    <row r="577" spans="1:27" ht="24" customHeight="1" x14ac:dyDescent="0.3">
      <c r="A577" s="4"/>
      <c r="B577" s="4"/>
      <c r="C577" s="4"/>
      <c r="D577" s="4"/>
      <c r="E577" s="4"/>
      <c r="F577" s="4"/>
      <c r="G577" s="4"/>
      <c r="H577" s="4"/>
      <c r="I577" s="4"/>
      <c r="J577" s="4"/>
      <c r="K577" s="4"/>
      <c r="L577" s="4"/>
      <c r="M577" s="4"/>
      <c r="N577" s="4"/>
      <c r="O577" s="4"/>
      <c r="P577" s="4"/>
      <c r="Q577" s="4"/>
      <c r="R577" s="4"/>
      <c r="S577" s="47"/>
      <c r="T577" s="4"/>
      <c r="U577" s="4"/>
      <c r="V577" s="47"/>
      <c r="W577" s="4"/>
      <c r="X577" s="4"/>
      <c r="Y577" s="47"/>
      <c r="Z577" s="4"/>
      <c r="AA577" s="4"/>
    </row>
    <row r="578" spans="1:27" ht="24" customHeight="1" x14ac:dyDescent="0.3">
      <c r="A578" s="4"/>
      <c r="B578" s="4"/>
      <c r="C578" s="4"/>
      <c r="D578" s="4"/>
      <c r="E578" s="4"/>
      <c r="F578" s="4"/>
      <c r="G578" s="4"/>
      <c r="H578" s="4"/>
      <c r="I578" s="4"/>
      <c r="J578" s="4"/>
      <c r="K578" s="4"/>
      <c r="L578" s="4"/>
      <c r="M578" s="4"/>
      <c r="N578" s="4"/>
      <c r="O578" s="4"/>
      <c r="P578" s="4"/>
      <c r="Q578" s="4"/>
      <c r="R578" s="4"/>
      <c r="S578" s="47"/>
      <c r="T578" s="4"/>
      <c r="U578" s="4"/>
      <c r="V578" s="47"/>
      <c r="W578" s="4"/>
      <c r="X578" s="4"/>
      <c r="Y578" s="47"/>
      <c r="Z578" s="4"/>
      <c r="AA578" s="4"/>
    </row>
    <row r="579" spans="1:27" ht="24" customHeight="1" x14ac:dyDescent="0.3">
      <c r="A579" s="4"/>
      <c r="B579" s="4"/>
      <c r="C579" s="4"/>
      <c r="D579" s="4"/>
      <c r="E579" s="4"/>
      <c r="F579" s="4"/>
      <c r="G579" s="4"/>
      <c r="H579" s="4"/>
      <c r="I579" s="4"/>
      <c r="J579" s="4"/>
      <c r="K579" s="4"/>
      <c r="L579" s="4"/>
      <c r="M579" s="4"/>
      <c r="N579" s="4"/>
      <c r="O579" s="4"/>
      <c r="P579" s="4"/>
      <c r="Q579" s="4"/>
      <c r="R579" s="4"/>
      <c r="S579" s="47"/>
      <c r="T579" s="4"/>
      <c r="U579" s="4"/>
      <c r="V579" s="47"/>
      <c r="W579" s="4"/>
      <c r="X579" s="4"/>
      <c r="Y579" s="47"/>
      <c r="Z579" s="4"/>
      <c r="AA579" s="4"/>
    </row>
    <row r="580" spans="1:27" ht="24" customHeight="1" x14ac:dyDescent="0.3">
      <c r="A580" s="4"/>
      <c r="B580" s="4"/>
      <c r="C580" s="4"/>
      <c r="D580" s="4"/>
      <c r="E580" s="4"/>
      <c r="F580" s="4"/>
      <c r="G580" s="4"/>
      <c r="H580" s="4"/>
      <c r="I580" s="4"/>
      <c r="J580" s="4"/>
      <c r="K580" s="4"/>
      <c r="L580" s="4"/>
      <c r="M580" s="4"/>
      <c r="N580" s="4"/>
      <c r="O580" s="4"/>
      <c r="P580" s="4"/>
      <c r="Q580" s="4"/>
      <c r="R580" s="4"/>
      <c r="S580" s="47"/>
      <c r="T580" s="4"/>
      <c r="U580" s="4"/>
      <c r="V580" s="47"/>
      <c r="W580" s="4"/>
      <c r="X580" s="4"/>
      <c r="Y580" s="47"/>
      <c r="Z580" s="4"/>
      <c r="AA580" s="4"/>
    </row>
    <row r="581" spans="1:27" ht="24" customHeight="1" x14ac:dyDescent="0.3">
      <c r="A581" s="4"/>
      <c r="B581" s="4"/>
      <c r="C581" s="4"/>
      <c r="D581" s="4"/>
      <c r="E581" s="4"/>
      <c r="F581" s="4"/>
      <c r="G581" s="4"/>
      <c r="H581" s="4"/>
      <c r="I581" s="4"/>
      <c r="J581" s="4"/>
      <c r="K581" s="4"/>
      <c r="L581" s="4"/>
      <c r="M581" s="4"/>
      <c r="N581" s="4"/>
      <c r="O581" s="4"/>
      <c r="P581" s="4"/>
      <c r="Q581" s="4"/>
      <c r="R581" s="4"/>
      <c r="S581" s="47"/>
      <c r="T581" s="4"/>
      <c r="U581" s="4"/>
      <c r="V581" s="47"/>
      <c r="W581" s="4"/>
      <c r="X581" s="4"/>
      <c r="Y581" s="47"/>
      <c r="Z581" s="4"/>
      <c r="AA581" s="4"/>
    </row>
    <row r="582" spans="1:27" ht="24" customHeight="1" x14ac:dyDescent="0.3">
      <c r="A582" s="4"/>
      <c r="B582" s="4"/>
      <c r="C582" s="4"/>
      <c r="D582" s="4"/>
      <c r="E582" s="4"/>
      <c r="F582" s="4"/>
      <c r="G582" s="4"/>
      <c r="H582" s="4"/>
      <c r="I582" s="4"/>
      <c r="J582" s="4"/>
      <c r="K582" s="4"/>
      <c r="L582" s="4"/>
      <c r="M582" s="4"/>
      <c r="N582" s="4"/>
      <c r="O582" s="4"/>
      <c r="P582" s="4"/>
      <c r="Q582" s="4"/>
      <c r="R582" s="4"/>
      <c r="S582" s="47"/>
      <c r="T582" s="4"/>
      <c r="U582" s="4"/>
      <c r="V582" s="47"/>
      <c r="W582" s="4"/>
      <c r="X582" s="4"/>
      <c r="Y582" s="47"/>
      <c r="Z582" s="4"/>
      <c r="AA582" s="4"/>
    </row>
    <row r="583" spans="1:27" ht="24" customHeight="1" x14ac:dyDescent="0.3">
      <c r="A583" s="4"/>
      <c r="B583" s="4"/>
      <c r="C583" s="4"/>
      <c r="D583" s="4"/>
      <c r="E583" s="4"/>
      <c r="F583" s="4"/>
      <c r="G583" s="4"/>
      <c r="H583" s="4"/>
      <c r="I583" s="4"/>
      <c r="J583" s="4"/>
      <c r="K583" s="4"/>
      <c r="L583" s="4"/>
      <c r="M583" s="4"/>
      <c r="N583" s="4"/>
      <c r="O583" s="4"/>
      <c r="P583" s="4"/>
      <c r="Q583" s="4"/>
      <c r="R583" s="4"/>
      <c r="S583" s="47"/>
      <c r="T583" s="4"/>
      <c r="U583" s="4"/>
      <c r="V583" s="47"/>
      <c r="W583" s="4"/>
      <c r="X583" s="4"/>
      <c r="Y583" s="47"/>
      <c r="Z583" s="4"/>
      <c r="AA583" s="4"/>
    </row>
    <row r="584" spans="1:27" ht="24" customHeight="1" x14ac:dyDescent="0.3">
      <c r="A584" s="4"/>
      <c r="B584" s="4"/>
      <c r="C584" s="4"/>
      <c r="D584" s="4"/>
      <c r="E584" s="4"/>
      <c r="F584" s="4"/>
      <c r="G584" s="4"/>
      <c r="H584" s="4"/>
      <c r="I584" s="4"/>
      <c r="J584" s="4"/>
      <c r="K584" s="4"/>
      <c r="L584" s="4"/>
      <c r="M584" s="4"/>
      <c r="N584" s="4"/>
      <c r="O584" s="4"/>
      <c r="P584" s="4"/>
      <c r="Q584" s="4"/>
      <c r="R584" s="4"/>
      <c r="S584" s="47"/>
      <c r="T584" s="4"/>
      <c r="U584" s="4"/>
      <c r="V584" s="47"/>
      <c r="W584" s="4"/>
      <c r="X584" s="4"/>
      <c r="Y584" s="47"/>
      <c r="Z584" s="4"/>
      <c r="AA584" s="4"/>
    </row>
    <row r="585" spans="1:27" ht="24" customHeight="1" x14ac:dyDescent="0.3">
      <c r="A585" s="4"/>
      <c r="B585" s="4"/>
      <c r="C585" s="4"/>
      <c r="D585" s="4"/>
      <c r="E585" s="4"/>
      <c r="F585" s="4"/>
      <c r="G585" s="4"/>
      <c r="H585" s="4"/>
      <c r="I585" s="4"/>
      <c r="J585" s="4"/>
      <c r="K585" s="4"/>
      <c r="L585" s="4"/>
      <c r="M585" s="4"/>
      <c r="N585" s="4"/>
      <c r="O585" s="4"/>
      <c r="P585" s="4"/>
      <c r="Q585" s="4"/>
      <c r="R585" s="4"/>
      <c r="S585" s="47"/>
      <c r="T585" s="4"/>
      <c r="U585" s="4"/>
      <c r="V585" s="47"/>
      <c r="W585" s="4"/>
      <c r="X585" s="4"/>
      <c r="Y585" s="47"/>
      <c r="Z585" s="4"/>
      <c r="AA585" s="4"/>
    </row>
    <row r="586" spans="1:27" ht="24" customHeight="1" x14ac:dyDescent="0.3">
      <c r="A586" s="4"/>
      <c r="B586" s="4"/>
      <c r="C586" s="4"/>
      <c r="D586" s="4"/>
      <c r="E586" s="4"/>
      <c r="F586" s="4"/>
      <c r="G586" s="4"/>
      <c r="H586" s="4"/>
      <c r="I586" s="4"/>
      <c r="J586" s="4"/>
      <c r="K586" s="4"/>
      <c r="L586" s="4"/>
      <c r="M586" s="4"/>
      <c r="N586" s="4"/>
      <c r="O586" s="4"/>
      <c r="P586" s="4"/>
      <c r="Q586" s="4"/>
      <c r="R586" s="4"/>
      <c r="S586" s="47"/>
      <c r="T586" s="4"/>
      <c r="U586" s="4"/>
      <c r="V586" s="47"/>
      <c r="W586" s="4"/>
      <c r="X586" s="4"/>
      <c r="Y586" s="47"/>
      <c r="Z586" s="4"/>
      <c r="AA586" s="4"/>
    </row>
    <row r="587" spans="1:27" ht="24" customHeight="1" x14ac:dyDescent="0.3">
      <c r="A587" s="4"/>
      <c r="B587" s="4"/>
      <c r="C587" s="4"/>
      <c r="D587" s="4"/>
      <c r="E587" s="4"/>
      <c r="F587" s="4"/>
      <c r="G587" s="4"/>
      <c r="H587" s="4"/>
      <c r="I587" s="4"/>
      <c r="J587" s="4"/>
      <c r="K587" s="4"/>
      <c r="L587" s="4"/>
      <c r="M587" s="4"/>
      <c r="N587" s="4"/>
      <c r="O587" s="4"/>
      <c r="P587" s="4"/>
      <c r="Q587" s="4"/>
      <c r="R587" s="4"/>
      <c r="S587" s="47"/>
      <c r="T587" s="4"/>
      <c r="U587" s="4"/>
      <c r="V587" s="47"/>
      <c r="W587" s="4"/>
      <c r="X587" s="4"/>
      <c r="Y587" s="47"/>
      <c r="Z587" s="4"/>
      <c r="AA587" s="4"/>
    </row>
    <row r="588" spans="1:27" ht="24" customHeight="1" x14ac:dyDescent="0.3">
      <c r="A588" s="4"/>
      <c r="B588" s="4"/>
      <c r="C588" s="4"/>
      <c r="D588" s="4"/>
      <c r="E588" s="4"/>
      <c r="F588" s="4"/>
      <c r="G588" s="4"/>
      <c r="H588" s="4"/>
      <c r="I588" s="4"/>
      <c r="J588" s="4"/>
      <c r="K588" s="4"/>
      <c r="L588" s="4"/>
      <c r="M588" s="4"/>
      <c r="N588" s="4"/>
      <c r="O588" s="4"/>
      <c r="P588" s="4"/>
      <c r="Q588" s="4"/>
      <c r="R588" s="4"/>
      <c r="S588" s="47"/>
      <c r="T588" s="4"/>
      <c r="U588" s="4"/>
      <c r="V588" s="47"/>
      <c r="W588" s="4"/>
      <c r="X588" s="4"/>
      <c r="Y588" s="47"/>
      <c r="Z588" s="4"/>
      <c r="AA588" s="4"/>
    </row>
    <row r="589" spans="1:27" ht="24" customHeight="1" x14ac:dyDescent="0.3">
      <c r="A589" s="4"/>
      <c r="B589" s="4"/>
      <c r="C589" s="4"/>
      <c r="D589" s="4"/>
      <c r="E589" s="4"/>
      <c r="F589" s="4"/>
      <c r="G589" s="4"/>
      <c r="H589" s="4"/>
      <c r="I589" s="4"/>
      <c r="J589" s="4"/>
      <c r="K589" s="4"/>
      <c r="L589" s="4"/>
      <c r="M589" s="4"/>
      <c r="N589" s="4"/>
      <c r="O589" s="4"/>
      <c r="P589" s="4"/>
      <c r="Q589" s="4"/>
      <c r="R589" s="4"/>
      <c r="S589" s="47"/>
      <c r="T589" s="4"/>
      <c r="U589" s="4"/>
      <c r="V589" s="47"/>
      <c r="W589" s="4"/>
      <c r="X589" s="4"/>
      <c r="Y589" s="47"/>
      <c r="Z589" s="4"/>
      <c r="AA589" s="4"/>
    </row>
    <row r="590" spans="1:27" ht="24" customHeight="1" x14ac:dyDescent="0.3">
      <c r="A590" s="4"/>
      <c r="B590" s="4"/>
      <c r="C590" s="4"/>
      <c r="D590" s="4"/>
      <c r="E590" s="4"/>
      <c r="F590" s="4"/>
      <c r="G590" s="4"/>
      <c r="H590" s="4"/>
      <c r="I590" s="4"/>
      <c r="J590" s="4"/>
      <c r="K590" s="4"/>
      <c r="L590" s="4"/>
      <c r="M590" s="4"/>
      <c r="N590" s="4"/>
      <c r="O590" s="4"/>
      <c r="P590" s="4"/>
      <c r="Q590" s="4"/>
      <c r="R590" s="4"/>
      <c r="S590" s="47"/>
      <c r="T590" s="4"/>
      <c r="U590" s="4"/>
      <c r="V590" s="47"/>
      <c r="W590" s="4"/>
      <c r="X590" s="4"/>
      <c r="Y590" s="47"/>
      <c r="Z590" s="4"/>
      <c r="AA590" s="4"/>
    </row>
    <row r="591" spans="1:27" ht="24" customHeight="1" x14ac:dyDescent="0.3">
      <c r="A591" s="4"/>
      <c r="B591" s="4"/>
      <c r="C591" s="4"/>
      <c r="D591" s="4"/>
      <c r="E591" s="4"/>
      <c r="F591" s="4"/>
      <c r="G591" s="4"/>
      <c r="H591" s="4"/>
      <c r="I591" s="4"/>
      <c r="J591" s="4"/>
      <c r="K591" s="4"/>
      <c r="L591" s="4"/>
      <c r="M591" s="4"/>
      <c r="N591" s="4"/>
      <c r="O591" s="4"/>
      <c r="P591" s="4"/>
      <c r="Q591" s="4"/>
      <c r="R591" s="4"/>
      <c r="S591" s="47"/>
      <c r="T591" s="4"/>
      <c r="U591" s="4"/>
      <c r="V591" s="47"/>
      <c r="W591" s="4"/>
      <c r="X591" s="4"/>
      <c r="Y591" s="47"/>
      <c r="Z591" s="4"/>
      <c r="AA591" s="4"/>
    </row>
    <row r="592" spans="1:27" ht="24" customHeight="1" x14ac:dyDescent="0.3">
      <c r="A592" s="4"/>
      <c r="B592" s="4"/>
      <c r="C592" s="4"/>
      <c r="D592" s="4"/>
      <c r="E592" s="4"/>
      <c r="F592" s="4"/>
      <c r="G592" s="4"/>
      <c r="H592" s="4"/>
      <c r="I592" s="4"/>
      <c r="J592" s="4"/>
      <c r="K592" s="4"/>
      <c r="L592" s="4"/>
      <c r="M592" s="4"/>
      <c r="N592" s="4"/>
      <c r="O592" s="4"/>
      <c r="P592" s="4"/>
      <c r="Q592" s="4"/>
      <c r="R592" s="4"/>
      <c r="S592" s="47"/>
      <c r="T592" s="4"/>
      <c r="U592" s="4"/>
      <c r="V592" s="47"/>
      <c r="W592" s="4"/>
      <c r="X592" s="4"/>
      <c r="Y592" s="47"/>
      <c r="Z592" s="4"/>
      <c r="AA592" s="4"/>
    </row>
    <row r="593" spans="1:27" ht="24" customHeight="1" x14ac:dyDescent="0.3">
      <c r="A593" s="4"/>
      <c r="B593" s="4"/>
      <c r="C593" s="4"/>
      <c r="D593" s="4"/>
      <c r="E593" s="4"/>
      <c r="F593" s="4"/>
      <c r="G593" s="4"/>
      <c r="H593" s="4"/>
      <c r="I593" s="4"/>
      <c r="J593" s="4"/>
      <c r="K593" s="4"/>
      <c r="L593" s="4"/>
      <c r="M593" s="4"/>
      <c r="N593" s="4"/>
      <c r="O593" s="4"/>
      <c r="P593" s="4"/>
      <c r="Q593" s="4"/>
      <c r="R593" s="4"/>
      <c r="S593" s="47"/>
      <c r="T593" s="4"/>
      <c r="U593" s="4"/>
      <c r="V593" s="47"/>
      <c r="W593" s="4"/>
      <c r="X593" s="4"/>
      <c r="Y593" s="47"/>
      <c r="Z593" s="4"/>
      <c r="AA593" s="4"/>
    </row>
    <row r="594" spans="1:27" ht="24" customHeight="1" x14ac:dyDescent="0.3">
      <c r="A594" s="4"/>
      <c r="B594" s="4"/>
      <c r="C594" s="4"/>
      <c r="D594" s="4"/>
      <c r="E594" s="4"/>
      <c r="F594" s="4"/>
      <c r="G594" s="4"/>
      <c r="H594" s="4"/>
      <c r="I594" s="4"/>
      <c r="J594" s="4"/>
      <c r="K594" s="4"/>
      <c r="L594" s="4"/>
      <c r="M594" s="4"/>
      <c r="N594" s="4"/>
      <c r="O594" s="4"/>
      <c r="P594" s="4"/>
      <c r="Q594" s="4"/>
      <c r="R594" s="4"/>
      <c r="S594" s="47"/>
      <c r="T594" s="4"/>
      <c r="U594" s="4"/>
      <c r="V594" s="47"/>
      <c r="W594" s="4"/>
      <c r="X594" s="4"/>
      <c r="Y594" s="47"/>
      <c r="Z594" s="4"/>
      <c r="AA594" s="4"/>
    </row>
    <row r="595" spans="1:27" ht="24" customHeight="1" x14ac:dyDescent="0.3">
      <c r="A595" s="4"/>
      <c r="B595" s="4"/>
      <c r="C595" s="4"/>
      <c r="D595" s="4"/>
      <c r="E595" s="4"/>
      <c r="F595" s="4"/>
      <c r="G595" s="4"/>
      <c r="H595" s="4"/>
      <c r="I595" s="4"/>
      <c r="J595" s="4"/>
      <c r="K595" s="4"/>
      <c r="L595" s="4"/>
      <c r="M595" s="4"/>
      <c r="N595" s="4"/>
      <c r="O595" s="4"/>
      <c r="P595" s="4"/>
      <c r="Q595" s="4"/>
      <c r="R595" s="4"/>
      <c r="S595" s="47"/>
      <c r="T595" s="4"/>
      <c r="U595" s="4"/>
      <c r="V595" s="47"/>
      <c r="W595" s="4"/>
      <c r="X595" s="4"/>
      <c r="Y595" s="47"/>
      <c r="Z595" s="4"/>
      <c r="AA595" s="4"/>
    </row>
    <row r="596" spans="1:27" ht="24" customHeight="1" x14ac:dyDescent="0.3">
      <c r="A596" s="4"/>
      <c r="B596" s="4"/>
      <c r="C596" s="4"/>
      <c r="D596" s="4"/>
      <c r="E596" s="4"/>
      <c r="F596" s="4"/>
      <c r="G596" s="4"/>
      <c r="H596" s="4"/>
      <c r="I596" s="4"/>
      <c r="J596" s="4"/>
      <c r="K596" s="4"/>
      <c r="L596" s="4"/>
      <c r="M596" s="4"/>
      <c r="N596" s="4"/>
      <c r="O596" s="4"/>
      <c r="P596" s="4"/>
      <c r="Q596" s="4"/>
      <c r="R596" s="4"/>
      <c r="S596" s="47"/>
      <c r="T596" s="4"/>
      <c r="U596" s="4"/>
      <c r="V596" s="47"/>
      <c r="W596" s="4"/>
      <c r="X596" s="4"/>
      <c r="Y596" s="47"/>
      <c r="Z596" s="4"/>
      <c r="AA596" s="4"/>
    </row>
    <row r="597" spans="1:27" ht="24" customHeight="1" x14ac:dyDescent="0.3">
      <c r="A597" s="4"/>
      <c r="B597" s="4"/>
      <c r="C597" s="4"/>
      <c r="D597" s="4"/>
      <c r="E597" s="4"/>
      <c r="F597" s="4"/>
      <c r="G597" s="4"/>
      <c r="H597" s="4"/>
      <c r="I597" s="4"/>
      <c r="J597" s="4"/>
      <c r="K597" s="4"/>
      <c r="L597" s="4"/>
      <c r="M597" s="4"/>
      <c r="N597" s="4"/>
      <c r="O597" s="4"/>
      <c r="P597" s="4"/>
      <c r="Q597" s="4"/>
      <c r="R597" s="4"/>
      <c r="S597" s="47"/>
      <c r="T597" s="4"/>
      <c r="U597" s="4"/>
      <c r="V597" s="47"/>
      <c r="W597" s="4"/>
      <c r="X597" s="4"/>
      <c r="Y597" s="47"/>
      <c r="Z597" s="4"/>
      <c r="AA597" s="4"/>
    </row>
    <row r="598" spans="1:27" ht="24" customHeight="1" x14ac:dyDescent="0.3">
      <c r="A598" s="4"/>
      <c r="B598" s="4"/>
      <c r="C598" s="4"/>
      <c r="D598" s="4"/>
      <c r="E598" s="4"/>
      <c r="F598" s="4"/>
      <c r="G598" s="4"/>
      <c r="H598" s="4"/>
      <c r="I598" s="4"/>
      <c r="J598" s="4"/>
      <c r="K598" s="4"/>
      <c r="L598" s="4"/>
      <c r="M598" s="4"/>
      <c r="N598" s="4"/>
      <c r="O598" s="4"/>
      <c r="P598" s="4"/>
      <c r="Q598" s="4"/>
      <c r="R598" s="4"/>
      <c r="S598" s="47"/>
      <c r="T598" s="4"/>
      <c r="U598" s="4"/>
      <c r="V598" s="47"/>
      <c r="W598" s="4"/>
      <c r="X598" s="4"/>
      <c r="Y598" s="47"/>
      <c r="Z598" s="4"/>
      <c r="AA598" s="4"/>
    </row>
    <row r="599" spans="1:27" ht="24" customHeight="1" x14ac:dyDescent="0.3">
      <c r="A599" s="4"/>
      <c r="B599" s="4"/>
      <c r="C599" s="4"/>
      <c r="D599" s="4"/>
      <c r="E599" s="4"/>
      <c r="F599" s="4"/>
      <c r="G599" s="4"/>
      <c r="H599" s="4"/>
      <c r="I599" s="4"/>
      <c r="J599" s="4"/>
      <c r="K599" s="4"/>
      <c r="L599" s="4"/>
      <c r="M599" s="4"/>
      <c r="N599" s="4"/>
      <c r="O599" s="4"/>
      <c r="P599" s="4"/>
      <c r="Q599" s="4"/>
      <c r="R599" s="4"/>
      <c r="S599" s="47"/>
      <c r="T599" s="4"/>
      <c r="U599" s="4"/>
      <c r="V599" s="47"/>
      <c r="W599" s="4"/>
      <c r="X599" s="4"/>
      <c r="Y599" s="47"/>
      <c r="Z599" s="4"/>
      <c r="AA599" s="4"/>
    </row>
    <row r="600" spans="1:27" ht="24" customHeight="1" x14ac:dyDescent="0.3">
      <c r="A600" s="4"/>
      <c r="B600" s="4"/>
      <c r="C600" s="4"/>
      <c r="D600" s="4"/>
      <c r="E600" s="4"/>
      <c r="F600" s="4"/>
      <c r="G600" s="4"/>
      <c r="H600" s="4"/>
      <c r="I600" s="4"/>
      <c r="J600" s="4"/>
      <c r="K600" s="4"/>
      <c r="L600" s="4"/>
      <c r="M600" s="4"/>
      <c r="N600" s="4"/>
      <c r="O600" s="4"/>
      <c r="P600" s="4"/>
      <c r="Q600" s="4"/>
      <c r="R600" s="4"/>
      <c r="S600" s="47"/>
      <c r="T600" s="4"/>
      <c r="U600" s="4"/>
      <c r="V600" s="47"/>
      <c r="W600" s="4"/>
      <c r="X600" s="4"/>
      <c r="Y600" s="47"/>
      <c r="Z600" s="4"/>
      <c r="AA600" s="4"/>
    </row>
    <row r="601" spans="1:27" ht="24" customHeight="1" x14ac:dyDescent="0.3">
      <c r="A601" s="4"/>
      <c r="B601" s="4"/>
      <c r="C601" s="4"/>
      <c r="D601" s="4"/>
      <c r="E601" s="4"/>
      <c r="F601" s="4"/>
      <c r="G601" s="4"/>
      <c r="H601" s="4"/>
      <c r="I601" s="4"/>
      <c r="J601" s="4"/>
      <c r="K601" s="4"/>
      <c r="L601" s="4"/>
      <c r="M601" s="4"/>
      <c r="N601" s="4"/>
      <c r="O601" s="4"/>
      <c r="P601" s="4"/>
      <c r="Q601" s="4"/>
      <c r="R601" s="4"/>
      <c r="S601" s="47"/>
      <c r="T601" s="4"/>
      <c r="U601" s="4"/>
      <c r="V601" s="47"/>
      <c r="W601" s="4"/>
      <c r="X601" s="4"/>
      <c r="Y601" s="47"/>
      <c r="Z601" s="4"/>
      <c r="AA601" s="4"/>
    </row>
    <row r="602" spans="1:27" ht="24" customHeight="1" x14ac:dyDescent="0.3">
      <c r="A602" s="4"/>
      <c r="B602" s="4"/>
      <c r="C602" s="4"/>
      <c r="D602" s="4"/>
      <c r="E602" s="4"/>
      <c r="F602" s="4"/>
      <c r="G602" s="4"/>
      <c r="H602" s="4"/>
      <c r="I602" s="4"/>
      <c r="J602" s="4"/>
      <c r="K602" s="4"/>
      <c r="L602" s="4"/>
      <c r="M602" s="4"/>
      <c r="N602" s="4"/>
      <c r="O602" s="4"/>
      <c r="P602" s="4"/>
      <c r="Q602" s="4"/>
      <c r="R602" s="4"/>
      <c r="S602" s="47"/>
      <c r="T602" s="4"/>
      <c r="U602" s="4"/>
      <c r="V602" s="47"/>
      <c r="W602" s="4"/>
      <c r="X602" s="4"/>
      <c r="Y602" s="47"/>
      <c r="Z602" s="4"/>
      <c r="AA602" s="4"/>
    </row>
    <row r="603" spans="1:27" ht="24" customHeight="1" x14ac:dyDescent="0.3">
      <c r="A603" s="4"/>
      <c r="B603" s="4"/>
      <c r="C603" s="4"/>
      <c r="D603" s="4"/>
      <c r="E603" s="4"/>
      <c r="F603" s="4"/>
      <c r="G603" s="4"/>
      <c r="H603" s="4"/>
      <c r="I603" s="4"/>
      <c r="J603" s="4"/>
      <c r="K603" s="4"/>
      <c r="L603" s="4"/>
      <c r="M603" s="4"/>
      <c r="N603" s="4"/>
      <c r="O603" s="4"/>
      <c r="P603" s="4"/>
      <c r="Q603" s="4"/>
      <c r="R603" s="4"/>
      <c r="S603" s="47"/>
      <c r="T603" s="4"/>
      <c r="U603" s="4"/>
      <c r="V603" s="47"/>
      <c r="W603" s="4"/>
      <c r="X603" s="4"/>
      <c r="Y603" s="47"/>
      <c r="Z603" s="4"/>
      <c r="AA603" s="4"/>
    </row>
    <row r="604" spans="1:27" ht="24" customHeight="1" x14ac:dyDescent="0.3">
      <c r="A604" s="4"/>
      <c r="B604" s="4"/>
      <c r="C604" s="4"/>
      <c r="D604" s="4"/>
      <c r="E604" s="4"/>
      <c r="F604" s="4"/>
      <c r="G604" s="4"/>
      <c r="H604" s="4"/>
      <c r="I604" s="4"/>
      <c r="J604" s="4"/>
      <c r="K604" s="4"/>
      <c r="L604" s="4"/>
      <c r="M604" s="4"/>
      <c r="N604" s="4"/>
      <c r="O604" s="4"/>
      <c r="P604" s="4"/>
      <c r="Q604" s="4"/>
      <c r="R604" s="4"/>
      <c r="S604" s="47"/>
      <c r="T604" s="4"/>
      <c r="U604" s="4"/>
      <c r="V604" s="47"/>
      <c r="W604" s="4"/>
      <c r="X604" s="4"/>
      <c r="Y604" s="47"/>
      <c r="Z604" s="4"/>
      <c r="AA604" s="4"/>
    </row>
    <row r="605" spans="1:27" ht="24" customHeight="1" x14ac:dyDescent="0.3">
      <c r="A605" s="4"/>
      <c r="B605" s="4"/>
      <c r="C605" s="4"/>
      <c r="D605" s="4"/>
      <c r="E605" s="4"/>
      <c r="F605" s="4"/>
      <c r="G605" s="4"/>
      <c r="H605" s="4"/>
      <c r="I605" s="4"/>
      <c r="J605" s="4"/>
      <c r="K605" s="4"/>
      <c r="L605" s="4"/>
      <c r="M605" s="4"/>
      <c r="N605" s="4"/>
      <c r="O605" s="4"/>
      <c r="P605" s="4"/>
      <c r="Q605" s="4"/>
      <c r="R605" s="4"/>
      <c r="S605" s="47"/>
      <c r="T605" s="4"/>
      <c r="U605" s="4"/>
      <c r="V605" s="47"/>
      <c r="W605" s="4"/>
      <c r="X605" s="4"/>
      <c r="Y605" s="47"/>
      <c r="Z605" s="4"/>
      <c r="AA605" s="4"/>
    </row>
    <row r="606" spans="1:27" ht="24" customHeight="1" x14ac:dyDescent="0.3">
      <c r="A606" s="4"/>
      <c r="B606" s="4"/>
      <c r="C606" s="4"/>
      <c r="D606" s="4"/>
      <c r="E606" s="4"/>
      <c r="F606" s="4"/>
      <c r="G606" s="4"/>
      <c r="H606" s="4"/>
      <c r="I606" s="4"/>
      <c r="J606" s="4"/>
      <c r="K606" s="4"/>
      <c r="L606" s="4"/>
      <c r="M606" s="4"/>
      <c r="N606" s="4"/>
      <c r="O606" s="4"/>
      <c r="P606" s="4"/>
      <c r="Q606" s="4"/>
      <c r="R606" s="4"/>
      <c r="S606" s="47"/>
      <c r="T606" s="4"/>
      <c r="U606" s="4"/>
      <c r="V606" s="47"/>
      <c r="W606" s="4"/>
      <c r="X606" s="4"/>
      <c r="Y606" s="47"/>
      <c r="Z606" s="4"/>
      <c r="AA606" s="4"/>
    </row>
    <row r="607" spans="1:27" ht="24" customHeight="1" x14ac:dyDescent="0.3">
      <c r="A607" s="4"/>
      <c r="B607" s="4"/>
      <c r="C607" s="4"/>
      <c r="D607" s="4"/>
      <c r="E607" s="4"/>
      <c r="F607" s="4"/>
      <c r="G607" s="4"/>
      <c r="H607" s="4"/>
      <c r="I607" s="4"/>
      <c r="J607" s="4"/>
      <c r="K607" s="4"/>
      <c r="L607" s="4"/>
      <c r="M607" s="4"/>
      <c r="N607" s="4"/>
      <c r="O607" s="4"/>
      <c r="P607" s="4"/>
      <c r="Q607" s="4"/>
      <c r="R607" s="4"/>
      <c r="S607" s="47"/>
      <c r="T607" s="4"/>
      <c r="U607" s="4"/>
      <c r="V607" s="47"/>
      <c r="W607" s="4"/>
      <c r="X607" s="4"/>
      <c r="Y607" s="47"/>
      <c r="Z607" s="4"/>
      <c r="AA607" s="4"/>
    </row>
    <row r="608" spans="1:27" ht="24" customHeight="1" x14ac:dyDescent="0.3">
      <c r="A608" s="4"/>
      <c r="B608" s="4"/>
      <c r="C608" s="4"/>
      <c r="D608" s="4"/>
      <c r="E608" s="4"/>
      <c r="F608" s="4"/>
      <c r="G608" s="4"/>
      <c r="H608" s="4"/>
      <c r="I608" s="4"/>
      <c r="J608" s="4"/>
      <c r="K608" s="4"/>
      <c r="L608" s="4"/>
      <c r="M608" s="4"/>
      <c r="N608" s="4"/>
      <c r="O608" s="4"/>
      <c r="P608" s="4"/>
      <c r="Q608" s="4"/>
      <c r="R608" s="4"/>
      <c r="S608" s="47"/>
      <c r="T608" s="4"/>
      <c r="U608" s="4"/>
      <c r="V608" s="47"/>
      <c r="W608" s="4"/>
      <c r="X608" s="4"/>
      <c r="Y608" s="47"/>
      <c r="Z608" s="4"/>
      <c r="AA608" s="4"/>
    </row>
    <row r="609" spans="1:27" ht="24" customHeight="1" x14ac:dyDescent="0.3">
      <c r="A609" s="4"/>
      <c r="B609" s="4"/>
      <c r="C609" s="4"/>
      <c r="D609" s="4"/>
      <c r="E609" s="4"/>
      <c r="F609" s="4"/>
      <c r="G609" s="4"/>
      <c r="H609" s="4"/>
      <c r="I609" s="4"/>
      <c r="J609" s="4"/>
      <c r="K609" s="4"/>
      <c r="L609" s="4"/>
      <c r="M609" s="4"/>
      <c r="N609" s="4"/>
      <c r="O609" s="4"/>
      <c r="P609" s="4"/>
      <c r="Q609" s="4"/>
      <c r="R609" s="4"/>
      <c r="S609" s="47"/>
      <c r="T609" s="4"/>
      <c r="U609" s="4"/>
      <c r="V609" s="47"/>
      <c r="W609" s="4"/>
      <c r="X609" s="4"/>
      <c r="Y609" s="47"/>
      <c r="Z609" s="4"/>
      <c r="AA609" s="4"/>
    </row>
    <row r="610" spans="1:27" ht="24" customHeight="1" x14ac:dyDescent="0.3">
      <c r="A610" s="4"/>
      <c r="B610" s="4"/>
      <c r="C610" s="4"/>
      <c r="D610" s="4"/>
      <c r="E610" s="4"/>
      <c r="F610" s="4"/>
      <c r="G610" s="4"/>
      <c r="H610" s="4"/>
      <c r="I610" s="4"/>
      <c r="J610" s="4"/>
      <c r="K610" s="4"/>
      <c r="L610" s="4"/>
      <c r="M610" s="4"/>
      <c r="N610" s="4"/>
      <c r="O610" s="4"/>
      <c r="P610" s="4"/>
      <c r="Q610" s="4"/>
      <c r="R610" s="4"/>
      <c r="S610" s="47"/>
      <c r="T610" s="4"/>
      <c r="U610" s="4"/>
      <c r="V610" s="47"/>
      <c r="W610" s="4"/>
      <c r="X610" s="4"/>
      <c r="Y610" s="47"/>
      <c r="Z610" s="4"/>
      <c r="AA610" s="4"/>
    </row>
    <row r="611" spans="1:27" ht="24" customHeight="1" x14ac:dyDescent="0.3">
      <c r="A611" s="4"/>
      <c r="B611" s="4"/>
      <c r="C611" s="4"/>
      <c r="D611" s="4"/>
      <c r="E611" s="4"/>
      <c r="F611" s="4"/>
      <c r="G611" s="4"/>
      <c r="H611" s="4"/>
      <c r="I611" s="4"/>
      <c r="J611" s="4"/>
      <c r="K611" s="4"/>
      <c r="L611" s="4"/>
      <c r="M611" s="4"/>
      <c r="N611" s="4"/>
      <c r="O611" s="4"/>
      <c r="P611" s="4"/>
      <c r="Q611" s="4"/>
      <c r="R611" s="4"/>
      <c r="S611" s="47"/>
      <c r="T611" s="4"/>
      <c r="U611" s="4"/>
      <c r="V611" s="47"/>
      <c r="W611" s="4"/>
      <c r="X611" s="4"/>
      <c r="Y611" s="47"/>
      <c r="Z611" s="4"/>
      <c r="AA611" s="4"/>
    </row>
    <row r="612" spans="1:27" ht="24" customHeight="1" x14ac:dyDescent="0.3">
      <c r="A612" s="4"/>
      <c r="B612" s="4"/>
      <c r="C612" s="4"/>
      <c r="D612" s="4"/>
      <c r="E612" s="4"/>
      <c r="F612" s="4"/>
      <c r="G612" s="4"/>
      <c r="H612" s="4"/>
      <c r="I612" s="4"/>
      <c r="J612" s="4"/>
      <c r="K612" s="4"/>
      <c r="L612" s="4"/>
      <c r="M612" s="4"/>
      <c r="N612" s="4"/>
      <c r="O612" s="4"/>
      <c r="P612" s="4"/>
      <c r="Q612" s="4"/>
      <c r="R612" s="4"/>
      <c r="S612" s="47"/>
      <c r="T612" s="4"/>
      <c r="U612" s="4"/>
      <c r="V612" s="47"/>
      <c r="W612" s="4"/>
      <c r="X612" s="4"/>
      <c r="Y612" s="47"/>
      <c r="Z612" s="4"/>
      <c r="AA612" s="4"/>
    </row>
    <row r="613" spans="1:27" ht="24" customHeight="1" x14ac:dyDescent="0.3">
      <c r="A613" s="4"/>
      <c r="B613" s="4"/>
      <c r="C613" s="4"/>
      <c r="D613" s="4"/>
      <c r="E613" s="4"/>
      <c r="F613" s="4"/>
      <c r="G613" s="4"/>
      <c r="H613" s="4"/>
      <c r="I613" s="4"/>
      <c r="J613" s="4"/>
      <c r="K613" s="4"/>
      <c r="L613" s="4"/>
      <c r="M613" s="4"/>
      <c r="N613" s="4"/>
      <c r="O613" s="4"/>
      <c r="P613" s="4"/>
      <c r="Q613" s="4"/>
      <c r="R613" s="4"/>
      <c r="S613" s="47"/>
      <c r="T613" s="4"/>
      <c r="U613" s="4"/>
      <c r="V613" s="47"/>
      <c r="W613" s="4"/>
      <c r="X613" s="4"/>
      <c r="Y613" s="47"/>
      <c r="Z613" s="4"/>
      <c r="AA613" s="4"/>
    </row>
    <row r="614" spans="1:27" ht="24" customHeight="1" x14ac:dyDescent="0.3">
      <c r="A614" s="4"/>
      <c r="B614" s="4"/>
      <c r="C614" s="4"/>
      <c r="D614" s="4"/>
      <c r="E614" s="4"/>
      <c r="F614" s="4"/>
      <c r="G614" s="4"/>
      <c r="H614" s="4"/>
      <c r="I614" s="4"/>
      <c r="J614" s="4"/>
      <c r="K614" s="4"/>
      <c r="L614" s="4"/>
      <c r="M614" s="4"/>
      <c r="N614" s="4"/>
      <c r="O614" s="4"/>
      <c r="P614" s="4"/>
      <c r="Q614" s="4"/>
      <c r="R614" s="4"/>
      <c r="S614" s="47"/>
      <c r="T614" s="4"/>
      <c r="U614" s="4"/>
      <c r="V614" s="47"/>
      <c r="W614" s="4"/>
      <c r="X614" s="4"/>
      <c r="Y614" s="47"/>
      <c r="Z614" s="4"/>
      <c r="AA614" s="4"/>
    </row>
    <row r="615" spans="1:27" ht="24" customHeight="1" x14ac:dyDescent="0.3">
      <c r="A615" s="4"/>
      <c r="B615" s="4"/>
      <c r="C615" s="4"/>
      <c r="D615" s="4"/>
      <c r="E615" s="4"/>
      <c r="F615" s="4"/>
      <c r="G615" s="4"/>
      <c r="H615" s="4"/>
      <c r="I615" s="4"/>
      <c r="J615" s="4"/>
      <c r="K615" s="4"/>
      <c r="L615" s="4"/>
      <c r="M615" s="4"/>
      <c r="N615" s="4"/>
      <c r="O615" s="4"/>
      <c r="P615" s="4"/>
      <c r="Q615" s="4"/>
      <c r="R615" s="4"/>
      <c r="S615" s="47"/>
      <c r="T615" s="4"/>
      <c r="U615" s="4"/>
      <c r="V615" s="47"/>
      <c r="W615" s="4"/>
      <c r="X615" s="4"/>
      <c r="Y615" s="47"/>
      <c r="Z615" s="4"/>
      <c r="AA615" s="4"/>
    </row>
    <row r="616" spans="1:27" ht="24" customHeight="1" x14ac:dyDescent="0.3">
      <c r="A616" s="4"/>
      <c r="B616" s="4"/>
      <c r="C616" s="4"/>
      <c r="D616" s="4"/>
      <c r="E616" s="4"/>
      <c r="F616" s="4"/>
      <c r="G616" s="4"/>
      <c r="H616" s="4"/>
      <c r="I616" s="4"/>
      <c r="J616" s="4"/>
      <c r="K616" s="4"/>
      <c r="L616" s="4"/>
      <c r="M616" s="4"/>
      <c r="N616" s="4"/>
      <c r="O616" s="4"/>
      <c r="P616" s="4"/>
      <c r="Q616" s="4"/>
      <c r="R616" s="4"/>
      <c r="S616" s="47"/>
      <c r="T616" s="4"/>
      <c r="U616" s="4"/>
      <c r="V616" s="47"/>
      <c r="W616" s="4"/>
      <c r="X616" s="4"/>
      <c r="Y616" s="47"/>
      <c r="Z616" s="4"/>
      <c r="AA616" s="4"/>
    </row>
    <row r="617" spans="1:27" ht="24" customHeight="1" x14ac:dyDescent="0.3">
      <c r="A617" s="4"/>
      <c r="B617" s="4"/>
      <c r="C617" s="4"/>
      <c r="D617" s="4"/>
      <c r="E617" s="4"/>
      <c r="F617" s="4"/>
      <c r="G617" s="4"/>
      <c r="H617" s="4"/>
      <c r="I617" s="4"/>
      <c r="J617" s="4"/>
      <c r="K617" s="4"/>
      <c r="L617" s="4"/>
      <c r="M617" s="4"/>
      <c r="N617" s="4"/>
      <c r="O617" s="4"/>
      <c r="P617" s="4"/>
      <c r="Q617" s="4"/>
      <c r="R617" s="4"/>
      <c r="S617" s="47"/>
      <c r="T617" s="4"/>
      <c r="U617" s="4"/>
      <c r="V617" s="47"/>
      <c r="W617" s="4"/>
      <c r="X617" s="4"/>
      <c r="Y617" s="47"/>
      <c r="Z617" s="4"/>
      <c r="AA617" s="4"/>
    </row>
    <row r="618" spans="1:27" ht="24" customHeight="1" x14ac:dyDescent="0.3">
      <c r="A618" s="4"/>
      <c r="B618" s="4"/>
      <c r="C618" s="4"/>
      <c r="D618" s="4"/>
      <c r="E618" s="4"/>
      <c r="F618" s="4"/>
      <c r="G618" s="4"/>
      <c r="H618" s="4"/>
      <c r="I618" s="4"/>
      <c r="J618" s="4"/>
      <c r="K618" s="4"/>
      <c r="L618" s="4"/>
      <c r="M618" s="4"/>
      <c r="N618" s="4"/>
      <c r="O618" s="4"/>
      <c r="P618" s="4"/>
      <c r="Q618" s="4"/>
      <c r="R618" s="4"/>
      <c r="S618" s="47"/>
      <c r="T618" s="4"/>
      <c r="U618" s="4"/>
      <c r="V618" s="47"/>
      <c r="W618" s="4"/>
      <c r="X618" s="4"/>
      <c r="Y618" s="47"/>
      <c r="Z618" s="4"/>
      <c r="AA618" s="4"/>
    </row>
    <row r="619" spans="1:27" ht="24" customHeight="1" x14ac:dyDescent="0.3">
      <c r="A619" s="4"/>
      <c r="B619" s="4"/>
      <c r="C619" s="4"/>
      <c r="D619" s="4"/>
      <c r="E619" s="4"/>
      <c r="F619" s="4"/>
      <c r="G619" s="4"/>
      <c r="H619" s="4"/>
      <c r="I619" s="4"/>
      <c r="J619" s="4"/>
      <c r="K619" s="4"/>
      <c r="L619" s="4"/>
      <c r="M619" s="4"/>
      <c r="N619" s="4"/>
      <c r="O619" s="4"/>
      <c r="P619" s="4"/>
      <c r="Q619" s="4"/>
      <c r="R619" s="4"/>
      <c r="S619" s="47"/>
      <c r="T619" s="4"/>
      <c r="U619" s="4"/>
      <c r="V619" s="47"/>
      <c r="W619" s="4"/>
      <c r="X619" s="4"/>
      <c r="Y619" s="47"/>
      <c r="Z619" s="4"/>
      <c r="AA619" s="4"/>
    </row>
    <row r="620" spans="1:27" ht="24" customHeight="1" x14ac:dyDescent="0.3">
      <c r="A620" s="4"/>
      <c r="B620" s="4"/>
      <c r="C620" s="4"/>
      <c r="D620" s="4"/>
      <c r="E620" s="4"/>
      <c r="F620" s="4"/>
      <c r="G620" s="4"/>
      <c r="H620" s="4"/>
      <c r="I620" s="4"/>
      <c r="J620" s="4"/>
      <c r="K620" s="4"/>
      <c r="L620" s="4"/>
      <c r="M620" s="4"/>
      <c r="N620" s="4"/>
      <c r="O620" s="4"/>
      <c r="P620" s="4"/>
      <c r="Q620" s="4"/>
      <c r="R620" s="4"/>
      <c r="S620" s="47"/>
      <c r="T620" s="4"/>
      <c r="U620" s="4"/>
      <c r="V620" s="47"/>
      <c r="W620" s="4"/>
      <c r="X620" s="4"/>
      <c r="Y620" s="47"/>
      <c r="Z620" s="4"/>
      <c r="AA620" s="4"/>
    </row>
    <row r="621" spans="1:27" ht="24" customHeight="1" x14ac:dyDescent="0.3">
      <c r="A621" s="4"/>
      <c r="B621" s="4"/>
      <c r="C621" s="4"/>
      <c r="D621" s="4"/>
      <c r="E621" s="4"/>
      <c r="F621" s="4"/>
      <c r="G621" s="4"/>
      <c r="H621" s="4"/>
      <c r="I621" s="4"/>
      <c r="J621" s="4"/>
      <c r="K621" s="4"/>
      <c r="L621" s="4"/>
      <c r="M621" s="4"/>
      <c r="N621" s="4"/>
      <c r="O621" s="4"/>
      <c r="P621" s="4"/>
      <c r="Q621" s="4"/>
      <c r="R621" s="4"/>
      <c r="S621" s="47"/>
      <c r="T621" s="4"/>
      <c r="U621" s="4"/>
      <c r="V621" s="47"/>
      <c r="W621" s="4"/>
      <c r="X621" s="4"/>
      <c r="Y621" s="47"/>
      <c r="Z621" s="4"/>
      <c r="AA621" s="4"/>
    </row>
    <row r="622" spans="1:27" ht="24" customHeight="1" x14ac:dyDescent="0.3">
      <c r="A622" s="4"/>
      <c r="B622" s="4"/>
      <c r="C622" s="4"/>
      <c r="D622" s="4"/>
      <c r="E622" s="4"/>
      <c r="F622" s="4"/>
      <c r="G622" s="4"/>
      <c r="H622" s="4"/>
      <c r="I622" s="4"/>
      <c r="J622" s="4"/>
      <c r="K622" s="4"/>
      <c r="L622" s="4"/>
      <c r="M622" s="4"/>
      <c r="N622" s="4"/>
      <c r="O622" s="4"/>
      <c r="P622" s="4"/>
      <c r="Q622" s="4"/>
      <c r="R622" s="4"/>
      <c r="S622" s="47"/>
      <c r="T622" s="4"/>
      <c r="U622" s="4"/>
      <c r="V622" s="47"/>
      <c r="W622" s="4"/>
      <c r="X622" s="4"/>
      <c r="Y622" s="47"/>
      <c r="Z622" s="4"/>
      <c r="AA622" s="4"/>
    </row>
    <row r="623" spans="1:27" ht="24" customHeight="1" x14ac:dyDescent="0.3">
      <c r="A623" s="4"/>
      <c r="B623" s="4"/>
      <c r="C623" s="4"/>
      <c r="D623" s="4"/>
      <c r="E623" s="4"/>
      <c r="F623" s="4"/>
      <c r="G623" s="4"/>
      <c r="H623" s="4"/>
      <c r="I623" s="4"/>
      <c r="J623" s="4"/>
      <c r="K623" s="4"/>
      <c r="L623" s="4"/>
      <c r="M623" s="4"/>
      <c r="N623" s="4"/>
      <c r="O623" s="4"/>
      <c r="P623" s="4"/>
      <c r="Q623" s="4"/>
      <c r="R623" s="4"/>
      <c r="S623" s="47"/>
      <c r="T623" s="4"/>
      <c r="U623" s="4"/>
      <c r="V623" s="47"/>
      <c r="W623" s="4"/>
      <c r="X623" s="4"/>
      <c r="Y623" s="47"/>
      <c r="Z623" s="4"/>
      <c r="AA623" s="4"/>
    </row>
    <row r="624" spans="1:27" ht="24" customHeight="1" x14ac:dyDescent="0.3">
      <c r="A624" s="4"/>
      <c r="B624" s="4"/>
      <c r="C624" s="4"/>
      <c r="D624" s="4"/>
      <c r="E624" s="4"/>
      <c r="F624" s="4"/>
      <c r="G624" s="4"/>
      <c r="H624" s="4"/>
      <c r="I624" s="4"/>
      <c r="J624" s="4"/>
      <c r="K624" s="4"/>
      <c r="L624" s="4"/>
      <c r="M624" s="4"/>
      <c r="N624" s="4"/>
      <c r="O624" s="4"/>
      <c r="P624" s="4"/>
      <c r="Q624" s="4"/>
      <c r="R624" s="4"/>
      <c r="S624" s="47"/>
      <c r="T624" s="4"/>
      <c r="U624" s="4"/>
      <c r="V624" s="47"/>
      <c r="W624" s="4"/>
      <c r="X624" s="4"/>
      <c r="Y624" s="47"/>
      <c r="Z624" s="4"/>
      <c r="AA624" s="4"/>
    </row>
    <row r="625" spans="1:27" ht="24" customHeight="1" x14ac:dyDescent="0.3">
      <c r="A625" s="4"/>
      <c r="B625" s="4"/>
      <c r="C625" s="4"/>
      <c r="D625" s="4"/>
      <c r="E625" s="4"/>
      <c r="F625" s="4"/>
      <c r="G625" s="4"/>
      <c r="H625" s="4"/>
      <c r="I625" s="4"/>
      <c r="J625" s="4"/>
      <c r="K625" s="4"/>
      <c r="L625" s="4"/>
      <c r="M625" s="4"/>
      <c r="N625" s="4"/>
      <c r="O625" s="4"/>
      <c r="P625" s="4"/>
      <c r="Q625" s="4"/>
      <c r="R625" s="4"/>
      <c r="S625" s="47"/>
      <c r="T625" s="4"/>
      <c r="U625" s="4"/>
      <c r="V625" s="47"/>
      <c r="W625" s="4"/>
      <c r="X625" s="4"/>
      <c r="Y625" s="47"/>
      <c r="Z625" s="4"/>
      <c r="AA625" s="4"/>
    </row>
    <row r="626" spans="1:27" ht="24" customHeight="1" x14ac:dyDescent="0.3">
      <c r="A626" s="4"/>
      <c r="B626" s="4"/>
      <c r="C626" s="4"/>
      <c r="D626" s="4"/>
      <c r="E626" s="4"/>
      <c r="F626" s="4"/>
      <c r="G626" s="4"/>
      <c r="H626" s="4"/>
      <c r="I626" s="4"/>
      <c r="J626" s="4"/>
      <c r="K626" s="4"/>
      <c r="L626" s="4"/>
      <c r="M626" s="4"/>
      <c r="N626" s="4"/>
      <c r="O626" s="4"/>
      <c r="P626" s="4"/>
      <c r="Q626" s="4"/>
      <c r="R626" s="4"/>
      <c r="S626" s="47"/>
      <c r="T626" s="4"/>
      <c r="U626" s="4"/>
      <c r="V626" s="47"/>
      <c r="W626" s="4"/>
      <c r="X626" s="4"/>
      <c r="Y626" s="47"/>
      <c r="Z626" s="4"/>
      <c r="AA626" s="4"/>
    </row>
    <row r="627" spans="1:27" ht="24" customHeight="1" x14ac:dyDescent="0.3">
      <c r="A627" s="4"/>
      <c r="B627" s="4"/>
      <c r="C627" s="4"/>
      <c r="D627" s="4"/>
      <c r="E627" s="4"/>
      <c r="F627" s="4"/>
      <c r="G627" s="4"/>
      <c r="H627" s="4"/>
      <c r="I627" s="4"/>
      <c r="J627" s="4"/>
      <c r="K627" s="4"/>
      <c r="L627" s="4"/>
      <c r="M627" s="4"/>
      <c r="N627" s="4"/>
      <c r="O627" s="4"/>
      <c r="P627" s="4"/>
      <c r="Q627" s="4"/>
      <c r="R627" s="4"/>
      <c r="S627" s="47"/>
      <c r="T627" s="4"/>
      <c r="U627" s="4"/>
      <c r="V627" s="47"/>
      <c r="W627" s="4"/>
      <c r="X627" s="4"/>
      <c r="Y627" s="47"/>
      <c r="Z627" s="4"/>
      <c r="AA627" s="4"/>
    </row>
    <row r="628" spans="1:27" ht="24" customHeight="1" x14ac:dyDescent="0.3">
      <c r="A628" s="4"/>
      <c r="B628" s="4"/>
      <c r="C628" s="4"/>
      <c r="D628" s="4"/>
      <c r="E628" s="4"/>
      <c r="F628" s="4"/>
      <c r="G628" s="4"/>
      <c r="H628" s="4"/>
      <c r="I628" s="4"/>
      <c r="J628" s="4"/>
      <c r="K628" s="4"/>
      <c r="L628" s="4"/>
      <c r="M628" s="4"/>
      <c r="N628" s="4"/>
      <c r="O628" s="4"/>
      <c r="P628" s="4"/>
      <c r="Q628" s="4"/>
      <c r="R628" s="4"/>
      <c r="S628" s="47"/>
      <c r="T628" s="4"/>
      <c r="U628" s="4"/>
      <c r="V628" s="47"/>
      <c r="W628" s="4"/>
      <c r="X628" s="4"/>
      <c r="Y628" s="47"/>
      <c r="Z628" s="4"/>
      <c r="AA628" s="4"/>
    </row>
    <row r="629" spans="1:27" ht="24" customHeight="1" x14ac:dyDescent="0.3">
      <c r="A629" s="4"/>
      <c r="B629" s="4"/>
      <c r="C629" s="4"/>
      <c r="D629" s="4"/>
      <c r="E629" s="4"/>
      <c r="F629" s="4"/>
      <c r="G629" s="4"/>
      <c r="H629" s="4"/>
      <c r="I629" s="4"/>
      <c r="J629" s="4"/>
      <c r="K629" s="4"/>
      <c r="L629" s="4"/>
      <c r="M629" s="4"/>
      <c r="N629" s="4"/>
      <c r="O629" s="4"/>
      <c r="P629" s="4"/>
      <c r="Q629" s="4"/>
      <c r="R629" s="4"/>
      <c r="S629" s="47"/>
      <c r="T629" s="4"/>
      <c r="U629" s="4"/>
      <c r="V629" s="47"/>
      <c r="W629" s="4"/>
      <c r="X629" s="4"/>
      <c r="Y629" s="47"/>
      <c r="Z629" s="4"/>
      <c r="AA629" s="4"/>
    </row>
    <row r="630" spans="1:27" ht="24" customHeight="1" x14ac:dyDescent="0.3">
      <c r="A630" s="4"/>
      <c r="B630" s="4"/>
      <c r="C630" s="4"/>
      <c r="D630" s="4"/>
      <c r="E630" s="4"/>
      <c r="F630" s="4"/>
      <c r="G630" s="4"/>
      <c r="H630" s="4"/>
      <c r="I630" s="4"/>
      <c r="J630" s="4"/>
      <c r="K630" s="4"/>
      <c r="L630" s="4"/>
      <c r="M630" s="4"/>
      <c r="N630" s="4"/>
      <c r="O630" s="4"/>
      <c r="P630" s="4"/>
      <c r="Q630" s="4"/>
      <c r="R630" s="4"/>
      <c r="S630" s="47"/>
      <c r="T630" s="4"/>
      <c r="U630" s="4"/>
      <c r="V630" s="47"/>
      <c r="W630" s="4"/>
      <c r="X630" s="4"/>
      <c r="Y630" s="47"/>
      <c r="Z630" s="4"/>
      <c r="AA630" s="4"/>
    </row>
    <row r="631" spans="1:27" ht="24" customHeight="1" x14ac:dyDescent="0.3">
      <c r="A631" s="4"/>
      <c r="B631" s="4"/>
      <c r="C631" s="4"/>
      <c r="D631" s="4"/>
      <c r="E631" s="4"/>
      <c r="F631" s="4"/>
      <c r="G631" s="4"/>
      <c r="H631" s="4"/>
      <c r="I631" s="4"/>
      <c r="J631" s="4"/>
      <c r="K631" s="4"/>
      <c r="L631" s="4"/>
      <c r="M631" s="4"/>
      <c r="N631" s="4"/>
      <c r="O631" s="4"/>
      <c r="P631" s="4"/>
      <c r="Q631" s="4"/>
      <c r="R631" s="4"/>
      <c r="S631" s="47"/>
      <c r="T631" s="4"/>
      <c r="U631" s="4"/>
      <c r="V631" s="47"/>
      <c r="W631" s="4"/>
      <c r="X631" s="4"/>
      <c r="Y631" s="47"/>
      <c r="Z631" s="4"/>
      <c r="AA631" s="4"/>
    </row>
    <row r="632" spans="1:27" ht="24" customHeight="1" x14ac:dyDescent="0.3">
      <c r="A632" s="4"/>
      <c r="B632" s="4"/>
      <c r="C632" s="4"/>
      <c r="D632" s="4"/>
      <c r="E632" s="4"/>
      <c r="F632" s="4"/>
      <c r="G632" s="4"/>
      <c r="H632" s="4"/>
      <c r="I632" s="4"/>
      <c r="J632" s="4"/>
      <c r="K632" s="4"/>
      <c r="L632" s="4"/>
      <c r="M632" s="4"/>
      <c r="N632" s="4"/>
      <c r="O632" s="4"/>
      <c r="P632" s="4"/>
      <c r="Q632" s="4"/>
      <c r="R632" s="4"/>
      <c r="S632" s="47"/>
      <c r="T632" s="4"/>
      <c r="U632" s="4"/>
      <c r="V632" s="47"/>
      <c r="W632" s="4"/>
      <c r="X632" s="4"/>
      <c r="Y632" s="47"/>
      <c r="Z632" s="4"/>
      <c r="AA632" s="4"/>
    </row>
    <row r="633" spans="1:27" ht="24" customHeight="1" x14ac:dyDescent="0.3">
      <c r="A633" s="4"/>
      <c r="B633" s="4"/>
      <c r="C633" s="4"/>
      <c r="D633" s="4"/>
      <c r="E633" s="4"/>
      <c r="F633" s="4"/>
      <c r="G633" s="4"/>
      <c r="H633" s="4"/>
      <c r="I633" s="4"/>
      <c r="J633" s="4"/>
      <c r="K633" s="4"/>
      <c r="L633" s="4"/>
      <c r="M633" s="4"/>
      <c r="N633" s="4"/>
      <c r="O633" s="4"/>
      <c r="P633" s="4"/>
      <c r="Q633" s="4"/>
      <c r="R633" s="4"/>
      <c r="S633" s="47"/>
      <c r="T633" s="4"/>
      <c r="U633" s="4"/>
      <c r="V633" s="47"/>
      <c r="W633" s="4"/>
      <c r="X633" s="4"/>
      <c r="Y633" s="47"/>
      <c r="Z633" s="4"/>
      <c r="AA633" s="4"/>
    </row>
    <row r="634" spans="1:27" ht="24" customHeight="1" x14ac:dyDescent="0.3">
      <c r="A634" s="4"/>
      <c r="B634" s="4"/>
      <c r="C634" s="4"/>
      <c r="D634" s="4"/>
      <c r="E634" s="4"/>
      <c r="F634" s="4"/>
      <c r="G634" s="4"/>
      <c r="H634" s="4"/>
      <c r="I634" s="4"/>
      <c r="J634" s="4"/>
      <c r="K634" s="4"/>
      <c r="L634" s="4"/>
      <c r="M634" s="4"/>
      <c r="N634" s="4"/>
      <c r="O634" s="4"/>
      <c r="P634" s="4"/>
      <c r="Q634" s="4"/>
      <c r="R634" s="4"/>
      <c r="S634" s="47"/>
      <c r="T634" s="4"/>
      <c r="U634" s="4"/>
      <c r="V634" s="47"/>
      <c r="W634" s="4"/>
      <c r="X634" s="4"/>
      <c r="Y634" s="47"/>
      <c r="Z634" s="4"/>
      <c r="AA634" s="4"/>
    </row>
    <row r="635" spans="1:27" ht="24" customHeight="1" x14ac:dyDescent="0.3">
      <c r="A635" s="4"/>
      <c r="B635" s="4"/>
      <c r="C635" s="4"/>
      <c r="D635" s="4"/>
      <c r="E635" s="4"/>
      <c r="F635" s="4"/>
      <c r="G635" s="4"/>
      <c r="H635" s="4"/>
      <c r="I635" s="4"/>
      <c r="J635" s="4"/>
      <c r="K635" s="4"/>
      <c r="L635" s="4"/>
      <c r="M635" s="4"/>
      <c r="N635" s="4"/>
      <c r="O635" s="4"/>
      <c r="P635" s="4"/>
      <c r="Q635" s="4"/>
      <c r="R635" s="4"/>
      <c r="S635" s="47"/>
      <c r="T635" s="4"/>
      <c r="U635" s="4"/>
      <c r="V635" s="47"/>
      <c r="W635" s="4"/>
      <c r="X635" s="4"/>
      <c r="Y635" s="47"/>
      <c r="Z635" s="4"/>
      <c r="AA635" s="4"/>
    </row>
    <row r="636" spans="1:27" ht="24" customHeight="1" x14ac:dyDescent="0.3">
      <c r="A636" s="4"/>
      <c r="B636" s="4"/>
      <c r="C636" s="4"/>
      <c r="D636" s="4"/>
      <c r="E636" s="4"/>
      <c r="F636" s="4"/>
      <c r="G636" s="4"/>
      <c r="H636" s="4"/>
      <c r="I636" s="4"/>
      <c r="J636" s="4"/>
      <c r="K636" s="4"/>
      <c r="L636" s="4"/>
      <c r="M636" s="4"/>
      <c r="N636" s="4"/>
      <c r="O636" s="4"/>
      <c r="P636" s="4"/>
      <c r="Q636" s="4"/>
      <c r="R636" s="4"/>
      <c r="S636" s="47"/>
      <c r="T636" s="4"/>
      <c r="U636" s="4"/>
      <c r="V636" s="47"/>
      <c r="W636" s="4"/>
      <c r="X636" s="4"/>
      <c r="Y636" s="47"/>
      <c r="Z636" s="4"/>
      <c r="AA636" s="4"/>
    </row>
    <row r="637" spans="1:27" ht="24" customHeight="1" x14ac:dyDescent="0.3">
      <c r="A637" s="4"/>
      <c r="B637" s="4"/>
      <c r="C637" s="4"/>
      <c r="D637" s="4"/>
      <c r="E637" s="4"/>
      <c r="F637" s="4"/>
      <c r="G637" s="4"/>
      <c r="H637" s="4"/>
      <c r="I637" s="4"/>
      <c r="J637" s="4"/>
      <c r="K637" s="4"/>
      <c r="L637" s="4"/>
      <c r="M637" s="4"/>
      <c r="N637" s="4"/>
      <c r="O637" s="4"/>
      <c r="P637" s="4"/>
      <c r="Q637" s="4"/>
      <c r="R637" s="4"/>
      <c r="S637" s="47"/>
      <c r="T637" s="4"/>
      <c r="U637" s="4"/>
      <c r="V637" s="47"/>
      <c r="W637" s="4"/>
      <c r="X637" s="4"/>
      <c r="Y637" s="47"/>
      <c r="Z637" s="4"/>
      <c r="AA637" s="4"/>
    </row>
    <row r="638" spans="1:27" ht="24" customHeight="1" x14ac:dyDescent="0.3">
      <c r="A638" s="4"/>
      <c r="B638" s="4"/>
      <c r="C638" s="4"/>
      <c r="D638" s="4"/>
      <c r="E638" s="4"/>
      <c r="F638" s="4"/>
      <c r="G638" s="4"/>
      <c r="H638" s="4"/>
      <c r="I638" s="4"/>
      <c r="J638" s="4"/>
      <c r="K638" s="4"/>
      <c r="L638" s="4"/>
      <c r="M638" s="4"/>
      <c r="N638" s="4"/>
      <c r="O638" s="4"/>
      <c r="P638" s="4"/>
      <c r="Q638" s="4"/>
      <c r="R638" s="4"/>
      <c r="S638" s="47"/>
      <c r="T638" s="4"/>
      <c r="U638" s="4"/>
      <c r="V638" s="47"/>
      <c r="W638" s="4"/>
      <c r="X638" s="4"/>
      <c r="Y638" s="47"/>
      <c r="Z638" s="4"/>
      <c r="AA638" s="4"/>
    </row>
    <row r="639" spans="1:27" ht="24" customHeight="1" x14ac:dyDescent="0.3">
      <c r="A639" s="4"/>
      <c r="B639" s="4"/>
      <c r="C639" s="4"/>
      <c r="D639" s="4"/>
      <c r="E639" s="4"/>
      <c r="F639" s="4"/>
      <c r="G639" s="4"/>
      <c r="H639" s="4"/>
      <c r="I639" s="4"/>
      <c r="J639" s="4"/>
      <c r="K639" s="4"/>
      <c r="L639" s="4"/>
      <c r="M639" s="4"/>
      <c r="N639" s="4"/>
      <c r="O639" s="4"/>
      <c r="P639" s="4"/>
      <c r="Q639" s="4"/>
      <c r="R639" s="4"/>
      <c r="S639" s="47"/>
      <c r="T639" s="4"/>
      <c r="U639" s="4"/>
      <c r="V639" s="47"/>
      <c r="W639" s="4"/>
      <c r="X639" s="4"/>
      <c r="Y639" s="47"/>
      <c r="Z639" s="4"/>
      <c r="AA639" s="4"/>
    </row>
    <row r="640" spans="1:27" ht="24" customHeight="1" x14ac:dyDescent="0.3">
      <c r="A640" s="4"/>
      <c r="B640" s="4"/>
      <c r="C640" s="4"/>
      <c r="D640" s="4"/>
      <c r="E640" s="4"/>
      <c r="F640" s="4"/>
      <c r="G640" s="4"/>
      <c r="H640" s="4"/>
      <c r="I640" s="4"/>
      <c r="J640" s="4"/>
      <c r="K640" s="4"/>
      <c r="L640" s="4"/>
      <c r="M640" s="4"/>
      <c r="N640" s="4"/>
      <c r="O640" s="4"/>
      <c r="P640" s="4"/>
      <c r="Q640" s="4"/>
      <c r="R640" s="4"/>
      <c r="S640" s="47"/>
      <c r="T640" s="4"/>
      <c r="U640" s="4"/>
      <c r="V640" s="47"/>
      <c r="W640" s="4"/>
      <c r="X640" s="4"/>
      <c r="Y640" s="47"/>
      <c r="Z640" s="4"/>
      <c r="AA640" s="4"/>
    </row>
    <row r="641" spans="1:27" ht="24" customHeight="1" x14ac:dyDescent="0.3">
      <c r="A641" s="4"/>
      <c r="B641" s="4"/>
      <c r="C641" s="4"/>
      <c r="D641" s="4"/>
      <c r="E641" s="4"/>
      <c r="F641" s="4"/>
      <c r="G641" s="4"/>
      <c r="H641" s="4"/>
      <c r="I641" s="4"/>
      <c r="J641" s="4"/>
      <c r="K641" s="4"/>
      <c r="L641" s="4"/>
      <c r="M641" s="4"/>
      <c r="N641" s="4"/>
      <c r="O641" s="4"/>
      <c r="P641" s="4"/>
      <c r="Q641" s="4"/>
      <c r="R641" s="4"/>
      <c r="S641" s="47"/>
      <c r="T641" s="4"/>
      <c r="U641" s="4"/>
      <c r="V641" s="47"/>
      <c r="W641" s="4"/>
      <c r="X641" s="4"/>
      <c r="Y641" s="47"/>
      <c r="Z641" s="4"/>
      <c r="AA641" s="4"/>
    </row>
    <row r="642" spans="1:27" ht="24" customHeight="1" x14ac:dyDescent="0.3">
      <c r="A642" s="4"/>
      <c r="B642" s="4"/>
      <c r="C642" s="4"/>
      <c r="D642" s="4"/>
      <c r="E642" s="4"/>
      <c r="F642" s="4"/>
      <c r="G642" s="4"/>
      <c r="H642" s="4"/>
      <c r="I642" s="4"/>
      <c r="J642" s="4"/>
      <c r="K642" s="4"/>
      <c r="L642" s="4"/>
      <c r="M642" s="4"/>
      <c r="N642" s="4"/>
      <c r="O642" s="4"/>
      <c r="P642" s="4"/>
      <c r="Q642" s="4"/>
      <c r="R642" s="4"/>
      <c r="S642" s="47"/>
      <c r="T642" s="4"/>
      <c r="U642" s="4"/>
      <c r="V642" s="47"/>
      <c r="W642" s="4"/>
      <c r="X642" s="4"/>
      <c r="Y642" s="47"/>
      <c r="Z642" s="4"/>
      <c r="AA642" s="4"/>
    </row>
    <row r="643" spans="1:27" ht="24" customHeight="1" x14ac:dyDescent="0.3">
      <c r="A643" s="4"/>
      <c r="B643" s="4"/>
      <c r="C643" s="4"/>
      <c r="D643" s="4"/>
      <c r="E643" s="4"/>
      <c r="F643" s="4"/>
      <c r="G643" s="4"/>
      <c r="H643" s="4"/>
      <c r="I643" s="4"/>
      <c r="J643" s="4"/>
      <c r="K643" s="4"/>
      <c r="L643" s="4"/>
      <c r="M643" s="4"/>
      <c r="N643" s="4"/>
      <c r="O643" s="4"/>
      <c r="P643" s="4"/>
      <c r="Q643" s="4"/>
      <c r="R643" s="4"/>
      <c r="S643" s="47"/>
      <c r="T643" s="4"/>
      <c r="U643" s="4"/>
      <c r="V643" s="47"/>
      <c r="W643" s="4"/>
      <c r="X643" s="4"/>
      <c r="Y643" s="47"/>
      <c r="Z643" s="4"/>
      <c r="AA643" s="4"/>
    </row>
    <row r="644" spans="1:27" ht="24" customHeight="1" x14ac:dyDescent="0.3">
      <c r="A644" s="4"/>
      <c r="B644" s="4"/>
      <c r="C644" s="4"/>
      <c r="D644" s="4"/>
      <c r="E644" s="4"/>
      <c r="F644" s="4"/>
      <c r="G644" s="4"/>
      <c r="H644" s="4"/>
      <c r="I644" s="4"/>
      <c r="J644" s="4"/>
      <c r="K644" s="4"/>
      <c r="L644" s="4"/>
      <c r="M644" s="4"/>
      <c r="N644" s="4"/>
      <c r="O644" s="4"/>
      <c r="P644" s="4"/>
      <c r="Q644" s="4"/>
      <c r="R644" s="4"/>
      <c r="S644" s="47"/>
      <c r="T644" s="4"/>
      <c r="U644" s="4"/>
      <c r="V644" s="47"/>
      <c r="W644" s="4"/>
      <c r="X644" s="4"/>
      <c r="Y644" s="47"/>
      <c r="Z644" s="4"/>
      <c r="AA644" s="4"/>
    </row>
    <row r="645" spans="1:27" ht="24" customHeight="1" x14ac:dyDescent="0.3">
      <c r="A645" s="4"/>
      <c r="B645" s="4"/>
      <c r="C645" s="4"/>
      <c r="D645" s="4"/>
      <c r="E645" s="4"/>
      <c r="F645" s="4"/>
      <c r="G645" s="4"/>
      <c r="H645" s="4"/>
      <c r="I645" s="4"/>
      <c r="J645" s="4"/>
      <c r="K645" s="4"/>
      <c r="L645" s="4"/>
      <c r="M645" s="4"/>
      <c r="N645" s="4"/>
      <c r="O645" s="4"/>
      <c r="P645" s="4"/>
      <c r="Q645" s="4"/>
      <c r="R645" s="4"/>
      <c r="S645" s="47"/>
      <c r="T645" s="4"/>
      <c r="U645" s="4"/>
      <c r="V645" s="47"/>
      <c r="W645" s="4"/>
      <c r="X645" s="4"/>
      <c r="Y645" s="47"/>
      <c r="Z645" s="4"/>
      <c r="AA645" s="4"/>
    </row>
    <row r="646" spans="1:27" ht="24" customHeight="1" x14ac:dyDescent="0.3">
      <c r="A646" s="4"/>
      <c r="B646" s="4"/>
      <c r="C646" s="4"/>
      <c r="D646" s="4"/>
      <c r="E646" s="4"/>
      <c r="F646" s="4"/>
      <c r="G646" s="4"/>
      <c r="H646" s="4"/>
      <c r="I646" s="4"/>
      <c r="J646" s="4"/>
      <c r="K646" s="4"/>
      <c r="L646" s="4"/>
      <c r="M646" s="4"/>
      <c r="N646" s="4"/>
      <c r="O646" s="4"/>
      <c r="P646" s="4"/>
      <c r="Q646" s="4"/>
      <c r="R646" s="4"/>
      <c r="S646" s="47"/>
      <c r="T646" s="4"/>
      <c r="U646" s="4"/>
      <c r="V646" s="47"/>
      <c r="W646" s="4"/>
      <c r="X646" s="4"/>
      <c r="Y646" s="47"/>
      <c r="Z646" s="4"/>
      <c r="AA646" s="4"/>
    </row>
    <row r="647" spans="1:27" ht="24" customHeight="1" x14ac:dyDescent="0.3">
      <c r="A647" s="4"/>
      <c r="B647" s="4"/>
      <c r="C647" s="4"/>
      <c r="D647" s="4"/>
      <c r="E647" s="4"/>
      <c r="F647" s="4"/>
      <c r="G647" s="4"/>
      <c r="H647" s="4"/>
      <c r="I647" s="4"/>
      <c r="J647" s="4"/>
      <c r="K647" s="4"/>
      <c r="L647" s="4"/>
      <c r="M647" s="4"/>
      <c r="N647" s="4"/>
      <c r="O647" s="4"/>
      <c r="P647" s="4"/>
      <c r="Q647" s="4"/>
      <c r="R647" s="4"/>
      <c r="S647" s="47"/>
      <c r="T647" s="4"/>
      <c r="U647" s="4"/>
      <c r="V647" s="47"/>
      <c r="W647" s="4"/>
      <c r="X647" s="4"/>
      <c r="Y647" s="47"/>
      <c r="Z647" s="4"/>
      <c r="AA647" s="4"/>
    </row>
    <row r="648" spans="1:27" ht="24" customHeight="1" x14ac:dyDescent="0.3">
      <c r="A648" s="4"/>
      <c r="B648" s="4"/>
      <c r="C648" s="4"/>
      <c r="D648" s="4"/>
      <c r="E648" s="4"/>
      <c r="F648" s="4"/>
      <c r="G648" s="4"/>
      <c r="H648" s="4"/>
      <c r="I648" s="4"/>
      <c r="J648" s="4"/>
      <c r="K648" s="4"/>
      <c r="L648" s="4"/>
      <c r="M648" s="4"/>
      <c r="N648" s="4"/>
      <c r="O648" s="4"/>
      <c r="P648" s="4"/>
      <c r="Q648" s="4"/>
      <c r="R648" s="4"/>
      <c r="S648" s="47"/>
      <c r="T648" s="4"/>
      <c r="U648" s="4"/>
      <c r="V648" s="47"/>
      <c r="W648" s="4"/>
      <c r="X648" s="4"/>
      <c r="Y648" s="47"/>
      <c r="Z648" s="4"/>
      <c r="AA648" s="4"/>
    </row>
    <row r="649" spans="1:27" ht="24" customHeight="1" x14ac:dyDescent="0.3">
      <c r="A649" s="4"/>
      <c r="B649" s="4"/>
      <c r="C649" s="4"/>
      <c r="D649" s="4"/>
      <c r="E649" s="4"/>
      <c r="F649" s="4"/>
      <c r="G649" s="4"/>
      <c r="H649" s="4"/>
      <c r="I649" s="4"/>
      <c r="J649" s="4"/>
      <c r="K649" s="4"/>
      <c r="L649" s="4"/>
      <c r="M649" s="4"/>
      <c r="N649" s="4"/>
      <c r="O649" s="4"/>
      <c r="P649" s="4"/>
      <c r="Q649" s="4"/>
      <c r="R649" s="4"/>
      <c r="S649" s="47"/>
      <c r="T649" s="4"/>
      <c r="U649" s="4"/>
      <c r="V649" s="47"/>
      <c r="W649" s="4"/>
      <c r="X649" s="4"/>
      <c r="Y649" s="47"/>
      <c r="Z649" s="4"/>
      <c r="AA649" s="4"/>
    </row>
    <row r="650" spans="1:27" ht="24" customHeight="1" x14ac:dyDescent="0.3">
      <c r="A650" s="4"/>
      <c r="B650" s="4"/>
      <c r="C650" s="4"/>
      <c r="D650" s="4"/>
      <c r="E650" s="4"/>
      <c r="F650" s="4"/>
      <c r="G650" s="4"/>
      <c r="H650" s="4"/>
      <c r="I650" s="4"/>
      <c r="J650" s="4"/>
      <c r="K650" s="4"/>
      <c r="L650" s="4"/>
      <c r="M650" s="4"/>
      <c r="N650" s="4"/>
      <c r="O650" s="4"/>
      <c r="P650" s="4"/>
      <c r="Q650" s="4"/>
      <c r="R650" s="4"/>
      <c r="S650" s="47"/>
      <c r="T650" s="4"/>
      <c r="U650" s="4"/>
      <c r="V650" s="47"/>
      <c r="W650" s="4"/>
      <c r="X650" s="4"/>
      <c r="Y650" s="47"/>
      <c r="Z650" s="4"/>
      <c r="AA650" s="4"/>
    </row>
    <row r="651" spans="1:27" ht="24" customHeight="1" x14ac:dyDescent="0.3">
      <c r="A651" s="4"/>
      <c r="B651" s="4"/>
      <c r="C651" s="4"/>
      <c r="D651" s="4"/>
      <c r="E651" s="4"/>
      <c r="F651" s="4"/>
      <c r="G651" s="4"/>
      <c r="H651" s="4"/>
      <c r="I651" s="4"/>
      <c r="J651" s="4"/>
      <c r="K651" s="4"/>
      <c r="L651" s="4"/>
      <c r="M651" s="4"/>
      <c r="N651" s="4"/>
      <c r="O651" s="4"/>
      <c r="P651" s="4"/>
      <c r="Q651" s="4"/>
      <c r="R651" s="4"/>
      <c r="S651" s="47"/>
      <c r="T651" s="4"/>
      <c r="U651" s="4"/>
      <c r="V651" s="47"/>
      <c r="W651" s="4"/>
      <c r="X651" s="4"/>
      <c r="Y651" s="47"/>
      <c r="Z651" s="4"/>
      <c r="AA651" s="4"/>
    </row>
    <row r="652" spans="1:27" ht="24" customHeight="1" x14ac:dyDescent="0.3">
      <c r="A652" s="4"/>
      <c r="B652" s="4"/>
      <c r="C652" s="4"/>
      <c r="D652" s="4"/>
      <c r="E652" s="4"/>
      <c r="F652" s="4"/>
      <c r="G652" s="4"/>
      <c r="H652" s="4"/>
      <c r="I652" s="4"/>
      <c r="J652" s="4"/>
      <c r="K652" s="4"/>
      <c r="L652" s="4"/>
      <c r="M652" s="4"/>
      <c r="N652" s="4"/>
      <c r="O652" s="4"/>
      <c r="P652" s="4"/>
      <c r="Q652" s="4"/>
      <c r="R652" s="4"/>
      <c r="S652" s="47"/>
      <c r="T652" s="4"/>
      <c r="U652" s="4"/>
      <c r="V652" s="47"/>
      <c r="W652" s="4"/>
      <c r="X652" s="4"/>
      <c r="Y652" s="47"/>
      <c r="Z652" s="4"/>
      <c r="AA652" s="4"/>
    </row>
    <row r="653" spans="1:27" ht="24" customHeight="1" x14ac:dyDescent="0.3">
      <c r="A653" s="4"/>
      <c r="B653" s="4"/>
      <c r="C653" s="4"/>
      <c r="D653" s="4"/>
      <c r="E653" s="4"/>
      <c r="F653" s="4"/>
      <c r="G653" s="4"/>
      <c r="H653" s="4"/>
      <c r="I653" s="4"/>
      <c r="J653" s="4"/>
      <c r="K653" s="4"/>
      <c r="L653" s="4"/>
      <c r="M653" s="4"/>
      <c r="N653" s="4"/>
      <c r="O653" s="4"/>
      <c r="P653" s="4"/>
      <c r="Q653" s="4"/>
      <c r="R653" s="4"/>
      <c r="S653" s="47"/>
      <c r="T653" s="4"/>
      <c r="U653" s="4"/>
      <c r="V653" s="47"/>
      <c r="W653" s="4"/>
      <c r="X653" s="4"/>
      <c r="Y653" s="47"/>
      <c r="Z653" s="4"/>
      <c r="AA653" s="4"/>
    </row>
    <row r="654" spans="1:27" ht="24" customHeight="1" x14ac:dyDescent="0.3">
      <c r="A654" s="4"/>
      <c r="B654" s="4"/>
      <c r="C654" s="4"/>
      <c r="D654" s="4"/>
      <c r="E654" s="4"/>
      <c r="F654" s="4"/>
      <c r="G654" s="4"/>
      <c r="H654" s="4"/>
      <c r="I654" s="4"/>
      <c r="J654" s="4"/>
      <c r="K654" s="4"/>
      <c r="L654" s="4"/>
      <c r="M654" s="4"/>
      <c r="N654" s="4"/>
      <c r="O654" s="4"/>
      <c r="P654" s="4"/>
      <c r="Q654" s="4"/>
      <c r="R654" s="4"/>
      <c r="S654" s="47"/>
      <c r="T654" s="4"/>
      <c r="U654" s="4"/>
      <c r="V654" s="47"/>
      <c r="W654" s="4"/>
      <c r="X654" s="4"/>
      <c r="Y654" s="47"/>
      <c r="Z654" s="4"/>
      <c r="AA654" s="4"/>
    </row>
    <row r="655" spans="1:27" ht="24" customHeight="1" x14ac:dyDescent="0.3">
      <c r="A655" s="4"/>
      <c r="B655" s="4"/>
      <c r="C655" s="4"/>
      <c r="D655" s="4"/>
      <c r="E655" s="4"/>
      <c r="F655" s="4"/>
      <c r="G655" s="4"/>
      <c r="H655" s="4"/>
      <c r="I655" s="4"/>
      <c r="J655" s="4"/>
      <c r="K655" s="4"/>
      <c r="L655" s="4"/>
      <c r="M655" s="4"/>
      <c r="N655" s="4"/>
      <c r="O655" s="4"/>
      <c r="P655" s="4"/>
      <c r="Q655" s="4"/>
      <c r="R655" s="4"/>
      <c r="S655" s="47"/>
      <c r="T655" s="4"/>
      <c r="U655" s="4"/>
      <c r="V655" s="47"/>
      <c r="W655" s="4"/>
      <c r="X655" s="4"/>
      <c r="Y655" s="47"/>
      <c r="Z655" s="4"/>
      <c r="AA655" s="4"/>
    </row>
    <row r="656" spans="1:27" ht="24" customHeight="1" x14ac:dyDescent="0.3">
      <c r="A656" s="4"/>
      <c r="B656" s="4"/>
      <c r="C656" s="4"/>
      <c r="D656" s="4"/>
      <c r="E656" s="4"/>
      <c r="F656" s="4"/>
      <c r="G656" s="4"/>
      <c r="H656" s="4"/>
      <c r="I656" s="4"/>
      <c r="J656" s="4"/>
      <c r="K656" s="4"/>
      <c r="L656" s="4"/>
      <c r="M656" s="4"/>
      <c r="N656" s="4"/>
      <c r="O656" s="4"/>
      <c r="P656" s="4"/>
      <c r="Q656" s="4"/>
      <c r="R656" s="4"/>
      <c r="S656" s="47"/>
      <c r="T656" s="4"/>
      <c r="U656" s="4"/>
      <c r="V656" s="47"/>
      <c r="W656" s="4"/>
      <c r="X656" s="4"/>
      <c r="Y656" s="47"/>
      <c r="Z656" s="4"/>
      <c r="AA656" s="4"/>
    </row>
    <row r="657" spans="1:27" ht="24" customHeight="1" x14ac:dyDescent="0.3">
      <c r="A657" s="4"/>
      <c r="B657" s="4"/>
      <c r="C657" s="4"/>
      <c r="D657" s="4"/>
      <c r="E657" s="4"/>
      <c r="F657" s="4"/>
      <c r="G657" s="4"/>
      <c r="H657" s="4"/>
      <c r="I657" s="4"/>
      <c r="J657" s="4"/>
      <c r="K657" s="4"/>
      <c r="L657" s="4"/>
      <c r="M657" s="4"/>
      <c r="N657" s="4"/>
      <c r="O657" s="4"/>
      <c r="P657" s="4"/>
      <c r="Q657" s="4"/>
      <c r="R657" s="4"/>
      <c r="S657" s="47"/>
      <c r="T657" s="4"/>
      <c r="U657" s="4"/>
      <c r="V657" s="47"/>
      <c r="W657" s="4"/>
      <c r="X657" s="4"/>
      <c r="Y657" s="47"/>
      <c r="Z657" s="4"/>
      <c r="AA657" s="4"/>
    </row>
    <row r="658" spans="1:27" ht="24" customHeight="1" x14ac:dyDescent="0.3">
      <c r="A658" s="4"/>
      <c r="B658" s="4"/>
      <c r="C658" s="4"/>
      <c r="D658" s="4"/>
      <c r="E658" s="4"/>
      <c r="F658" s="4"/>
      <c r="G658" s="4"/>
      <c r="H658" s="4"/>
      <c r="I658" s="4"/>
      <c r="J658" s="4"/>
      <c r="K658" s="4"/>
      <c r="L658" s="4"/>
      <c r="M658" s="4"/>
      <c r="N658" s="4"/>
      <c r="O658" s="4"/>
      <c r="P658" s="4"/>
      <c r="Q658" s="4"/>
      <c r="R658" s="4"/>
      <c r="S658" s="47"/>
      <c r="T658" s="4"/>
      <c r="U658" s="4"/>
      <c r="V658" s="47"/>
      <c r="W658" s="4"/>
      <c r="X658" s="4"/>
      <c r="Y658" s="47"/>
      <c r="Z658" s="4"/>
      <c r="AA658" s="4"/>
    </row>
    <row r="659" spans="1:27" ht="24" customHeight="1" x14ac:dyDescent="0.3">
      <c r="A659" s="4"/>
      <c r="B659" s="4"/>
      <c r="C659" s="4"/>
      <c r="D659" s="4"/>
      <c r="E659" s="4"/>
      <c r="F659" s="4"/>
      <c r="G659" s="4"/>
      <c r="H659" s="4"/>
      <c r="I659" s="4"/>
      <c r="J659" s="4"/>
      <c r="K659" s="4"/>
      <c r="L659" s="4"/>
      <c r="M659" s="4"/>
      <c r="N659" s="4"/>
      <c r="O659" s="4"/>
      <c r="P659" s="4"/>
      <c r="Q659" s="4"/>
      <c r="R659" s="4"/>
      <c r="S659" s="47"/>
      <c r="T659" s="4"/>
      <c r="U659" s="4"/>
      <c r="V659" s="47"/>
      <c r="W659" s="4"/>
      <c r="X659" s="4"/>
      <c r="Y659" s="47"/>
      <c r="Z659" s="4"/>
      <c r="AA659" s="4"/>
    </row>
    <row r="660" spans="1:27" ht="24" customHeight="1" x14ac:dyDescent="0.3">
      <c r="A660" s="4"/>
      <c r="B660" s="4"/>
      <c r="C660" s="4"/>
      <c r="D660" s="4"/>
      <c r="E660" s="4"/>
      <c r="F660" s="4"/>
      <c r="G660" s="4"/>
      <c r="H660" s="4"/>
      <c r="I660" s="4"/>
      <c r="J660" s="4"/>
      <c r="K660" s="4"/>
      <c r="L660" s="4"/>
      <c r="M660" s="4"/>
      <c r="N660" s="4"/>
      <c r="O660" s="4"/>
      <c r="P660" s="4"/>
      <c r="Q660" s="4"/>
      <c r="R660" s="4"/>
      <c r="S660" s="47"/>
      <c r="T660" s="4"/>
      <c r="U660" s="4"/>
      <c r="V660" s="47"/>
      <c r="W660" s="4"/>
      <c r="X660" s="4"/>
      <c r="Y660" s="47"/>
      <c r="Z660" s="4"/>
      <c r="AA660" s="4"/>
    </row>
    <row r="661" spans="1:27" ht="24" customHeight="1" x14ac:dyDescent="0.3">
      <c r="A661" s="4"/>
      <c r="B661" s="4"/>
      <c r="C661" s="4"/>
      <c r="D661" s="4"/>
      <c r="E661" s="4"/>
      <c r="F661" s="4"/>
      <c r="G661" s="4"/>
      <c r="H661" s="4"/>
      <c r="I661" s="4"/>
      <c r="J661" s="4"/>
      <c r="K661" s="4"/>
      <c r="L661" s="4"/>
      <c r="M661" s="4"/>
      <c r="N661" s="4"/>
      <c r="O661" s="4"/>
      <c r="P661" s="4"/>
      <c r="Q661" s="4"/>
      <c r="R661" s="4"/>
      <c r="S661" s="47"/>
      <c r="T661" s="4"/>
      <c r="U661" s="4"/>
      <c r="V661" s="47"/>
      <c r="W661" s="4"/>
      <c r="X661" s="4"/>
      <c r="Y661" s="47"/>
      <c r="Z661" s="4"/>
      <c r="AA661" s="4"/>
    </row>
    <row r="662" spans="1:27" ht="24" customHeight="1" x14ac:dyDescent="0.3">
      <c r="A662" s="4"/>
      <c r="B662" s="4"/>
      <c r="C662" s="4"/>
      <c r="D662" s="4"/>
      <c r="E662" s="4"/>
      <c r="F662" s="4"/>
      <c r="G662" s="4"/>
      <c r="H662" s="4"/>
      <c r="I662" s="4"/>
      <c r="J662" s="4"/>
      <c r="K662" s="4"/>
      <c r="L662" s="4"/>
      <c r="M662" s="4"/>
      <c r="N662" s="4"/>
      <c r="O662" s="4"/>
      <c r="P662" s="4"/>
      <c r="Q662" s="4"/>
      <c r="R662" s="4"/>
      <c r="S662" s="47"/>
      <c r="T662" s="4"/>
      <c r="U662" s="4"/>
      <c r="V662" s="47"/>
      <c r="W662" s="4"/>
      <c r="X662" s="4"/>
      <c r="Y662" s="47"/>
      <c r="Z662" s="4"/>
      <c r="AA662" s="4"/>
    </row>
    <row r="663" spans="1:27" ht="24" customHeight="1" x14ac:dyDescent="0.3">
      <c r="A663" s="4"/>
      <c r="B663" s="4"/>
      <c r="C663" s="4"/>
      <c r="D663" s="4"/>
      <c r="E663" s="4"/>
      <c r="F663" s="4"/>
      <c r="G663" s="4"/>
      <c r="H663" s="4"/>
      <c r="I663" s="4"/>
      <c r="J663" s="4"/>
      <c r="K663" s="4"/>
      <c r="L663" s="4"/>
      <c r="M663" s="4"/>
      <c r="N663" s="4"/>
      <c r="O663" s="4"/>
      <c r="P663" s="4"/>
      <c r="Q663" s="4"/>
      <c r="R663" s="4"/>
      <c r="S663" s="47"/>
      <c r="T663" s="4"/>
      <c r="U663" s="4"/>
      <c r="V663" s="47"/>
      <c r="W663" s="4"/>
      <c r="X663" s="4"/>
      <c r="Y663" s="47"/>
      <c r="Z663" s="4"/>
      <c r="AA663" s="4"/>
    </row>
    <row r="664" spans="1:27" ht="24" customHeight="1" x14ac:dyDescent="0.3">
      <c r="A664" s="4"/>
      <c r="B664" s="4"/>
      <c r="C664" s="4"/>
      <c r="D664" s="4"/>
      <c r="E664" s="4"/>
      <c r="F664" s="4"/>
      <c r="G664" s="4"/>
      <c r="H664" s="4"/>
      <c r="I664" s="4"/>
      <c r="J664" s="4"/>
      <c r="K664" s="4"/>
      <c r="L664" s="4"/>
      <c r="M664" s="4"/>
      <c r="N664" s="4"/>
      <c r="O664" s="4"/>
      <c r="P664" s="4"/>
      <c r="Q664" s="4"/>
      <c r="R664" s="4"/>
      <c r="S664" s="47"/>
      <c r="T664" s="4"/>
      <c r="U664" s="4"/>
      <c r="V664" s="47"/>
      <c r="W664" s="4"/>
      <c r="X664" s="4"/>
      <c r="Y664" s="47"/>
      <c r="Z664" s="4"/>
      <c r="AA664" s="4"/>
    </row>
    <row r="665" spans="1:27" ht="24" customHeight="1" x14ac:dyDescent="0.3">
      <c r="A665" s="4"/>
      <c r="B665" s="4"/>
      <c r="C665" s="4"/>
      <c r="D665" s="4"/>
      <c r="E665" s="4"/>
      <c r="F665" s="4"/>
      <c r="G665" s="4"/>
      <c r="H665" s="4"/>
      <c r="I665" s="4"/>
      <c r="J665" s="4"/>
      <c r="K665" s="4"/>
      <c r="L665" s="4"/>
      <c r="M665" s="4"/>
      <c r="N665" s="4"/>
      <c r="O665" s="4"/>
      <c r="P665" s="4"/>
      <c r="Q665" s="4"/>
      <c r="R665" s="4"/>
      <c r="S665" s="47"/>
      <c r="T665" s="4"/>
      <c r="U665" s="4"/>
      <c r="V665" s="47"/>
      <c r="W665" s="4"/>
      <c r="X665" s="4"/>
      <c r="Y665" s="47"/>
      <c r="Z665" s="4"/>
      <c r="AA665" s="4"/>
    </row>
    <row r="666" spans="1:27" ht="24" customHeight="1" x14ac:dyDescent="0.3">
      <c r="A666" s="4"/>
      <c r="B666" s="4"/>
      <c r="C666" s="4"/>
      <c r="D666" s="4"/>
      <c r="E666" s="4"/>
      <c r="F666" s="4"/>
      <c r="G666" s="4"/>
      <c r="H666" s="4"/>
      <c r="I666" s="4"/>
      <c r="J666" s="4"/>
      <c r="K666" s="4"/>
      <c r="L666" s="4"/>
      <c r="M666" s="4"/>
      <c r="N666" s="4"/>
      <c r="O666" s="4"/>
      <c r="P666" s="4"/>
      <c r="Q666" s="4"/>
      <c r="R666" s="4"/>
      <c r="S666" s="47"/>
      <c r="T666" s="4"/>
      <c r="U666" s="4"/>
      <c r="V666" s="47"/>
      <c r="W666" s="4"/>
      <c r="X666" s="4"/>
      <c r="Y666" s="47"/>
      <c r="Z666" s="4"/>
      <c r="AA666" s="4"/>
    </row>
    <row r="667" spans="1:27" ht="24" customHeight="1" x14ac:dyDescent="0.3">
      <c r="A667" s="4"/>
      <c r="B667" s="4"/>
      <c r="C667" s="4"/>
      <c r="D667" s="4"/>
      <c r="E667" s="4"/>
      <c r="F667" s="4"/>
      <c r="G667" s="4"/>
      <c r="H667" s="4"/>
      <c r="I667" s="4"/>
      <c r="J667" s="4"/>
      <c r="K667" s="4"/>
      <c r="L667" s="4"/>
      <c r="M667" s="4"/>
      <c r="N667" s="4"/>
      <c r="O667" s="4"/>
      <c r="P667" s="4"/>
      <c r="Q667" s="4"/>
      <c r="R667" s="4"/>
      <c r="S667" s="47"/>
      <c r="T667" s="4"/>
      <c r="U667" s="4"/>
      <c r="V667" s="47"/>
      <c r="W667" s="4"/>
      <c r="X667" s="4"/>
      <c r="Y667" s="47"/>
      <c r="Z667" s="4"/>
      <c r="AA667" s="4"/>
    </row>
    <row r="668" spans="1:27" ht="24" customHeight="1" x14ac:dyDescent="0.3">
      <c r="A668" s="4"/>
      <c r="B668" s="4"/>
      <c r="C668" s="4"/>
      <c r="D668" s="4"/>
      <c r="E668" s="4"/>
      <c r="F668" s="4"/>
      <c r="G668" s="4"/>
      <c r="H668" s="4"/>
      <c r="I668" s="4"/>
      <c r="J668" s="4"/>
      <c r="K668" s="4"/>
      <c r="L668" s="4"/>
      <c r="M668" s="4"/>
      <c r="N668" s="4"/>
      <c r="O668" s="4"/>
      <c r="P668" s="4"/>
      <c r="Q668" s="4"/>
      <c r="R668" s="4"/>
      <c r="S668" s="47"/>
      <c r="T668" s="4"/>
      <c r="U668" s="4"/>
      <c r="V668" s="47"/>
      <c r="W668" s="4"/>
      <c r="X668" s="4"/>
      <c r="Y668" s="47"/>
      <c r="Z668" s="4"/>
      <c r="AA668" s="4"/>
    </row>
    <row r="669" spans="1:27" ht="24" customHeight="1" x14ac:dyDescent="0.3">
      <c r="A669" s="4"/>
      <c r="B669" s="4"/>
      <c r="C669" s="4"/>
      <c r="D669" s="4"/>
      <c r="E669" s="4"/>
      <c r="F669" s="4"/>
      <c r="G669" s="4"/>
      <c r="H669" s="4"/>
      <c r="I669" s="4"/>
      <c r="J669" s="4"/>
      <c r="K669" s="4"/>
      <c r="L669" s="4"/>
      <c r="M669" s="4"/>
      <c r="N669" s="4"/>
      <c r="O669" s="4"/>
      <c r="P669" s="4"/>
      <c r="Q669" s="4"/>
      <c r="R669" s="4"/>
      <c r="S669" s="47"/>
      <c r="T669" s="4"/>
      <c r="U669" s="4"/>
      <c r="V669" s="47"/>
      <c r="W669" s="4"/>
      <c r="X669" s="4"/>
      <c r="Y669" s="47"/>
      <c r="Z669" s="4"/>
      <c r="AA669" s="4"/>
    </row>
    <row r="670" spans="1:27" ht="24" customHeight="1" x14ac:dyDescent="0.3">
      <c r="A670" s="4"/>
      <c r="B670" s="4"/>
      <c r="C670" s="4"/>
      <c r="D670" s="4"/>
      <c r="E670" s="4"/>
      <c r="F670" s="4"/>
      <c r="G670" s="4"/>
      <c r="H670" s="4"/>
      <c r="I670" s="4"/>
      <c r="J670" s="4"/>
      <c r="K670" s="4"/>
      <c r="L670" s="4"/>
      <c r="M670" s="4"/>
      <c r="N670" s="4"/>
      <c r="O670" s="4"/>
      <c r="P670" s="4"/>
      <c r="Q670" s="4"/>
      <c r="R670" s="4"/>
      <c r="S670" s="47"/>
      <c r="T670" s="4"/>
      <c r="U670" s="4"/>
      <c r="V670" s="47"/>
      <c r="W670" s="4"/>
      <c r="X670" s="4"/>
      <c r="Y670" s="47"/>
      <c r="Z670" s="4"/>
      <c r="AA670" s="4"/>
    </row>
    <row r="671" spans="1:27" ht="24" customHeight="1" x14ac:dyDescent="0.3">
      <c r="A671" s="4"/>
      <c r="B671" s="4"/>
      <c r="C671" s="4"/>
      <c r="D671" s="4"/>
      <c r="E671" s="4"/>
      <c r="F671" s="4"/>
      <c r="G671" s="4"/>
      <c r="H671" s="4"/>
      <c r="I671" s="4"/>
      <c r="J671" s="4"/>
      <c r="K671" s="4"/>
      <c r="L671" s="4"/>
      <c r="M671" s="4"/>
      <c r="N671" s="4"/>
      <c r="O671" s="4"/>
      <c r="P671" s="4"/>
      <c r="Q671" s="4"/>
      <c r="R671" s="4"/>
      <c r="S671" s="47"/>
      <c r="T671" s="4"/>
      <c r="U671" s="4"/>
      <c r="V671" s="47"/>
      <c r="W671" s="4"/>
      <c r="X671" s="4"/>
      <c r="Y671" s="47"/>
      <c r="Z671" s="4"/>
      <c r="AA671" s="4"/>
    </row>
    <row r="672" spans="1:27" ht="24" customHeight="1" x14ac:dyDescent="0.3">
      <c r="A672" s="4"/>
      <c r="B672" s="4"/>
      <c r="C672" s="4"/>
      <c r="D672" s="4"/>
      <c r="E672" s="4"/>
      <c r="F672" s="4"/>
      <c r="G672" s="4"/>
      <c r="H672" s="4"/>
      <c r="I672" s="4"/>
      <c r="J672" s="4"/>
      <c r="K672" s="4"/>
      <c r="L672" s="4"/>
      <c r="M672" s="4"/>
      <c r="N672" s="4"/>
      <c r="O672" s="4"/>
      <c r="P672" s="4"/>
      <c r="Q672" s="4"/>
      <c r="R672" s="4"/>
      <c r="S672" s="47"/>
      <c r="T672" s="4"/>
      <c r="U672" s="4"/>
      <c r="V672" s="47"/>
      <c r="W672" s="4"/>
      <c r="X672" s="4"/>
      <c r="Y672" s="47"/>
      <c r="Z672" s="4"/>
      <c r="AA672" s="4"/>
    </row>
    <row r="673" spans="1:27" ht="24" customHeight="1" x14ac:dyDescent="0.3">
      <c r="A673" s="4"/>
      <c r="B673" s="4"/>
      <c r="C673" s="4"/>
      <c r="D673" s="4"/>
      <c r="E673" s="4"/>
      <c r="F673" s="4"/>
      <c r="G673" s="4"/>
      <c r="H673" s="4"/>
      <c r="I673" s="4"/>
      <c r="J673" s="4"/>
      <c r="K673" s="4"/>
      <c r="L673" s="4"/>
      <c r="M673" s="4"/>
      <c r="N673" s="4"/>
      <c r="O673" s="4"/>
      <c r="P673" s="4"/>
      <c r="Q673" s="4"/>
      <c r="R673" s="4"/>
      <c r="S673" s="47"/>
      <c r="T673" s="4"/>
      <c r="U673" s="4"/>
      <c r="V673" s="47"/>
      <c r="W673" s="4"/>
      <c r="X673" s="4"/>
      <c r="Y673" s="47"/>
      <c r="Z673" s="4"/>
      <c r="AA673" s="4"/>
    </row>
    <row r="674" spans="1:27" ht="24" customHeight="1" x14ac:dyDescent="0.3">
      <c r="A674" s="4"/>
      <c r="B674" s="4"/>
      <c r="C674" s="4"/>
      <c r="D674" s="4"/>
      <c r="E674" s="4"/>
      <c r="F674" s="4"/>
      <c r="G674" s="4"/>
      <c r="H674" s="4"/>
      <c r="I674" s="4"/>
      <c r="J674" s="4"/>
      <c r="K674" s="4"/>
      <c r="L674" s="4"/>
      <c r="M674" s="4"/>
      <c r="N674" s="4"/>
      <c r="O674" s="4"/>
      <c r="P674" s="4"/>
      <c r="Q674" s="4"/>
      <c r="R674" s="4"/>
      <c r="S674" s="47"/>
      <c r="T674" s="4"/>
      <c r="U674" s="4"/>
      <c r="V674" s="47"/>
      <c r="W674" s="4"/>
      <c r="X674" s="4"/>
      <c r="Y674" s="47"/>
      <c r="Z674" s="4"/>
      <c r="AA674" s="4"/>
    </row>
    <row r="675" spans="1:27" ht="24" customHeight="1" x14ac:dyDescent="0.3">
      <c r="A675" s="4"/>
      <c r="B675" s="4"/>
      <c r="C675" s="4"/>
      <c r="D675" s="4"/>
      <c r="E675" s="4"/>
      <c r="F675" s="4"/>
      <c r="G675" s="4"/>
      <c r="H675" s="4"/>
      <c r="I675" s="4"/>
      <c r="J675" s="4"/>
      <c r="K675" s="4"/>
      <c r="L675" s="4"/>
      <c r="M675" s="4"/>
      <c r="N675" s="4"/>
      <c r="O675" s="4"/>
      <c r="P675" s="4"/>
      <c r="Q675" s="4"/>
      <c r="R675" s="4"/>
      <c r="S675" s="47"/>
      <c r="T675" s="4"/>
      <c r="U675" s="4"/>
      <c r="V675" s="47"/>
      <c r="W675" s="4"/>
      <c r="X675" s="4"/>
      <c r="Y675" s="47"/>
      <c r="Z675" s="4"/>
      <c r="AA675" s="4"/>
    </row>
    <row r="676" spans="1:27" ht="24" customHeight="1" x14ac:dyDescent="0.3">
      <c r="A676" s="4"/>
      <c r="B676" s="4"/>
      <c r="C676" s="4"/>
      <c r="D676" s="4"/>
      <c r="E676" s="4"/>
      <c r="F676" s="4"/>
      <c r="G676" s="4"/>
      <c r="H676" s="4"/>
      <c r="I676" s="4"/>
      <c r="J676" s="4"/>
      <c r="K676" s="4"/>
      <c r="L676" s="4"/>
      <c r="M676" s="4"/>
      <c r="N676" s="4"/>
      <c r="O676" s="4"/>
      <c r="P676" s="4"/>
      <c r="Q676" s="4"/>
      <c r="R676" s="4"/>
      <c r="S676" s="47"/>
      <c r="T676" s="4"/>
      <c r="U676" s="4"/>
      <c r="V676" s="47"/>
      <c r="W676" s="4"/>
      <c r="X676" s="4"/>
      <c r="Y676" s="47"/>
      <c r="Z676" s="4"/>
      <c r="AA676" s="4"/>
    </row>
    <row r="677" spans="1:27" ht="24" customHeight="1" x14ac:dyDescent="0.3">
      <c r="A677" s="4"/>
      <c r="B677" s="4"/>
      <c r="C677" s="4"/>
      <c r="D677" s="4"/>
      <c r="E677" s="4"/>
      <c r="F677" s="4"/>
      <c r="G677" s="4"/>
      <c r="H677" s="4"/>
      <c r="I677" s="4"/>
      <c r="J677" s="4"/>
      <c r="K677" s="4"/>
      <c r="L677" s="4"/>
      <c r="M677" s="4"/>
      <c r="N677" s="4"/>
      <c r="O677" s="4"/>
      <c r="P677" s="4"/>
      <c r="Q677" s="4"/>
      <c r="R677" s="4"/>
      <c r="S677" s="47"/>
      <c r="T677" s="4"/>
      <c r="U677" s="4"/>
      <c r="V677" s="47"/>
      <c r="W677" s="4"/>
      <c r="X677" s="4"/>
      <c r="Y677" s="47"/>
      <c r="Z677" s="4"/>
      <c r="AA677" s="4"/>
    </row>
    <row r="678" spans="1:27" ht="24" customHeight="1" x14ac:dyDescent="0.3">
      <c r="A678" s="4"/>
      <c r="B678" s="4"/>
      <c r="C678" s="4"/>
      <c r="D678" s="4"/>
      <c r="E678" s="4"/>
      <c r="F678" s="4"/>
      <c r="G678" s="4"/>
      <c r="H678" s="4"/>
      <c r="I678" s="4"/>
      <c r="J678" s="4"/>
      <c r="K678" s="4"/>
      <c r="L678" s="4"/>
      <c r="M678" s="4"/>
      <c r="N678" s="4"/>
      <c r="O678" s="4"/>
      <c r="P678" s="4"/>
      <c r="Q678" s="4"/>
      <c r="R678" s="4"/>
      <c r="S678" s="47"/>
      <c r="T678" s="4"/>
      <c r="U678" s="4"/>
      <c r="V678" s="47"/>
      <c r="W678" s="4"/>
      <c r="X678" s="4"/>
      <c r="Y678" s="47"/>
      <c r="Z678" s="4"/>
      <c r="AA678" s="4"/>
    </row>
    <row r="679" spans="1:27" ht="24" customHeight="1" x14ac:dyDescent="0.3">
      <c r="A679" s="4"/>
      <c r="B679" s="4"/>
      <c r="C679" s="4"/>
      <c r="D679" s="4"/>
      <c r="E679" s="4"/>
      <c r="F679" s="4"/>
      <c r="G679" s="4"/>
      <c r="H679" s="4"/>
      <c r="I679" s="4"/>
      <c r="J679" s="4"/>
      <c r="K679" s="4"/>
      <c r="L679" s="4"/>
      <c r="M679" s="4"/>
      <c r="N679" s="4"/>
      <c r="O679" s="4"/>
      <c r="P679" s="4"/>
      <c r="Q679" s="4"/>
      <c r="R679" s="4"/>
      <c r="S679" s="47"/>
      <c r="T679" s="4"/>
      <c r="U679" s="4"/>
      <c r="V679" s="47"/>
      <c r="W679" s="4"/>
      <c r="X679" s="4"/>
      <c r="Y679" s="47"/>
      <c r="Z679" s="4"/>
      <c r="AA679" s="4"/>
    </row>
    <row r="680" spans="1:27" ht="24" customHeight="1" x14ac:dyDescent="0.3">
      <c r="A680" s="4"/>
      <c r="B680" s="4"/>
      <c r="C680" s="4"/>
      <c r="D680" s="4"/>
      <c r="E680" s="4"/>
      <c r="F680" s="4"/>
      <c r="G680" s="4"/>
      <c r="H680" s="4"/>
      <c r="I680" s="4"/>
      <c r="J680" s="4"/>
      <c r="K680" s="4"/>
      <c r="L680" s="4"/>
      <c r="M680" s="4"/>
      <c r="N680" s="4"/>
      <c r="O680" s="4"/>
      <c r="P680" s="4"/>
      <c r="Q680" s="4"/>
      <c r="R680" s="4"/>
      <c r="S680" s="47"/>
      <c r="T680" s="4"/>
      <c r="U680" s="4"/>
      <c r="V680" s="47"/>
      <c r="W680" s="4"/>
      <c r="X680" s="4"/>
      <c r="Y680" s="47"/>
      <c r="Z680" s="4"/>
      <c r="AA680" s="4"/>
    </row>
    <row r="681" spans="1:27" ht="24" customHeight="1" x14ac:dyDescent="0.3">
      <c r="A681" s="4"/>
      <c r="B681" s="4"/>
      <c r="C681" s="4"/>
      <c r="D681" s="4"/>
      <c r="E681" s="4"/>
      <c r="F681" s="4"/>
      <c r="G681" s="4"/>
      <c r="H681" s="4"/>
      <c r="I681" s="4"/>
      <c r="J681" s="4"/>
      <c r="K681" s="4"/>
      <c r="L681" s="4"/>
      <c r="M681" s="4"/>
      <c r="N681" s="4"/>
      <c r="O681" s="4"/>
      <c r="P681" s="4"/>
      <c r="Q681" s="4"/>
      <c r="R681" s="4"/>
      <c r="S681" s="47"/>
      <c r="T681" s="4"/>
      <c r="U681" s="4"/>
      <c r="V681" s="47"/>
      <c r="W681" s="4"/>
      <c r="X681" s="4"/>
      <c r="Y681" s="47"/>
      <c r="Z681" s="4"/>
      <c r="AA681" s="4"/>
    </row>
    <row r="682" spans="1:27" ht="24" customHeight="1" x14ac:dyDescent="0.3">
      <c r="A682" s="4"/>
      <c r="B682" s="4"/>
      <c r="C682" s="4"/>
      <c r="D682" s="4"/>
      <c r="E682" s="4"/>
      <c r="F682" s="4"/>
      <c r="G682" s="4"/>
      <c r="H682" s="4"/>
      <c r="I682" s="4"/>
      <c r="J682" s="4"/>
      <c r="K682" s="4"/>
      <c r="L682" s="4"/>
      <c r="M682" s="4"/>
      <c r="N682" s="4"/>
      <c r="O682" s="4"/>
      <c r="P682" s="4"/>
      <c r="Q682" s="4"/>
      <c r="R682" s="4"/>
      <c r="S682" s="47"/>
      <c r="T682" s="4"/>
      <c r="U682" s="4"/>
      <c r="V682" s="47"/>
      <c r="W682" s="4"/>
      <c r="X682" s="4"/>
      <c r="Y682" s="47"/>
      <c r="Z682" s="4"/>
      <c r="AA682" s="4"/>
    </row>
    <row r="683" spans="1:27" ht="24" customHeight="1" x14ac:dyDescent="0.3">
      <c r="A683" s="4"/>
      <c r="B683" s="4"/>
      <c r="C683" s="4"/>
      <c r="D683" s="4"/>
      <c r="E683" s="4"/>
      <c r="F683" s="4"/>
      <c r="G683" s="4"/>
      <c r="H683" s="4"/>
      <c r="I683" s="4"/>
      <c r="J683" s="4"/>
      <c r="K683" s="4"/>
      <c r="L683" s="4"/>
      <c r="M683" s="4"/>
      <c r="N683" s="4"/>
      <c r="O683" s="4"/>
      <c r="P683" s="4"/>
      <c r="Q683" s="4"/>
      <c r="R683" s="4"/>
      <c r="S683" s="47"/>
      <c r="T683" s="4"/>
      <c r="U683" s="4"/>
      <c r="V683" s="47"/>
      <c r="W683" s="4"/>
      <c r="X683" s="4"/>
      <c r="Y683" s="47"/>
      <c r="Z683" s="4"/>
      <c r="AA683" s="4"/>
    </row>
    <row r="684" spans="1:27" ht="24" customHeight="1" x14ac:dyDescent="0.3">
      <c r="A684" s="4"/>
      <c r="B684" s="4"/>
      <c r="C684" s="4"/>
      <c r="D684" s="4"/>
      <c r="E684" s="4"/>
      <c r="F684" s="4"/>
      <c r="G684" s="4"/>
      <c r="H684" s="4"/>
      <c r="I684" s="4"/>
      <c r="J684" s="4"/>
      <c r="K684" s="4"/>
      <c r="L684" s="4"/>
      <c r="M684" s="4"/>
      <c r="N684" s="4"/>
      <c r="O684" s="4"/>
      <c r="P684" s="4"/>
      <c r="Q684" s="4"/>
      <c r="R684" s="4"/>
      <c r="S684" s="47"/>
      <c r="T684" s="4"/>
      <c r="U684" s="4"/>
      <c r="V684" s="47"/>
      <c r="W684" s="4"/>
      <c r="X684" s="4"/>
      <c r="Y684" s="47"/>
      <c r="Z684" s="4"/>
      <c r="AA684" s="4"/>
    </row>
    <row r="685" spans="1:27" ht="24" customHeight="1" x14ac:dyDescent="0.3">
      <c r="A685" s="4"/>
      <c r="B685" s="4"/>
      <c r="C685" s="4"/>
      <c r="D685" s="4"/>
      <c r="E685" s="4"/>
      <c r="F685" s="4"/>
      <c r="G685" s="4"/>
      <c r="H685" s="4"/>
      <c r="I685" s="4"/>
      <c r="J685" s="4"/>
      <c r="K685" s="4"/>
      <c r="L685" s="4"/>
      <c r="M685" s="4"/>
      <c r="N685" s="4"/>
      <c r="O685" s="4"/>
      <c r="P685" s="4"/>
      <c r="Q685" s="4"/>
      <c r="R685" s="4"/>
      <c r="S685" s="47"/>
      <c r="T685" s="4"/>
      <c r="U685" s="4"/>
      <c r="V685" s="47"/>
      <c r="W685" s="4"/>
      <c r="X685" s="4"/>
      <c r="Y685" s="47"/>
      <c r="Z685" s="4"/>
      <c r="AA685" s="4"/>
    </row>
    <row r="686" spans="1:27" ht="24" customHeight="1" x14ac:dyDescent="0.3">
      <c r="A686" s="4"/>
      <c r="B686" s="4"/>
      <c r="C686" s="4"/>
      <c r="D686" s="4"/>
      <c r="E686" s="4"/>
      <c r="F686" s="4"/>
      <c r="G686" s="4"/>
      <c r="H686" s="4"/>
      <c r="I686" s="4"/>
      <c r="J686" s="4"/>
      <c r="K686" s="4"/>
      <c r="L686" s="4"/>
      <c r="M686" s="4"/>
      <c r="N686" s="4"/>
      <c r="O686" s="4"/>
      <c r="P686" s="4"/>
      <c r="Q686" s="4"/>
      <c r="R686" s="4"/>
      <c r="S686" s="47"/>
      <c r="T686" s="4"/>
      <c r="U686" s="4"/>
      <c r="V686" s="47"/>
      <c r="W686" s="4"/>
      <c r="X686" s="4"/>
      <c r="Y686" s="47"/>
      <c r="Z686" s="4"/>
      <c r="AA686" s="4"/>
    </row>
    <row r="687" spans="1:27" ht="24" customHeight="1" x14ac:dyDescent="0.3">
      <c r="A687" s="4"/>
      <c r="B687" s="4"/>
      <c r="C687" s="4"/>
      <c r="D687" s="4"/>
      <c r="E687" s="4"/>
      <c r="F687" s="4"/>
      <c r="G687" s="4"/>
      <c r="H687" s="4"/>
      <c r="I687" s="4"/>
      <c r="J687" s="4"/>
      <c r="K687" s="4"/>
      <c r="L687" s="4"/>
      <c r="M687" s="4"/>
      <c r="N687" s="4"/>
      <c r="O687" s="4"/>
      <c r="P687" s="4"/>
      <c r="Q687" s="4"/>
      <c r="R687" s="4"/>
      <c r="S687" s="47"/>
      <c r="T687" s="4"/>
      <c r="U687" s="4"/>
      <c r="V687" s="47"/>
      <c r="W687" s="4"/>
      <c r="X687" s="4"/>
      <c r="Y687" s="47"/>
      <c r="Z687" s="4"/>
      <c r="AA687" s="4"/>
    </row>
    <row r="688" spans="1:27" ht="24" customHeight="1" x14ac:dyDescent="0.3">
      <c r="A688" s="4"/>
      <c r="B688" s="4"/>
      <c r="C688" s="4"/>
      <c r="D688" s="4"/>
      <c r="E688" s="4"/>
      <c r="F688" s="4"/>
      <c r="G688" s="4"/>
      <c r="H688" s="4"/>
      <c r="I688" s="4"/>
      <c r="J688" s="4"/>
      <c r="K688" s="4"/>
      <c r="L688" s="4"/>
      <c r="M688" s="4"/>
      <c r="N688" s="4"/>
      <c r="O688" s="4"/>
      <c r="P688" s="4"/>
      <c r="Q688" s="4"/>
      <c r="R688" s="4"/>
      <c r="S688" s="47"/>
      <c r="T688" s="4"/>
      <c r="U688" s="4"/>
      <c r="V688" s="47"/>
      <c r="W688" s="4"/>
      <c r="X688" s="4"/>
      <c r="Y688" s="47"/>
      <c r="Z688" s="4"/>
      <c r="AA688" s="4"/>
    </row>
    <row r="689" spans="1:27" ht="24" customHeight="1" x14ac:dyDescent="0.3">
      <c r="A689" s="4"/>
      <c r="B689" s="4"/>
      <c r="C689" s="4"/>
      <c r="D689" s="4"/>
      <c r="E689" s="4"/>
      <c r="F689" s="4"/>
      <c r="G689" s="4"/>
      <c r="H689" s="4"/>
      <c r="I689" s="4"/>
      <c r="J689" s="4"/>
      <c r="K689" s="4"/>
      <c r="L689" s="4"/>
      <c r="M689" s="4"/>
      <c r="N689" s="4"/>
      <c r="O689" s="4"/>
      <c r="P689" s="4"/>
      <c r="Q689" s="4"/>
      <c r="R689" s="4"/>
      <c r="S689" s="47"/>
      <c r="T689" s="4"/>
      <c r="U689" s="4"/>
      <c r="V689" s="47"/>
      <c r="W689" s="4"/>
      <c r="X689" s="4"/>
      <c r="Y689" s="47"/>
      <c r="Z689" s="4"/>
      <c r="AA689" s="4"/>
    </row>
    <row r="690" spans="1:27" ht="24" customHeight="1" x14ac:dyDescent="0.3">
      <c r="A690" s="4"/>
      <c r="B690" s="4"/>
      <c r="C690" s="4"/>
      <c r="D690" s="4"/>
      <c r="E690" s="4"/>
      <c r="F690" s="4"/>
      <c r="G690" s="4"/>
      <c r="H690" s="4"/>
      <c r="I690" s="4"/>
      <c r="J690" s="4"/>
      <c r="K690" s="4"/>
      <c r="L690" s="4"/>
      <c r="M690" s="4"/>
      <c r="N690" s="4"/>
      <c r="O690" s="4"/>
      <c r="P690" s="4"/>
      <c r="Q690" s="4"/>
      <c r="R690" s="4"/>
      <c r="S690" s="47"/>
      <c r="T690" s="4"/>
      <c r="U690" s="4"/>
      <c r="V690" s="47"/>
      <c r="W690" s="4"/>
      <c r="X690" s="4"/>
      <c r="Y690" s="47"/>
      <c r="Z690" s="4"/>
      <c r="AA690" s="4"/>
    </row>
    <row r="691" spans="1:27" ht="24" customHeight="1" x14ac:dyDescent="0.3">
      <c r="A691" s="4"/>
      <c r="B691" s="4"/>
      <c r="C691" s="4"/>
      <c r="D691" s="4"/>
      <c r="E691" s="4"/>
      <c r="F691" s="4"/>
      <c r="G691" s="4"/>
      <c r="H691" s="4"/>
      <c r="I691" s="4"/>
      <c r="J691" s="4"/>
      <c r="K691" s="4"/>
      <c r="L691" s="4"/>
      <c r="M691" s="4"/>
      <c r="N691" s="4"/>
      <c r="O691" s="4"/>
      <c r="P691" s="4"/>
      <c r="Q691" s="4"/>
      <c r="R691" s="4"/>
      <c r="S691" s="47"/>
      <c r="T691" s="4"/>
      <c r="U691" s="4"/>
      <c r="V691" s="47"/>
      <c r="W691" s="4"/>
      <c r="X691" s="4"/>
      <c r="Y691" s="47"/>
      <c r="Z691" s="4"/>
      <c r="AA691" s="4"/>
    </row>
    <row r="692" spans="1:27" ht="24" customHeight="1" x14ac:dyDescent="0.3">
      <c r="A692" s="4"/>
      <c r="B692" s="4"/>
      <c r="C692" s="4"/>
      <c r="D692" s="4"/>
      <c r="E692" s="4"/>
      <c r="F692" s="4"/>
      <c r="G692" s="4"/>
      <c r="H692" s="4"/>
      <c r="I692" s="4"/>
      <c r="J692" s="4"/>
      <c r="K692" s="4"/>
      <c r="L692" s="4"/>
      <c r="M692" s="4"/>
      <c r="N692" s="4"/>
      <c r="O692" s="4"/>
      <c r="P692" s="4"/>
      <c r="Q692" s="4"/>
      <c r="R692" s="4"/>
      <c r="S692" s="47"/>
      <c r="T692" s="4"/>
      <c r="U692" s="4"/>
      <c r="V692" s="47"/>
      <c r="W692" s="4"/>
      <c r="X692" s="4"/>
      <c r="Y692" s="47"/>
      <c r="Z692" s="4"/>
      <c r="AA692" s="4"/>
    </row>
    <row r="693" spans="1:27" ht="24" customHeight="1" x14ac:dyDescent="0.3">
      <c r="A693" s="4"/>
      <c r="B693" s="4"/>
      <c r="C693" s="4"/>
      <c r="D693" s="4"/>
      <c r="E693" s="4"/>
      <c r="F693" s="4"/>
      <c r="G693" s="4"/>
      <c r="H693" s="4"/>
      <c r="I693" s="4"/>
      <c r="J693" s="4"/>
      <c r="K693" s="4"/>
      <c r="L693" s="4"/>
      <c r="M693" s="4"/>
      <c r="N693" s="4"/>
      <c r="O693" s="4"/>
      <c r="P693" s="4"/>
      <c r="Q693" s="4"/>
      <c r="R693" s="4"/>
      <c r="S693" s="47"/>
      <c r="T693" s="4"/>
      <c r="U693" s="4"/>
      <c r="V693" s="47"/>
      <c r="W693" s="4"/>
      <c r="X693" s="4"/>
      <c r="Y693" s="47"/>
      <c r="Z693" s="4"/>
      <c r="AA693" s="4"/>
    </row>
    <row r="694" spans="1:27" ht="24" customHeight="1" x14ac:dyDescent="0.3">
      <c r="A694" s="4"/>
      <c r="B694" s="4"/>
      <c r="C694" s="4"/>
      <c r="D694" s="4"/>
      <c r="E694" s="4"/>
      <c r="F694" s="4"/>
      <c r="G694" s="4"/>
      <c r="H694" s="4"/>
      <c r="I694" s="4"/>
      <c r="J694" s="4"/>
      <c r="K694" s="4"/>
      <c r="L694" s="4"/>
      <c r="M694" s="4"/>
      <c r="N694" s="4"/>
      <c r="O694" s="4"/>
      <c r="P694" s="4"/>
      <c r="Q694" s="4"/>
      <c r="R694" s="4"/>
      <c r="S694" s="47"/>
      <c r="T694" s="4"/>
      <c r="U694" s="4"/>
      <c r="V694" s="47"/>
      <c r="W694" s="4"/>
      <c r="X694" s="4"/>
      <c r="Y694" s="47"/>
      <c r="Z694" s="4"/>
      <c r="AA694" s="4"/>
    </row>
    <row r="695" spans="1:27" ht="24" customHeight="1" x14ac:dyDescent="0.3">
      <c r="A695" s="4"/>
      <c r="B695" s="4"/>
      <c r="C695" s="4"/>
      <c r="D695" s="4"/>
      <c r="E695" s="4"/>
      <c r="F695" s="4"/>
      <c r="G695" s="4"/>
      <c r="H695" s="4"/>
      <c r="I695" s="4"/>
      <c r="J695" s="4"/>
      <c r="K695" s="4"/>
      <c r="L695" s="4"/>
      <c r="M695" s="4"/>
      <c r="N695" s="4"/>
      <c r="O695" s="4"/>
      <c r="P695" s="4"/>
      <c r="Q695" s="4"/>
      <c r="R695" s="4"/>
      <c r="S695" s="47"/>
      <c r="T695" s="4"/>
      <c r="U695" s="4"/>
      <c r="V695" s="47"/>
      <c r="W695" s="4"/>
      <c r="X695" s="4"/>
      <c r="Y695" s="47"/>
      <c r="Z695" s="4"/>
      <c r="AA695" s="4"/>
    </row>
    <row r="696" spans="1:27" ht="24" customHeight="1" x14ac:dyDescent="0.3">
      <c r="A696" s="4"/>
      <c r="B696" s="4"/>
      <c r="C696" s="4"/>
      <c r="D696" s="4"/>
      <c r="E696" s="4"/>
      <c r="F696" s="4"/>
      <c r="G696" s="4"/>
      <c r="H696" s="4"/>
      <c r="I696" s="4"/>
      <c r="J696" s="4"/>
      <c r="K696" s="4"/>
      <c r="L696" s="4"/>
      <c r="M696" s="4"/>
      <c r="N696" s="4"/>
      <c r="O696" s="4"/>
      <c r="P696" s="4"/>
      <c r="Q696" s="4"/>
      <c r="R696" s="4"/>
      <c r="S696" s="47"/>
      <c r="T696" s="4"/>
      <c r="U696" s="4"/>
      <c r="V696" s="47"/>
      <c r="W696" s="4"/>
      <c r="X696" s="4"/>
      <c r="Y696" s="47"/>
      <c r="Z696" s="4"/>
      <c r="AA696" s="4"/>
    </row>
    <row r="697" spans="1:27" ht="24" customHeight="1" x14ac:dyDescent="0.3">
      <c r="A697" s="4"/>
      <c r="B697" s="4"/>
      <c r="C697" s="4"/>
      <c r="D697" s="4"/>
      <c r="E697" s="4"/>
      <c r="F697" s="4"/>
      <c r="G697" s="4"/>
      <c r="H697" s="4"/>
      <c r="I697" s="4"/>
      <c r="J697" s="4"/>
      <c r="K697" s="4"/>
      <c r="L697" s="4"/>
      <c r="M697" s="4"/>
      <c r="N697" s="4"/>
      <c r="O697" s="4"/>
      <c r="P697" s="4"/>
      <c r="Q697" s="4"/>
      <c r="R697" s="4"/>
      <c r="S697" s="47"/>
      <c r="T697" s="4"/>
      <c r="U697" s="4"/>
      <c r="V697" s="47"/>
      <c r="W697" s="4"/>
      <c r="X697" s="4"/>
      <c r="Y697" s="47"/>
      <c r="Z697" s="4"/>
      <c r="AA697" s="4"/>
    </row>
    <row r="698" spans="1:27" ht="24" customHeight="1" x14ac:dyDescent="0.3">
      <c r="A698" s="4"/>
      <c r="B698" s="4"/>
      <c r="C698" s="4"/>
      <c r="D698" s="4"/>
      <c r="E698" s="4"/>
      <c r="F698" s="4"/>
      <c r="G698" s="4"/>
      <c r="H698" s="4"/>
      <c r="I698" s="4"/>
      <c r="J698" s="4"/>
      <c r="K698" s="4"/>
      <c r="L698" s="4"/>
      <c r="M698" s="4"/>
      <c r="N698" s="4"/>
      <c r="O698" s="4"/>
      <c r="P698" s="4"/>
      <c r="Q698" s="4"/>
      <c r="R698" s="4"/>
      <c r="S698" s="47"/>
      <c r="T698" s="4"/>
      <c r="U698" s="4"/>
      <c r="V698" s="47"/>
      <c r="W698" s="4"/>
      <c r="X698" s="4"/>
      <c r="Y698" s="47"/>
      <c r="Z698" s="4"/>
      <c r="AA698" s="4"/>
    </row>
    <row r="699" spans="1:27" ht="24" customHeight="1" x14ac:dyDescent="0.3">
      <c r="A699" s="4"/>
      <c r="B699" s="4"/>
      <c r="C699" s="4"/>
      <c r="D699" s="4"/>
      <c r="E699" s="4"/>
      <c r="F699" s="4"/>
      <c r="G699" s="4"/>
      <c r="H699" s="4"/>
      <c r="I699" s="4"/>
      <c r="J699" s="4"/>
      <c r="K699" s="4"/>
      <c r="L699" s="4"/>
      <c r="M699" s="4"/>
      <c r="N699" s="4"/>
      <c r="O699" s="4"/>
      <c r="P699" s="4"/>
      <c r="Q699" s="4"/>
      <c r="R699" s="4"/>
      <c r="S699" s="47"/>
      <c r="T699" s="4"/>
      <c r="U699" s="4"/>
      <c r="V699" s="47"/>
      <c r="W699" s="4"/>
      <c r="X699" s="4"/>
      <c r="Y699" s="47"/>
      <c r="Z699" s="4"/>
      <c r="AA699" s="4"/>
    </row>
    <row r="700" spans="1:27" ht="24" customHeight="1" x14ac:dyDescent="0.3">
      <c r="A700" s="4"/>
      <c r="B700" s="4"/>
      <c r="C700" s="4"/>
      <c r="D700" s="4"/>
      <c r="E700" s="4"/>
      <c r="F700" s="4"/>
      <c r="G700" s="4"/>
      <c r="H700" s="4"/>
      <c r="I700" s="4"/>
      <c r="J700" s="4"/>
      <c r="K700" s="4"/>
      <c r="L700" s="4"/>
      <c r="M700" s="4"/>
      <c r="N700" s="4"/>
      <c r="O700" s="4"/>
      <c r="P700" s="4"/>
      <c r="Q700" s="4"/>
      <c r="R700" s="4"/>
      <c r="S700" s="47"/>
      <c r="T700" s="4"/>
      <c r="U700" s="4"/>
      <c r="V700" s="47"/>
      <c r="W700" s="4"/>
      <c r="X700" s="4"/>
      <c r="Y700" s="47"/>
      <c r="Z700" s="4"/>
      <c r="AA700" s="4"/>
    </row>
    <row r="701" spans="1:27" ht="24" customHeight="1" x14ac:dyDescent="0.3">
      <c r="A701" s="4"/>
      <c r="B701" s="4"/>
      <c r="C701" s="4"/>
      <c r="D701" s="4"/>
      <c r="E701" s="4"/>
      <c r="F701" s="4"/>
      <c r="G701" s="4"/>
      <c r="H701" s="4"/>
      <c r="I701" s="4"/>
      <c r="J701" s="4"/>
      <c r="K701" s="4"/>
      <c r="L701" s="4"/>
      <c r="M701" s="4"/>
      <c r="N701" s="4"/>
      <c r="O701" s="4"/>
      <c r="P701" s="4"/>
      <c r="Q701" s="4"/>
      <c r="R701" s="4"/>
      <c r="S701" s="47"/>
      <c r="T701" s="4"/>
      <c r="U701" s="4"/>
      <c r="V701" s="47"/>
      <c r="W701" s="4"/>
      <c r="X701" s="4"/>
      <c r="Y701" s="47"/>
      <c r="Z701" s="4"/>
      <c r="AA701" s="4"/>
    </row>
    <row r="702" spans="1:27" ht="24" customHeight="1" x14ac:dyDescent="0.3">
      <c r="A702" s="4"/>
      <c r="B702" s="4"/>
      <c r="C702" s="4"/>
      <c r="D702" s="4"/>
      <c r="E702" s="4"/>
      <c r="F702" s="4"/>
      <c r="G702" s="4"/>
      <c r="H702" s="4"/>
      <c r="I702" s="4"/>
      <c r="J702" s="4"/>
      <c r="K702" s="4"/>
      <c r="L702" s="4"/>
      <c r="M702" s="4"/>
      <c r="N702" s="4"/>
      <c r="O702" s="4"/>
      <c r="P702" s="4"/>
      <c r="Q702" s="4"/>
      <c r="R702" s="4"/>
      <c r="S702" s="47"/>
      <c r="T702" s="4"/>
      <c r="U702" s="4"/>
      <c r="V702" s="47"/>
      <c r="W702" s="4"/>
      <c r="X702" s="4"/>
      <c r="Y702" s="47"/>
      <c r="Z702" s="4"/>
      <c r="AA702" s="4"/>
    </row>
    <row r="703" spans="1:27" ht="24" customHeight="1" x14ac:dyDescent="0.3">
      <c r="A703" s="4"/>
      <c r="B703" s="4"/>
      <c r="C703" s="4"/>
      <c r="D703" s="4"/>
      <c r="E703" s="4"/>
      <c r="F703" s="4"/>
      <c r="G703" s="4"/>
      <c r="H703" s="4"/>
      <c r="I703" s="4"/>
      <c r="J703" s="4"/>
      <c r="K703" s="4"/>
      <c r="L703" s="4"/>
      <c r="M703" s="4"/>
      <c r="N703" s="4"/>
      <c r="O703" s="4"/>
      <c r="P703" s="4"/>
      <c r="Q703" s="4"/>
      <c r="R703" s="4"/>
      <c r="S703" s="47"/>
      <c r="T703" s="4"/>
      <c r="U703" s="4"/>
      <c r="V703" s="47"/>
      <c r="W703" s="4"/>
      <c r="X703" s="4"/>
      <c r="Y703" s="47"/>
      <c r="Z703" s="4"/>
      <c r="AA703" s="4"/>
    </row>
    <row r="704" spans="1:27" ht="24" customHeight="1" x14ac:dyDescent="0.3">
      <c r="A704" s="4"/>
      <c r="B704" s="4"/>
      <c r="C704" s="4"/>
      <c r="D704" s="4"/>
      <c r="E704" s="4"/>
      <c r="F704" s="4"/>
      <c r="G704" s="4"/>
      <c r="H704" s="4"/>
      <c r="I704" s="4"/>
      <c r="J704" s="4"/>
      <c r="K704" s="4"/>
      <c r="L704" s="4"/>
      <c r="M704" s="4"/>
      <c r="N704" s="4"/>
      <c r="O704" s="4"/>
      <c r="P704" s="4"/>
      <c r="Q704" s="4"/>
      <c r="R704" s="4"/>
      <c r="S704" s="47"/>
      <c r="T704" s="4"/>
      <c r="U704" s="4"/>
      <c r="V704" s="47"/>
      <c r="W704" s="4"/>
      <c r="X704" s="4"/>
      <c r="Y704" s="47"/>
      <c r="Z704" s="4"/>
      <c r="AA704" s="4"/>
    </row>
    <row r="705" spans="1:27" ht="24" customHeight="1" x14ac:dyDescent="0.3">
      <c r="A705" s="4"/>
      <c r="B705" s="4"/>
      <c r="C705" s="4"/>
      <c r="D705" s="4"/>
      <c r="E705" s="4"/>
      <c r="F705" s="4"/>
      <c r="G705" s="4"/>
      <c r="H705" s="4"/>
      <c r="I705" s="4"/>
      <c r="J705" s="4"/>
      <c r="K705" s="4"/>
      <c r="L705" s="4"/>
      <c r="M705" s="4"/>
      <c r="N705" s="4"/>
      <c r="O705" s="4"/>
      <c r="P705" s="4"/>
      <c r="Q705" s="4"/>
      <c r="R705" s="4"/>
      <c r="S705" s="47"/>
      <c r="T705" s="4"/>
      <c r="U705" s="4"/>
      <c r="V705" s="47"/>
      <c r="W705" s="4"/>
      <c r="X705" s="4"/>
      <c r="Y705" s="47"/>
      <c r="Z705" s="4"/>
      <c r="AA705" s="4"/>
    </row>
    <row r="706" spans="1:27" ht="24" customHeight="1" x14ac:dyDescent="0.3">
      <c r="A706" s="4"/>
      <c r="B706" s="4"/>
      <c r="C706" s="4"/>
      <c r="D706" s="4"/>
      <c r="E706" s="4"/>
      <c r="F706" s="4"/>
      <c r="G706" s="4"/>
      <c r="H706" s="4"/>
      <c r="I706" s="4"/>
      <c r="J706" s="4"/>
      <c r="K706" s="4"/>
      <c r="L706" s="4"/>
      <c r="M706" s="4"/>
      <c r="N706" s="4"/>
      <c r="O706" s="4"/>
      <c r="P706" s="4"/>
      <c r="Q706" s="4"/>
      <c r="R706" s="4"/>
      <c r="S706" s="47"/>
      <c r="T706" s="4"/>
      <c r="U706" s="4"/>
      <c r="V706" s="47"/>
      <c r="W706" s="4"/>
      <c r="X706" s="4"/>
      <c r="Y706" s="47"/>
      <c r="Z706" s="4"/>
      <c r="AA706" s="4"/>
    </row>
    <row r="707" spans="1:27" ht="24" customHeight="1" x14ac:dyDescent="0.3">
      <c r="A707" s="4"/>
      <c r="B707" s="4"/>
      <c r="C707" s="4"/>
      <c r="D707" s="4"/>
      <c r="E707" s="4"/>
      <c r="F707" s="4"/>
      <c r="G707" s="4"/>
      <c r="H707" s="4"/>
      <c r="I707" s="4"/>
      <c r="J707" s="4"/>
      <c r="K707" s="4"/>
      <c r="L707" s="4"/>
      <c r="M707" s="4"/>
      <c r="N707" s="4"/>
      <c r="O707" s="4"/>
      <c r="P707" s="4"/>
      <c r="Q707" s="4"/>
      <c r="R707" s="4"/>
      <c r="S707" s="47"/>
      <c r="T707" s="4"/>
      <c r="U707" s="4"/>
      <c r="V707" s="47"/>
      <c r="W707" s="4"/>
      <c r="X707" s="4"/>
      <c r="Y707" s="47"/>
      <c r="Z707" s="4"/>
      <c r="AA707" s="4"/>
    </row>
    <row r="708" spans="1:27" ht="24" customHeight="1" x14ac:dyDescent="0.3">
      <c r="A708" s="4"/>
      <c r="B708" s="4"/>
      <c r="C708" s="4"/>
      <c r="D708" s="4"/>
      <c r="E708" s="4"/>
      <c r="F708" s="4"/>
      <c r="G708" s="4"/>
      <c r="H708" s="4"/>
      <c r="I708" s="4"/>
      <c r="J708" s="4"/>
      <c r="K708" s="4"/>
      <c r="L708" s="4"/>
      <c r="M708" s="4"/>
      <c r="N708" s="4"/>
      <c r="O708" s="4"/>
      <c r="P708" s="4"/>
      <c r="Q708" s="4"/>
      <c r="R708" s="4"/>
      <c r="S708" s="47"/>
      <c r="T708" s="4"/>
      <c r="U708" s="4"/>
      <c r="V708" s="47"/>
      <c r="W708" s="4"/>
      <c r="X708" s="4"/>
      <c r="Y708" s="47"/>
      <c r="Z708" s="4"/>
      <c r="AA708" s="4"/>
    </row>
    <row r="709" spans="1:27" ht="24" customHeight="1" x14ac:dyDescent="0.3">
      <c r="A709" s="4"/>
      <c r="B709" s="4"/>
      <c r="C709" s="4"/>
      <c r="D709" s="4"/>
      <c r="E709" s="4"/>
      <c r="F709" s="4"/>
      <c r="G709" s="4"/>
      <c r="H709" s="4"/>
      <c r="I709" s="4"/>
      <c r="J709" s="4"/>
      <c r="K709" s="4"/>
      <c r="L709" s="4"/>
      <c r="M709" s="4"/>
      <c r="N709" s="4"/>
      <c r="O709" s="4"/>
      <c r="P709" s="4"/>
      <c r="Q709" s="4"/>
      <c r="R709" s="4"/>
      <c r="S709" s="47"/>
      <c r="T709" s="4"/>
      <c r="U709" s="4"/>
      <c r="V709" s="47"/>
      <c r="W709" s="4"/>
      <c r="X709" s="4"/>
      <c r="Y709" s="47"/>
      <c r="Z709" s="4"/>
      <c r="AA709" s="4"/>
    </row>
    <row r="710" spans="1:27" ht="24" customHeight="1" x14ac:dyDescent="0.3">
      <c r="A710" s="4"/>
      <c r="B710" s="4"/>
      <c r="C710" s="4"/>
      <c r="D710" s="4"/>
      <c r="E710" s="4"/>
      <c r="F710" s="4"/>
      <c r="G710" s="4"/>
      <c r="H710" s="4"/>
      <c r="I710" s="4"/>
      <c r="J710" s="4"/>
      <c r="K710" s="4"/>
      <c r="L710" s="4"/>
      <c r="M710" s="4"/>
      <c r="N710" s="4"/>
      <c r="O710" s="4"/>
      <c r="P710" s="4"/>
      <c r="Q710" s="4"/>
      <c r="R710" s="4"/>
      <c r="S710" s="47"/>
      <c r="T710" s="4"/>
      <c r="U710" s="4"/>
      <c r="V710" s="47"/>
      <c r="W710" s="4"/>
      <c r="X710" s="4"/>
      <c r="Y710" s="47"/>
      <c r="Z710" s="4"/>
      <c r="AA710" s="4"/>
    </row>
    <row r="711" spans="1:27" ht="24" customHeight="1" x14ac:dyDescent="0.3">
      <c r="A711" s="4"/>
      <c r="B711" s="4"/>
      <c r="C711" s="4"/>
      <c r="D711" s="4"/>
      <c r="E711" s="4"/>
      <c r="F711" s="4"/>
      <c r="G711" s="4"/>
      <c r="H711" s="4"/>
      <c r="I711" s="4"/>
      <c r="J711" s="4"/>
      <c r="K711" s="4"/>
      <c r="L711" s="4"/>
      <c r="M711" s="4"/>
      <c r="N711" s="4"/>
      <c r="O711" s="4"/>
      <c r="P711" s="4"/>
      <c r="Q711" s="4"/>
      <c r="R711" s="4"/>
      <c r="S711" s="47"/>
      <c r="T711" s="4"/>
      <c r="U711" s="4"/>
      <c r="V711" s="47"/>
      <c r="W711" s="4"/>
      <c r="X711" s="4"/>
      <c r="Y711" s="47"/>
      <c r="Z711" s="4"/>
      <c r="AA711" s="4"/>
    </row>
    <row r="712" spans="1:27" ht="24" customHeight="1" x14ac:dyDescent="0.3">
      <c r="A712" s="4"/>
      <c r="B712" s="4"/>
      <c r="C712" s="4"/>
      <c r="D712" s="4"/>
      <c r="E712" s="4"/>
      <c r="F712" s="4"/>
      <c r="G712" s="4"/>
      <c r="H712" s="4"/>
      <c r="I712" s="4"/>
      <c r="J712" s="4"/>
      <c r="K712" s="4"/>
      <c r="L712" s="4"/>
      <c r="M712" s="4"/>
      <c r="N712" s="4"/>
      <c r="O712" s="4"/>
      <c r="P712" s="4"/>
      <c r="Q712" s="4"/>
      <c r="R712" s="4"/>
      <c r="S712" s="47"/>
      <c r="T712" s="4"/>
      <c r="U712" s="4"/>
      <c r="V712" s="47"/>
      <c r="W712" s="4"/>
      <c r="X712" s="4"/>
      <c r="Y712" s="47"/>
      <c r="Z712" s="4"/>
      <c r="AA712" s="4"/>
    </row>
    <row r="713" spans="1:27" ht="24" customHeight="1" x14ac:dyDescent="0.3">
      <c r="A713" s="4"/>
      <c r="B713" s="4"/>
      <c r="C713" s="4"/>
      <c r="D713" s="4"/>
      <c r="E713" s="4"/>
      <c r="F713" s="4"/>
      <c r="G713" s="4"/>
      <c r="H713" s="4"/>
      <c r="I713" s="4"/>
      <c r="J713" s="4"/>
      <c r="K713" s="4"/>
      <c r="L713" s="4"/>
      <c r="M713" s="4"/>
      <c r="N713" s="4"/>
      <c r="O713" s="4"/>
      <c r="P713" s="4"/>
      <c r="Q713" s="4"/>
      <c r="R713" s="4"/>
      <c r="S713" s="47"/>
      <c r="T713" s="4"/>
      <c r="U713" s="4"/>
      <c r="V713" s="47"/>
      <c r="W713" s="4"/>
      <c r="X713" s="4"/>
      <c r="Y713" s="47"/>
      <c r="Z713" s="4"/>
      <c r="AA713" s="4"/>
    </row>
    <row r="714" spans="1:27" ht="24" customHeight="1" x14ac:dyDescent="0.3">
      <c r="A714" s="4"/>
      <c r="B714" s="4"/>
      <c r="C714" s="4"/>
      <c r="D714" s="4"/>
      <c r="E714" s="4"/>
      <c r="F714" s="4"/>
      <c r="G714" s="4"/>
      <c r="H714" s="4"/>
      <c r="I714" s="4"/>
      <c r="J714" s="4"/>
      <c r="K714" s="4"/>
      <c r="L714" s="4"/>
      <c r="M714" s="4"/>
      <c r="N714" s="4"/>
      <c r="O714" s="4"/>
      <c r="P714" s="4"/>
      <c r="Q714" s="4"/>
      <c r="R714" s="4"/>
      <c r="S714" s="47"/>
      <c r="T714" s="4"/>
      <c r="U714" s="4"/>
      <c r="V714" s="47"/>
      <c r="W714" s="4"/>
      <c r="X714" s="4"/>
      <c r="Y714" s="47"/>
      <c r="Z714" s="4"/>
      <c r="AA714" s="4"/>
    </row>
    <row r="715" spans="1:27" ht="24" customHeight="1" x14ac:dyDescent="0.3">
      <c r="A715" s="4"/>
      <c r="B715" s="4"/>
      <c r="C715" s="4"/>
      <c r="D715" s="4"/>
      <c r="E715" s="4"/>
      <c r="F715" s="4"/>
      <c r="G715" s="4"/>
      <c r="H715" s="4"/>
      <c r="I715" s="4"/>
      <c r="J715" s="4"/>
      <c r="K715" s="4"/>
      <c r="L715" s="4"/>
      <c r="M715" s="4"/>
      <c r="N715" s="4"/>
      <c r="O715" s="4"/>
      <c r="P715" s="4"/>
      <c r="Q715" s="4"/>
      <c r="R715" s="4"/>
      <c r="S715" s="47"/>
      <c r="T715" s="4"/>
      <c r="U715" s="4"/>
      <c r="V715" s="47"/>
      <c r="W715" s="4"/>
      <c r="X715" s="4"/>
      <c r="Y715" s="47"/>
      <c r="Z715" s="4"/>
      <c r="AA715" s="4"/>
    </row>
    <row r="716" spans="1:27" ht="24" customHeight="1" x14ac:dyDescent="0.3">
      <c r="A716" s="4"/>
      <c r="B716" s="4"/>
      <c r="C716" s="4"/>
      <c r="D716" s="4"/>
      <c r="E716" s="4"/>
      <c r="F716" s="4"/>
      <c r="G716" s="4"/>
      <c r="H716" s="4"/>
      <c r="I716" s="4"/>
      <c r="J716" s="4"/>
      <c r="K716" s="4"/>
      <c r="L716" s="4"/>
      <c r="M716" s="4"/>
      <c r="N716" s="4"/>
      <c r="O716" s="4"/>
      <c r="P716" s="4"/>
      <c r="Q716" s="4"/>
      <c r="R716" s="4"/>
      <c r="S716" s="47"/>
      <c r="T716" s="4"/>
      <c r="U716" s="4"/>
      <c r="V716" s="47"/>
      <c r="W716" s="4"/>
      <c r="X716" s="4"/>
      <c r="Y716" s="47"/>
      <c r="Z716" s="4"/>
      <c r="AA716" s="4"/>
    </row>
    <row r="717" spans="1:27" ht="24" customHeight="1" x14ac:dyDescent="0.3">
      <c r="A717" s="4"/>
      <c r="B717" s="4"/>
      <c r="C717" s="4"/>
      <c r="D717" s="4"/>
      <c r="E717" s="4"/>
      <c r="F717" s="4"/>
      <c r="G717" s="4"/>
      <c r="H717" s="4"/>
      <c r="I717" s="4"/>
      <c r="J717" s="4"/>
      <c r="K717" s="4"/>
      <c r="L717" s="4"/>
      <c r="M717" s="4"/>
      <c r="N717" s="4"/>
      <c r="O717" s="4"/>
      <c r="P717" s="4"/>
      <c r="Q717" s="4"/>
      <c r="R717" s="4"/>
      <c r="S717" s="47"/>
      <c r="T717" s="4"/>
      <c r="U717" s="4"/>
      <c r="V717" s="47"/>
      <c r="W717" s="4"/>
      <c r="X717" s="4"/>
      <c r="Y717" s="47"/>
      <c r="Z717" s="4"/>
      <c r="AA717" s="4"/>
    </row>
    <row r="718" spans="1:27" ht="24" customHeight="1" x14ac:dyDescent="0.3">
      <c r="A718" s="4"/>
      <c r="B718" s="4"/>
      <c r="C718" s="4"/>
      <c r="D718" s="4"/>
      <c r="E718" s="4"/>
      <c r="F718" s="4"/>
      <c r="G718" s="4"/>
      <c r="H718" s="4"/>
      <c r="I718" s="4"/>
      <c r="J718" s="4"/>
      <c r="K718" s="4"/>
      <c r="L718" s="4"/>
      <c r="M718" s="4"/>
      <c r="N718" s="4"/>
      <c r="O718" s="4"/>
      <c r="P718" s="4"/>
      <c r="Q718" s="4"/>
      <c r="R718" s="4"/>
      <c r="S718" s="47"/>
      <c r="T718" s="4"/>
      <c r="U718" s="4"/>
      <c r="V718" s="47"/>
      <c r="W718" s="4"/>
      <c r="X718" s="4"/>
      <c r="Y718" s="47"/>
      <c r="Z718" s="4"/>
      <c r="AA718" s="4"/>
    </row>
    <row r="719" spans="1:27" ht="24" customHeight="1" x14ac:dyDescent="0.3">
      <c r="A719" s="4"/>
      <c r="B719" s="4"/>
      <c r="C719" s="4"/>
      <c r="D719" s="4"/>
      <c r="E719" s="4"/>
      <c r="F719" s="4"/>
      <c r="G719" s="4"/>
      <c r="H719" s="4"/>
      <c r="I719" s="4"/>
      <c r="J719" s="4"/>
      <c r="K719" s="4"/>
      <c r="L719" s="4"/>
      <c r="M719" s="4"/>
      <c r="N719" s="4"/>
      <c r="O719" s="4"/>
      <c r="P719" s="4"/>
      <c r="Q719" s="4"/>
      <c r="R719" s="4"/>
      <c r="S719" s="47"/>
      <c r="T719" s="4"/>
      <c r="U719" s="4"/>
      <c r="V719" s="47"/>
      <c r="W719" s="4"/>
      <c r="X719" s="4"/>
      <c r="Y719" s="47"/>
      <c r="Z719" s="4"/>
      <c r="AA719" s="4"/>
    </row>
    <row r="720" spans="1:27" ht="24" customHeight="1" x14ac:dyDescent="0.3">
      <c r="A720" s="4"/>
      <c r="B720" s="4"/>
      <c r="C720" s="4"/>
      <c r="D720" s="4"/>
      <c r="E720" s="4"/>
      <c r="F720" s="4"/>
      <c r="G720" s="4"/>
      <c r="H720" s="4"/>
      <c r="I720" s="4"/>
      <c r="J720" s="4"/>
      <c r="K720" s="4"/>
      <c r="L720" s="4"/>
      <c r="M720" s="4"/>
      <c r="N720" s="4"/>
      <c r="O720" s="4"/>
      <c r="P720" s="4"/>
      <c r="Q720" s="4"/>
      <c r="R720" s="4"/>
      <c r="S720" s="47"/>
      <c r="T720" s="4"/>
      <c r="U720" s="4"/>
      <c r="V720" s="47"/>
      <c r="W720" s="4"/>
      <c r="X720" s="4"/>
      <c r="Y720" s="47"/>
      <c r="Z720" s="4"/>
      <c r="AA720" s="4"/>
    </row>
    <row r="721" spans="1:27" ht="24" customHeight="1" x14ac:dyDescent="0.3">
      <c r="A721" s="4"/>
      <c r="B721" s="4"/>
      <c r="C721" s="4"/>
      <c r="D721" s="4"/>
      <c r="E721" s="4"/>
      <c r="F721" s="4"/>
      <c r="G721" s="4"/>
      <c r="H721" s="4"/>
      <c r="I721" s="4"/>
      <c r="J721" s="4"/>
      <c r="K721" s="4"/>
      <c r="L721" s="4"/>
      <c r="M721" s="4"/>
      <c r="N721" s="4"/>
      <c r="O721" s="4"/>
      <c r="P721" s="4"/>
      <c r="Q721" s="4"/>
      <c r="R721" s="4"/>
      <c r="S721" s="47"/>
      <c r="T721" s="4"/>
      <c r="U721" s="4"/>
      <c r="V721" s="47"/>
      <c r="W721" s="4"/>
      <c r="X721" s="4"/>
      <c r="Y721" s="47"/>
      <c r="Z721" s="4"/>
      <c r="AA721" s="4"/>
    </row>
    <row r="722" spans="1:27" ht="24" customHeight="1" x14ac:dyDescent="0.3">
      <c r="A722" s="4"/>
      <c r="B722" s="4"/>
      <c r="C722" s="4"/>
      <c r="D722" s="4"/>
      <c r="E722" s="4"/>
      <c r="F722" s="4"/>
      <c r="G722" s="4"/>
      <c r="H722" s="4"/>
      <c r="I722" s="4"/>
      <c r="J722" s="4"/>
      <c r="K722" s="4"/>
      <c r="L722" s="4"/>
      <c r="M722" s="4"/>
      <c r="N722" s="4"/>
      <c r="O722" s="4"/>
      <c r="P722" s="4"/>
      <c r="Q722" s="4"/>
      <c r="R722" s="4"/>
      <c r="S722" s="47"/>
      <c r="T722" s="4"/>
      <c r="U722" s="4"/>
      <c r="V722" s="47"/>
      <c r="W722" s="4"/>
      <c r="X722" s="4"/>
      <c r="Y722" s="47"/>
      <c r="Z722" s="4"/>
      <c r="AA722" s="4"/>
    </row>
    <row r="723" spans="1:27" ht="24" customHeight="1" x14ac:dyDescent="0.3">
      <c r="A723" s="4"/>
      <c r="B723" s="4"/>
      <c r="C723" s="4"/>
      <c r="D723" s="4"/>
      <c r="E723" s="4"/>
      <c r="F723" s="4"/>
      <c r="G723" s="4"/>
      <c r="H723" s="4"/>
      <c r="I723" s="4"/>
      <c r="J723" s="4"/>
      <c r="K723" s="4"/>
      <c r="L723" s="4"/>
      <c r="M723" s="4"/>
      <c r="N723" s="4"/>
      <c r="O723" s="4"/>
      <c r="P723" s="4"/>
      <c r="Q723" s="4"/>
      <c r="R723" s="4"/>
      <c r="S723" s="47"/>
      <c r="T723" s="4"/>
      <c r="U723" s="4"/>
      <c r="V723" s="47"/>
      <c r="W723" s="4"/>
      <c r="X723" s="4"/>
      <c r="Y723" s="47"/>
      <c r="Z723" s="4"/>
      <c r="AA723" s="4"/>
    </row>
    <row r="724" spans="1:27" ht="24" customHeight="1" x14ac:dyDescent="0.3">
      <c r="A724" s="4"/>
      <c r="B724" s="4"/>
      <c r="C724" s="4"/>
      <c r="D724" s="4"/>
      <c r="E724" s="4"/>
      <c r="F724" s="4"/>
      <c r="G724" s="4"/>
      <c r="H724" s="4"/>
      <c r="I724" s="4"/>
      <c r="J724" s="4"/>
      <c r="K724" s="4"/>
      <c r="L724" s="4"/>
      <c r="M724" s="4"/>
      <c r="N724" s="4"/>
      <c r="O724" s="4"/>
      <c r="P724" s="4"/>
      <c r="Q724" s="4"/>
      <c r="R724" s="4"/>
      <c r="S724" s="47"/>
      <c r="T724" s="4"/>
      <c r="U724" s="4"/>
      <c r="V724" s="47"/>
      <c r="W724" s="4"/>
      <c r="X724" s="4"/>
      <c r="Y724" s="47"/>
      <c r="Z724" s="4"/>
      <c r="AA724" s="4"/>
    </row>
    <row r="725" spans="1:27" ht="24" customHeight="1" x14ac:dyDescent="0.3">
      <c r="A725" s="4"/>
      <c r="B725" s="4"/>
      <c r="C725" s="4"/>
      <c r="D725" s="4"/>
      <c r="E725" s="4"/>
      <c r="F725" s="4"/>
      <c r="G725" s="4"/>
      <c r="H725" s="4"/>
      <c r="I725" s="4"/>
      <c r="J725" s="4"/>
      <c r="K725" s="4"/>
      <c r="L725" s="4"/>
      <c r="M725" s="4"/>
      <c r="N725" s="4"/>
      <c r="O725" s="4"/>
      <c r="P725" s="4"/>
      <c r="Q725" s="4"/>
      <c r="R725" s="4"/>
      <c r="S725" s="47"/>
      <c r="T725" s="4"/>
      <c r="U725" s="4"/>
      <c r="V725" s="47"/>
      <c r="W725" s="4"/>
      <c r="X725" s="4"/>
      <c r="Y725" s="47"/>
      <c r="Z725" s="4"/>
      <c r="AA725" s="4"/>
    </row>
    <row r="726" spans="1:27" ht="24" customHeight="1" x14ac:dyDescent="0.3">
      <c r="A726" s="4"/>
      <c r="B726" s="4"/>
      <c r="C726" s="4"/>
      <c r="D726" s="4"/>
      <c r="E726" s="4"/>
      <c r="F726" s="4"/>
      <c r="G726" s="4"/>
      <c r="H726" s="4"/>
      <c r="I726" s="4"/>
      <c r="J726" s="4"/>
      <c r="K726" s="4"/>
      <c r="L726" s="4"/>
      <c r="M726" s="4"/>
      <c r="N726" s="4"/>
      <c r="O726" s="4"/>
      <c r="P726" s="4"/>
      <c r="Q726" s="4"/>
      <c r="R726" s="4"/>
      <c r="S726" s="47"/>
      <c r="T726" s="4"/>
      <c r="U726" s="4"/>
      <c r="V726" s="47"/>
      <c r="W726" s="4"/>
      <c r="X726" s="4"/>
      <c r="Y726" s="47"/>
      <c r="Z726" s="4"/>
      <c r="AA726" s="4"/>
    </row>
    <row r="727" spans="1:27" ht="24" customHeight="1" x14ac:dyDescent="0.3">
      <c r="A727" s="4"/>
      <c r="B727" s="4"/>
      <c r="C727" s="4"/>
      <c r="D727" s="4"/>
      <c r="E727" s="4"/>
      <c r="F727" s="4"/>
      <c r="G727" s="4"/>
      <c r="H727" s="4"/>
      <c r="I727" s="4"/>
      <c r="J727" s="4"/>
      <c r="K727" s="4"/>
      <c r="L727" s="4"/>
      <c r="M727" s="4"/>
      <c r="N727" s="4"/>
      <c r="O727" s="4"/>
      <c r="P727" s="4"/>
      <c r="Q727" s="4"/>
      <c r="R727" s="4"/>
      <c r="S727" s="47"/>
      <c r="T727" s="4"/>
      <c r="U727" s="4"/>
      <c r="V727" s="47"/>
      <c r="W727" s="4"/>
      <c r="X727" s="4"/>
      <c r="Y727" s="47"/>
      <c r="Z727" s="4"/>
      <c r="AA727" s="4"/>
    </row>
    <row r="728" spans="1:27" ht="24" customHeight="1" x14ac:dyDescent="0.3">
      <c r="A728" s="4"/>
      <c r="B728" s="4"/>
      <c r="C728" s="4"/>
      <c r="D728" s="4"/>
      <c r="E728" s="4"/>
      <c r="F728" s="4"/>
      <c r="G728" s="4"/>
      <c r="H728" s="4"/>
      <c r="I728" s="4"/>
      <c r="J728" s="4"/>
      <c r="K728" s="4"/>
      <c r="L728" s="4"/>
      <c r="M728" s="4"/>
      <c r="N728" s="4"/>
      <c r="O728" s="4"/>
      <c r="P728" s="4"/>
      <c r="Q728" s="4"/>
      <c r="R728" s="4"/>
      <c r="S728" s="47"/>
      <c r="T728" s="4"/>
      <c r="U728" s="4"/>
      <c r="V728" s="47"/>
      <c r="W728" s="4"/>
      <c r="X728" s="4"/>
      <c r="Y728" s="47"/>
      <c r="Z728" s="4"/>
      <c r="AA728" s="4"/>
    </row>
    <row r="729" spans="1:27" ht="24" customHeight="1" x14ac:dyDescent="0.3">
      <c r="A729" s="4"/>
      <c r="B729" s="4"/>
      <c r="C729" s="4"/>
      <c r="D729" s="4"/>
      <c r="E729" s="4"/>
      <c r="F729" s="4"/>
      <c r="G729" s="4"/>
      <c r="H729" s="4"/>
      <c r="I729" s="4"/>
      <c r="J729" s="4"/>
      <c r="K729" s="4"/>
      <c r="L729" s="4"/>
      <c r="M729" s="4"/>
      <c r="N729" s="4"/>
      <c r="O729" s="4"/>
      <c r="P729" s="4"/>
      <c r="Q729" s="4"/>
      <c r="R729" s="4"/>
      <c r="S729" s="47"/>
      <c r="T729" s="4"/>
      <c r="U729" s="4"/>
      <c r="V729" s="47"/>
      <c r="W729" s="4"/>
      <c r="X729" s="4"/>
      <c r="Y729" s="47"/>
      <c r="Z729" s="4"/>
      <c r="AA729" s="4"/>
    </row>
    <row r="730" spans="1:27" ht="24" customHeight="1" x14ac:dyDescent="0.3">
      <c r="A730" s="4"/>
      <c r="B730" s="4"/>
      <c r="C730" s="4"/>
      <c r="D730" s="4"/>
      <c r="E730" s="4"/>
      <c r="F730" s="4"/>
      <c r="G730" s="4"/>
      <c r="H730" s="4"/>
      <c r="I730" s="4"/>
      <c r="J730" s="4"/>
      <c r="K730" s="4"/>
      <c r="L730" s="4"/>
      <c r="M730" s="4"/>
      <c r="N730" s="4"/>
      <c r="O730" s="4"/>
      <c r="P730" s="4"/>
      <c r="Q730" s="4"/>
      <c r="R730" s="4"/>
      <c r="S730" s="47"/>
      <c r="T730" s="4"/>
      <c r="U730" s="4"/>
      <c r="V730" s="47"/>
      <c r="W730" s="4"/>
      <c r="X730" s="4"/>
      <c r="Y730" s="47"/>
      <c r="Z730" s="4"/>
      <c r="AA730" s="4"/>
    </row>
    <row r="731" spans="1:27" ht="24" customHeight="1" x14ac:dyDescent="0.3">
      <c r="A731" s="4"/>
      <c r="B731" s="4"/>
      <c r="C731" s="4"/>
      <c r="D731" s="4"/>
      <c r="E731" s="4"/>
      <c r="F731" s="4"/>
      <c r="G731" s="4"/>
      <c r="H731" s="4"/>
      <c r="I731" s="4"/>
      <c r="J731" s="4"/>
      <c r="K731" s="4"/>
      <c r="L731" s="4"/>
      <c r="M731" s="4"/>
      <c r="N731" s="4"/>
      <c r="O731" s="4"/>
      <c r="P731" s="4"/>
      <c r="Q731" s="4"/>
      <c r="R731" s="4"/>
      <c r="S731" s="47"/>
      <c r="T731" s="4"/>
      <c r="U731" s="4"/>
      <c r="V731" s="47"/>
      <c r="W731" s="4"/>
      <c r="X731" s="4"/>
      <c r="Y731" s="47"/>
      <c r="Z731" s="4"/>
      <c r="AA731" s="4"/>
    </row>
    <row r="732" spans="1:27" ht="24" customHeight="1" x14ac:dyDescent="0.3">
      <c r="A732" s="4"/>
      <c r="B732" s="4"/>
      <c r="C732" s="4"/>
      <c r="D732" s="4"/>
      <c r="E732" s="4"/>
      <c r="F732" s="4"/>
      <c r="G732" s="4"/>
      <c r="H732" s="4"/>
      <c r="I732" s="4"/>
      <c r="J732" s="4"/>
      <c r="K732" s="4"/>
      <c r="L732" s="4"/>
      <c r="M732" s="4"/>
      <c r="N732" s="4"/>
      <c r="O732" s="4"/>
      <c r="P732" s="4"/>
      <c r="Q732" s="4"/>
      <c r="R732" s="4"/>
      <c r="S732" s="47"/>
      <c r="T732" s="4"/>
      <c r="U732" s="4"/>
      <c r="V732" s="47"/>
      <c r="W732" s="4"/>
      <c r="X732" s="4"/>
      <c r="Y732" s="47"/>
      <c r="Z732" s="4"/>
      <c r="AA732" s="4"/>
    </row>
    <row r="733" spans="1:27" ht="24" customHeight="1" x14ac:dyDescent="0.3">
      <c r="A733" s="4"/>
      <c r="B733" s="4"/>
      <c r="C733" s="4"/>
      <c r="D733" s="4"/>
      <c r="E733" s="4"/>
      <c r="F733" s="4"/>
      <c r="G733" s="4"/>
      <c r="H733" s="4"/>
      <c r="I733" s="4"/>
      <c r="J733" s="4"/>
      <c r="K733" s="4"/>
      <c r="L733" s="4"/>
      <c r="M733" s="4"/>
      <c r="N733" s="4"/>
      <c r="O733" s="4"/>
      <c r="P733" s="4"/>
      <c r="Q733" s="4"/>
      <c r="R733" s="4"/>
      <c r="S733" s="47"/>
      <c r="T733" s="4"/>
      <c r="U733" s="4"/>
      <c r="V733" s="47"/>
      <c r="W733" s="4"/>
      <c r="X733" s="4"/>
      <c r="Y733" s="47"/>
      <c r="Z733" s="4"/>
      <c r="AA733" s="4"/>
    </row>
    <row r="734" spans="1:27" ht="24" customHeight="1" x14ac:dyDescent="0.3">
      <c r="A734" s="4"/>
      <c r="B734" s="4"/>
      <c r="C734" s="4"/>
      <c r="D734" s="4"/>
      <c r="E734" s="4"/>
      <c r="F734" s="4"/>
      <c r="G734" s="4"/>
      <c r="H734" s="4"/>
      <c r="I734" s="4"/>
      <c r="J734" s="4"/>
      <c r="K734" s="4"/>
      <c r="L734" s="4"/>
      <c r="M734" s="4"/>
      <c r="N734" s="4"/>
      <c r="O734" s="4"/>
      <c r="P734" s="4"/>
      <c r="Q734" s="4"/>
      <c r="R734" s="4"/>
      <c r="S734" s="47"/>
      <c r="T734" s="4"/>
      <c r="U734" s="4"/>
      <c r="V734" s="47"/>
      <c r="W734" s="4"/>
      <c r="X734" s="4"/>
      <c r="Y734" s="47"/>
      <c r="Z734" s="4"/>
      <c r="AA734" s="4"/>
    </row>
    <row r="735" spans="1:27" ht="24" customHeight="1" x14ac:dyDescent="0.3">
      <c r="A735" s="4"/>
      <c r="B735" s="4"/>
      <c r="C735" s="4"/>
      <c r="D735" s="4"/>
      <c r="E735" s="4"/>
      <c r="F735" s="4"/>
      <c r="G735" s="4"/>
      <c r="H735" s="4"/>
      <c r="I735" s="4"/>
      <c r="J735" s="4"/>
      <c r="K735" s="4"/>
      <c r="L735" s="4"/>
      <c r="M735" s="4"/>
      <c r="N735" s="4"/>
      <c r="O735" s="4"/>
      <c r="P735" s="4"/>
      <c r="Q735" s="4"/>
      <c r="R735" s="4"/>
      <c r="S735" s="47"/>
      <c r="T735" s="4"/>
      <c r="U735" s="4"/>
      <c r="V735" s="47"/>
      <c r="W735" s="4"/>
      <c r="X735" s="4"/>
      <c r="Y735" s="47"/>
      <c r="Z735" s="4"/>
      <c r="AA735" s="4"/>
    </row>
    <row r="736" spans="1:27" ht="24" customHeight="1" x14ac:dyDescent="0.3">
      <c r="A736" s="4"/>
      <c r="B736" s="4"/>
      <c r="C736" s="4"/>
      <c r="D736" s="4"/>
      <c r="E736" s="4"/>
      <c r="F736" s="4"/>
      <c r="G736" s="4"/>
      <c r="H736" s="4"/>
      <c r="I736" s="4"/>
      <c r="J736" s="4"/>
      <c r="K736" s="4"/>
      <c r="L736" s="4"/>
      <c r="M736" s="4"/>
      <c r="N736" s="4"/>
      <c r="O736" s="4"/>
      <c r="P736" s="4"/>
      <c r="Q736" s="4"/>
      <c r="R736" s="4"/>
      <c r="S736" s="47"/>
      <c r="T736" s="4"/>
      <c r="U736" s="4"/>
      <c r="V736" s="47"/>
      <c r="W736" s="4"/>
      <c r="X736" s="4"/>
      <c r="Y736" s="47"/>
      <c r="Z736" s="4"/>
      <c r="AA736" s="4"/>
    </row>
    <row r="737" spans="1:27" ht="24" customHeight="1" x14ac:dyDescent="0.3">
      <c r="A737" s="4"/>
      <c r="B737" s="4"/>
      <c r="C737" s="4"/>
      <c r="D737" s="4"/>
      <c r="E737" s="4"/>
      <c r="F737" s="4"/>
      <c r="G737" s="4"/>
      <c r="H737" s="4"/>
      <c r="I737" s="4"/>
      <c r="J737" s="4"/>
      <c r="K737" s="4"/>
      <c r="L737" s="4"/>
      <c r="M737" s="4"/>
      <c r="N737" s="4"/>
      <c r="O737" s="4"/>
      <c r="P737" s="4"/>
      <c r="Q737" s="4"/>
      <c r="R737" s="4"/>
      <c r="S737" s="47"/>
      <c r="T737" s="4"/>
      <c r="U737" s="4"/>
      <c r="V737" s="47"/>
      <c r="W737" s="4"/>
      <c r="X737" s="4"/>
      <c r="Y737" s="47"/>
      <c r="Z737" s="4"/>
      <c r="AA737" s="4"/>
    </row>
    <row r="738" spans="1:27" ht="24" customHeight="1" x14ac:dyDescent="0.3">
      <c r="A738" s="4"/>
      <c r="B738" s="4"/>
      <c r="C738" s="4"/>
      <c r="D738" s="4"/>
      <c r="E738" s="4"/>
      <c r="F738" s="4"/>
      <c r="G738" s="4"/>
      <c r="H738" s="4"/>
      <c r="I738" s="4"/>
      <c r="J738" s="4"/>
      <c r="K738" s="4"/>
      <c r="L738" s="4"/>
      <c r="M738" s="4"/>
      <c r="N738" s="4"/>
      <c r="O738" s="4"/>
      <c r="P738" s="4"/>
      <c r="Q738" s="4"/>
      <c r="R738" s="4"/>
      <c r="S738" s="47"/>
      <c r="T738" s="4"/>
      <c r="U738" s="4"/>
      <c r="V738" s="47"/>
      <c r="W738" s="4"/>
      <c r="X738" s="4"/>
      <c r="Y738" s="47"/>
      <c r="Z738" s="4"/>
      <c r="AA738" s="4"/>
    </row>
    <row r="739" spans="1:27" ht="24" customHeight="1" x14ac:dyDescent="0.3">
      <c r="A739" s="4"/>
      <c r="B739" s="4"/>
      <c r="C739" s="4"/>
      <c r="D739" s="4"/>
      <c r="E739" s="4"/>
      <c r="F739" s="4"/>
      <c r="G739" s="4"/>
      <c r="H739" s="4"/>
      <c r="I739" s="4"/>
      <c r="J739" s="4"/>
      <c r="K739" s="4"/>
      <c r="L739" s="4"/>
      <c r="M739" s="4"/>
      <c r="N739" s="4"/>
      <c r="O739" s="4"/>
      <c r="P739" s="4"/>
      <c r="Q739" s="4"/>
      <c r="R739" s="4"/>
      <c r="S739" s="47"/>
      <c r="T739" s="4"/>
      <c r="U739" s="4"/>
      <c r="V739" s="47"/>
      <c r="W739" s="4"/>
      <c r="X739" s="4"/>
      <c r="Y739" s="47"/>
      <c r="Z739" s="4"/>
      <c r="AA739" s="4"/>
    </row>
    <row r="740" spans="1:27" ht="24" customHeight="1" x14ac:dyDescent="0.3">
      <c r="A740" s="4"/>
      <c r="B740" s="4"/>
      <c r="C740" s="4"/>
      <c r="D740" s="4"/>
      <c r="E740" s="4"/>
      <c r="F740" s="4"/>
      <c r="G740" s="4"/>
      <c r="H740" s="4"/>
      <c r="I740" s="4"/>
      <c r="J740" s="4"/>
      <c r="K740" s="4"/>
      <c r="L740" s="4"/>
      <c r="M740" s="4"/>
      <c r="N740" s="4"/>
      <c r="O740" s="4"/>
      <c r="P740" s="4"/>
      <c r="Q740" s="4"/>
      <c r="R740" s="4"/>
      <c r="S740" s="47"/>
      <c r="T740" s="4"/>
      <c r="U740" s="4"/>
      <c r="V740" s="47"/>
      <c r="W740" s="4"/>
      <c r="X740" s="4"/>
      <c r="Y740" s="47"/>
      <c r="Z740" s="4"/>
      <c r="AA740" s="4"/>
    </row>
    <row r="741" spans="1:27" ht="24" customHeight="1" x14ac:dyDescent="0.3">
      <c r="A741" s="4"/>
      <c r="B741" s="4"/>
      <c r="C741" s="4"/>
      <c r="D741" s="4"/>
      <c r="E741" s="4"/>
      <c r="F741" s="4"/>
      <c r="G741" s="4"/>
      <c r="H741" s="4"/>
      <c r="I741" s="4"/>
      <c r="J741" s="4"/>
      <c r="K741" s="4"/>
      <c r="L741" s="4"/>
      <c r="M741" s="4"/>
      <c r="N741" s="4"/>
      <c r="O741" s="4"/>
      <c r="P741" s="4"/>
      <c r="Q741" s="4"/>
      <c r="R741" s="4"/>
      <c r="S741" s="47"/>
      <c r="T741" s="4"/>
      <c r="U741" s="4"/>
      <c r="V741" s="47"/>
      <c r="W741" s="4"/>
      <c r="X741" s="4"/>
      <c r="Y741" s="47"/>
      <c r="Z741" s="4"/>
      <c r="AA741" s="4"/>
    </row>
    <row r="742" spans="1:27" ht="24" customHeight="1" x14ac:dyDescent="0.3">
      <c r="A742" s="4"/>
      <c r="B742" s="4"/>
      <c r="C742" s="4"/>
      <c r="D742" s="4"/>
      <c r="E742" s="4"/>
      <c r="F742" s="4"/>
      <c r="G742" s="4"/>
      <c r="H742" s="4"/>
      <c r="I742" s="4"/>
      <c r="J742" s="4"/>
      <c r="K742" s="4"/>
      <c r="L742" s="4"/>
      <c r="M742" s="4"/>
      <c r="N742" s="4"/>
      <c r="O742" s="4"/>
      <c r="P742" s="4"/>
      <c r="Q742" s="4"/>
      <c r="R742" s="4"/>
      <c r="S742" s="47"/>
      <c r="T742" s="4"/>
      <c r="U742" s="4"/>
      <c r="V742" s="47"/>
      <c r="W742" s="4"/>
      <c r="X742" s="4"/>
      <c r="Y742" s="47"/>
      <c r="Z742" s="4"/>
      <c r="AA742" s="4"/>
    </row>
    <row r="743" spans="1:27" ht="24" customHeight="1" x14ac:dyDescent="0.3">
      <c r="A743" s="4"/>
      <c r="B743" s="4"/>
      <c r="C743" s="4"/>
      <c r="D743" s="4"/>
      <c r="E743" s="4"/>
      <c r="F743" s="4"/>
      <c r="G743" s="4"/>
      <c r="H743" s="4"/>
      <c r="I743" s="4"/>
      <c r="J743" s="4"/>
      <c r="K743" s="4"/>
      <c r="L743" s="4"/>
      <c r="M743" s="4"/>
      <c r="N743" s="4"/>
      <c r="O743" s="4"/>
      <c r="P743" s="4"/>
      <c r="Q743" s="4"/>
      <c r="R743" s="4"/>
      <c r="S743" s="47"/>
      <c r="T743" s="4"/>
      <c r="U743" s="4"/>
      <c r="V743" s="47"/>
      <c r="W743" s="4"/>
      <c r="X743" s="4"/>
      <c r="Y743" s="47"/>
      <c r="Z743" s="4"/>
      <c r="AA743" s="4"/>
    </row>
    <row r="744" spans="1:27" ht="24" customHeight="1" x14ac:dyDescent="0.3">
      <c r="A744" s="4"/>
      <c r="B744" s="4"/>
      <c r="C744" s="4"/>
      <c r="D744" s="4"/>
      <c r="E744" s="4"/>
      <c r="F744" s="4"/>
      <c r="G744" s="4"/>
      <c r="H744" s="4"/>
      <c r="I744" s="4"/>
      <c r="J744" s="4"/>
      <c r="K744" s="4"/>
      <c r="L744" s="4"/>
      <c r="M744" s="4"/>
      <c r="N744" s="4"/>
      <c r="O744" s="4"/>
      <c r="P744" s="4"/>
      <c r="Q744" s="4"/>
      <c r="R744" s="4"/>
      <c r="S744" s="47"/>
      <c r="T744" s="4"/>
      <c r="U744" s="4"/>
      <c r="V744" s="47"/>
      <c r="W744" s="4"/>
      <c r="X744" s="4"/>
      <c r="Y744" s="47"/>
      <c r="Z744" s="4"/>
      <c r="AA744" s="4"/>
    </row>
    <row r="745" spans="1:27" ht="24" customHeight="1" x14ac:dyDescent="0.3">
      <c r="A745" s="4"/>
      <c r="B745" s="4"/>
      <c r="C745" s="4"/>
      <c r="D745" s="4"/>
      <c r="E745" s="4"/>
      <c r="F745" s="4"/>
      <c r="G745" s="4"/>
      <c r="H745" s="4"/>
      <c r="I745" s="4"/>
      <c r="J745" s="4"/>
      <c r="K745" s="4"/>
      <c r="L745" s="4"/>
      <c r="M745" s="4"/>
      <c r="N745" s="4"/>
      <c r="O745" s="4"/>
      <c r="P745" s="4"/>
      <c r="Q745" s="4"/>
      <c r="R745" s="4"/>
      <c r="S745" s="47"/>
      <c r="T745" s="4"/>
      <c r="U745" s="4"/>
      <c r="V745" s="47"/>
      <c r="W745" s="4"/>
      <c r="X745" s="4"/>
      <c r="Y745" s="47"/>
      <c r="Z745" s="4"/>
      <c r="AA745" s="4"/>
    </row>
    <row r="746" spans="1:27" ht="24" customHeight="1" x14ac:dyDescent="0.3">
      <c r="A746" s="4"/>
      <c r="B746" s="4"/>
      <c r="C746" s="4"/>
      <c r="D746" s="4"/>
      <c r="E746" s="4"/>
      <c r="F746" s="4"/>
      <c r="G746" s="4"/>
      <c r="H746" s="4"/>
      <c r="I746" s="4"/>
      <c r="J746" s="4"/>
      <c r="K746" s="4"/>
      <c r="L746" s="4"/>
      <c r="M746" s="4"/>
      <c r="N746" s="4"/>
      <c r="O746" s="4"/>
      <c r="P746" s="4"/>
      <c r="Q746" s="4"/>
      <c r="R746" s="4"/>
      <c r="S746" s="47"/>
      <c r="T746" s="4"/>
      <c r="U746" s="4"/>
      <c r="V746" s="47"/>
      <c r="W746" s="4"/>
      <c r="X746" s="4"/>
      <c r="Y746" s="47"/>
      <c r="Z746" s="4"/>
      <c r="AA746" s="4"/>
    </row>
    <row r="747" spans="1:27" ht="24" customHeight="1" x14ac:dyDescent="0.3">
      <c r="A747" s="4"/>
      <c r="B747" s="4"/>
      <c r="C747" s="4"/>
      <c r="D747" s="4"/>
      <c r="E747" s="4"/>
      <c r="F747" s="4"/>
      <c r="G747" s="4"/>
      <c r="H747" s="4"/>
      <c r="I747" s="4"/>
      <c r="J747" s="4"/>
      <c r="K747" s="4"/>
      <c r="L747" s="4"/>
      <c r="M747" s="4"/>
      <c r="N747" s="4"/>
      <c r="O747" s="4"/>
      <c r="P747" s="4"/>
      <c r="Q747" s="4"/>
      <c r="R747" s="4"/>
      <c r="S747" s="47"/>
      <c r="T747" s="4"/>
      <c r="U747" s="4"/>
      <c r="V747" s="47"/>
      <c r="W747" s="4"/>
      <c r="X747" s="4"/>
      <c r="Y747" s="47"/>
      <c r="Z747" s="4"/>
      <c r="AA747" s="4"/>
    </row>
    <row r="748" spans="1:27" ht="24" customHeight="1" x14ac:dyDescent="0.3">
      <c r="A748" s="4"/>
      <c r="B748" s="4"/>
      <c r="C748" s="4"/>
      <c r="D748" s="4"/>
      <c r="E748" s="4"/>
      <c r="F748" s="4"/>
      <c r="G748" s="4"/>
      <c r="H748" s="4"/>
      <c r="I748" s="4"/>
      <c r="J748" s="4"/>
      <c r="K748" s="4"/>
      <c r="L748" s="4"/>
      <c r="M748" s="4"/>
      <c r="N748" s="4"/>
      <c r="O748" s="4"/>
      <c r="P748" s="4"/>
      <c r="Q748" s="4"/>
      <c r="R748" s="4"/>
      <c r="S748" s="47"/>
      <c r="T748" s="4"/>
      <c r="U748" s="4"/>
      <c r="V748" s="47"/>
      <c r="W748" s="4"/>
      <c r="X748" s="4"/>
      <c r="Y748" s="47"/>
      <c r="Z748" s="4"/>
      <c r="AA748" s="4"/>
    </row>
    <row r="749" spans="1:27" ht="24" customHeight="1" x14ac:dyDescent="0.3">
      <c r="A749" s="4"/>
      <c r="B749" s="4"/>
      <c r="C749" s="4"/>
      <c r="D749" s="4"/>
      <c r="E749" s="4"/>
      <c r="F749" s="4"/>
      <c r="G749" s="4"/>
      <c r="H749" s="4"/>
      <c r="I749" s="4"/>
      <c r="J749" s="4"/>
      <c r="K749" s="4"/>
      <c r="L749" s="4"/>
      <c r="M749" s="4"/>
      <c r="N749" s="4"/>
      <c r="O749" s="4"/>
      <c r="P749" s="4"/>
      <c r="Q749" s="4"/>
      <c r="R749" s="4"/>
      <c r="S749" s="47"/>
      <c r="T749" s="4"/>
      <c r="U749" s="4"/>
      <c r="V749" s="47"/>
      <c r="W749" s="4"/>
      <c r="X749" s="4"/>
      <c r="Y749" s="47"/>
      <c r="Z749" s="4"/>
      <c r="AA749" s="4"/>
    </row>
    <row r="750" spans="1:27" ht="24" customHeight="1" x14ac:dyDescent="0.3">
      <c r="A750" s="4"/>
      <c r="B750" s="4"/>
      <c r="C750" s="4"/>
      <c r="D750" s="4"/>
      <c r="E750" s="4"/>
      <c r="F750" s="4"/>
      <c r="G750" s="4"/>
      <c r="H750" s="4"/>
      <c r="I750" s="4"/>
      <c r="J750" s="4"/>
      <c r="K750" s="4"/>
      <c r="L750" s="4"/>
      <c r="M750" s="4"/>
      <c r="N750" s="4"/>
      <c r="O750" s="4"/>
      <c r="P750" s="4"/>
      <c r="Q750" s="4"/>
      <c r="R750" s="4"/>
      <c r="S750" s="47"/>
      <c r="T750" s="4"/>
      <c r="U750" s="4"/>
      <c r="V750" s="47"/>
      <c r="W750" s="4"/>
      <c r="X750" s="4"/>
      <c r="Y750" s="47"/>
      <c r="Z750" s="4"/>
      <c r="AA750" s="4"/>
    </row>
    <row r="751" spans="1:27" ht="24" customHeight="1" x14ac:dyDescent="0.3">
      <c r="A751" s="4"/>
      <c r="B751" s="4"/>
      <c r="C751" s="4"/>
      <c r="D751" s="4"/>
      <c r="E751" s="4"/>
      <c r="F751" s="4"/>
      <c r="G751" s="4"/>
      <c r="H751" s="4"/>
      <c r="I751" s="4"/>
      <c r="J751" s="4"/>
      <c r="K751" s="4"/>
      <c r="L751" s="4"/>
      <c r="M751" s="4"/>
      <c r="N751" s="4"/>
      <c r="O751" s="4"/>
      <c r="P751" s="4"/>
      <c r="Q751" s="4"/>
      <c r="R751" s="4"/>
      <c r="S751" s="47"/>
      <c r="T751" s="4"/>
      <c r="U751" s="4"/>
      <c r="V751" s="47"/>
      <c r="W751" s="4"/>
      <c r="X751" s="4"/>
      <c r="Y751" s="47"/>
      <c r="Z751" s="4"/>
      <c r="AA751" s="4"/>
    </row>
    <row r="752" spans="1:27" ht="24" customHeight="1" x14ac:dyDescent="0.3">
      <c r="A752" s="4"/>
      <c r="B752" s="4"/>
      <c r="C752" s="4"/>
      <c r="D752" s="4"/>
      <c r="E752" s="4"/>
      <c r="F752" s="4"/>
      <c r="G752" s="4"/>
      <c r="H752" s="4"/>
      <c r="I752" s="4"/>
      <c r="J752" s="4"/>
      <c r="K752" s="4"/>
      <c r="L752" s="4"/>
      <c r="M752" s="4"/>
      <c r="N752" s="4"/>
      <c r="O752" s="4"/>
      <c r="P752" s="4"/>
      <c r="Q752" s="4"/>
      <c r="R752" s="4"/>
      <c r="S752" s="47"/>
      <c r="T752" s="4"/>
      <c r="U752" s="4"/>
      <c r="V752" s="47"/>
      <c r="W752" s="4"/>
      <c r="X752" s="4"/>
      <c r="Y752" s="47"/>
      <c r="Z752" s="4"/>
      <c r="AA752" s="4"/>
    </row>
    <row r="753" spans="1:27" ht="24" customHeight="1" x14ac:dyDescent="0.3">
      <c r="A753" s="4"/>
      <c r="B753" s="4"/>
      <c r="C753" s="4"/>
      <c r="D753" s="4"/>
      <c r="E753" s="4"/>
      <c r="F753" s="4"/>
      <c r="G753" s="4"/>
      <c r="H753" s="4"/>
      <c r="I753" s="4"/>
      <c r="J753" s="4"/>
      <c r="K753" s="4"/>
      <c r="L753" s="4"/>
      <c r="M753" s="4"/>
      <c r="N753" s="4"/>
      <c r="O753" s="4"/>
      <c r="P753" s="4"/>
      <c r="Q753" s="4"/>
      <c r="R753" s="4"/>
      <c r="S753" s="47"/>
      <c r="T753" s="4"/>
      <c r="U753" s="4"/>
      <c r="V753" s="47"/>
      <c r="W753" s="4"/>
      <c r="X753" s="4"/>
      <c r="Y753" s="47"/>
      <c r="Z753" s="4"/>
      <c r="AA753" s="4"/>
    </row>
    <row r="754" spans="1:27" ht="24" customHeight="1" x14ac:dyDescent="0.3">
      <c r="A754" s="4"/>
      <c r="B754" s="4"/>
      <c r="C754" s="4"/>
      <c r="D754" s="4"/>
      <c r="E754" s="4"/>
      <c r="F754" s="4"/>
      <c r="G754" s="4"/>
      <c r="H754" s="4"/>
      <c r="I754" s="4"/>
      <c r="J754" s="4"/>
      <c r="K754" s="4"/>
      <c r="L754" s="4"/>
      <c r="M754" s="4"/>
      <c r="N754" s="4"/>
      <c r="O754" s="4"/>
      <c r="P754" s="4"/>
      <c r="Q754" s="4"/>
      <c r="R754" s="4"/>
      <c r="S754" s="47"/>
      <c r="T754" s="4"/>
      <c r="U754" s="4"/>
      <c r="V754" s="47"/>
      <c r="W754" s="4"/>
      <c r="X754" s="4"/>
      <c r="Y754" s="47"/>
      <c r="Z754" s="4"/>
      <c r="AA754" s="4"/>
    </row>
    <row r="755" spans="1:27" ht="24" customHeight="1" x14ac:dyDescent="0.3">
      <c r="A755" s="4"/>
      <c r="B755" s="4"/>
      <c r="C755" s="4"/>
      <c r="D755" s="4"/>
      <c r="E755" s="4"/>
      <c r="F755" s="4"/>
      <c r="G755" s="4"/>
      <c r="H755" s="4"/>
      <c r="I755" s="4"/>
      <c r="J755" s="4"/>
      <c r="K755" s="4"/>
      <c r="L755" s="4"/>
      <c r="M755" s="4"/>
      <c r="N755" s="4"/>
      <c r="O755" s="4"/>
      <c r="P755" s="4"/>
      <c r="Q755" s="4"/>
      <c r="R755" s="4"/>
      <c r="S755" s="47"/>
      <c r="T755" s="4"/>
      <c r="U755" s="4"/>
      <c r="V755" s="47"/>
      <c r="W755" s="4"/>
      <c r="X755" s="4"/>
      <c r="Y755" s="47"/>
      <c r="Z755" s="4"/>
      <c r="AA755" s="4"/>
    </row>
    <row r="756" spans="1:27" ht="24" customHeight="1" x14ac:dyDescent="0.3">
      <c r="A756" s="4"/>
      <c r="B756" s="4"/>
      <c r="C756" s="4"/>
      <c r="D756" s="4"/>
      <c r="E756" s="4"/>
      <c r="F756" s="4"/>
      <c r="G756" s="4"/>
      <c r="H756" s="4"/>
      <c r="I756" s="4"/>
      <c r="J756" s="4"/>
      <c r="K756" s="4"/>
      <c r="L756" s="4"/>
      <c r="M756" s="4"/>
      <c r="N756" s="4"/>
      <c r="O756" s="4"/>
      <c r="P756" s="4"/>
      <c r="Q756" s="4"/>
      <c r="R756" s="4"/>
      <c r="S756" s="47"/>
      <c r="T756" s="4"/>
      <c r="U756" s="4"/>
      <c r="V756" s="47"/>
      <c r="W756" s="4"/>
      <c r="X756" s="4"/>
      <c r="Y756" s="47"/>
      <c r="Z756" s="4"/>
      <c r="AA756" s="4"/>
    </row>
    <row r="757" spans="1:27" ht="24" customHeight="1" x14ac:dyDescent="0.3">
      <c r="A757" s="4"/>
      <c r="B757" s="4"/>
      <c r="C757" s="4"/>
      <c r="D757" s="4"/>
      <c r="E757" s="4"/>
      <c r="F757" s="4"/>
      <c r="G757" s="4"/>
      <c r="H757" s="4"/>
      <c r="I757" s="4"/>
      <c r="J757" s="4"/>
      <c r="K757" s="4"/>
      <c r="L757" s="4"/>
      <c r="M757" s="4"/>
      <c r="N757" s="4"/>
      <c r="O757" s="4"/>
      <c r="P757" s="4"/>
      <c r="Q757" s="4"/>
      <c r="R757" s="4"/>
      <c r="S757" s="47"/>
      <c r="T757" s="4"/>
      <c r="U757" s="4"/>
      <c r="V757" s="47"/>
      <c r="W757" s="4"/>
      <c r="X757" s="4"/>
      <c r="Y757" s="47"/>
      <c r="Z757" s="4"/>
      <c r="AA757" s="4"/>
    </row>
    <row r="758" spans="1:27" ht="24" customHeight="1" x14ac:dyDescent="0.3">
      <c r="A758" s="4"/>
      <c r="B758" s="4"/>
      <c r="C758" s="4"/>
      <c r="D758" s="4"/>
      <c r="E758" s="4"/>
      <c r="F758" s="4"/>
      <c r="G758" s="4"/>
      <c r="H758" s="4"/>
      <c r="I758" s="4"/>
      <c r="J758" s="4"/>
      <c r="K758" s="4"/>
      <c r="L758" s="4"/>
      <c r="M758" s="4"/>
      <c r="N758" s="4"/>
      <c r="O758" s="4"/>
      <c r="P758" s="4"/>
      <c r="Q758" s="4"/>
      <c r="R758" s="4"/>
      <c r="S758" s="47"/>
      <c r="T758" s="4"/>
      <c r="U758" s="4"/>
      <c r="V758" s="47"/>
      <c r="W758" s="4"/>
      <c r="X758" s="4"/>
      <c r="Y758" s="47"/>
      <c r="Z758" s="4"/>
      <c r="AA758" s="4"/>
    </row>
    <row r="759" spans="1:27" ht="24" customHeight="1" x14ac:dyDescent="0.3">
      <c r="A759" s="4"/>
      <c r="B759" s="4"/>
      <c r="C759" s="4"/>
      <c r="D759" s="4"/>
      <c r="E759" s="4"/>
      <c r="F759" s="4"/>
      <c r="G759" s="4"/>
      <c r="H759" s="4"/>
      <c r="I759" s="4"/>
      <c r="J759" s="4"/>
      <c r="K759" s="4"/>
      <c r="L759" s="4"/>
      <c r="M759" s="4"/>
      <c r="N759" s="4"/>
      <c r="O759" s="4"/>
      <c r="P759" s="4"/>
      <c r="Q759" s="4"/>
      <c r="R759" s="4"/>
      <c r="S759" s="47"/>
      <c r="T759" s="4"/>
      <c r="U759" s="4"/>
      <c r="V759" s="47"/>
      <c r="W759" s="4"/>
      <c r="X759" s="4"/>
      <c r="Y759" s="47"/>
      <c r="Z759" s="4"/>
      <c r="AA759" s="4"/>
    </row>
    <row r="760" spans="1:27" ht="24" customHeight="1" x14ac:dyDescent="0.3">
      <c r="A760" s="4"/>
      <c r="B760" s="4"/>
      <c r="C760" s="4"/>
      <c r="D760" s="4"/>
      <c r="E760" s="4"/>
      <c r="F760" s="4"/>
      <c r="G760" s="4"/>
      <c r="H760" s="4"/>
      <c r="I760" s="4"/>
      <c r="J760" s="4"/>
      <c r="K760" s="4"/>
      <c r="L760" s="4"/>
      <c r="M760" s="4"/>
      <c r="N760" s="4"/>
      <c r="O760" s="4"/>
      <c r="P760" s="4"/>
      <c r="Q760" s="4"/>
      <c r="R760" s="4"/>
      <c r="S760" s="47"/>
      <c r="T760" s="4"/>
      <c r="U760" s="4"/>
      <c r="V760" s="47"/>
      <c r="W760" s="4"/>
      <c r="X760" s="4"/>
      <c r="Y760" s="47"/>
      <c r="Z760" s="4"/>
      <c r="AA760" s="4"/>
    </row>
    <row r="761" spans="1:27" ht="24" customHeight="1" x14ac:dyDescent="0.3">
      <c r="A761" s="4"/>
      <c r="B761" s="4"/>
      <c r="C761" s="4"/>
      <c r="D761" s="4"/>
      <c r="E761" s="4"/>
      <c r="F761" s="4"/>
      <c r="G761" s="4"/>
      <c r="H761" s="4"/>
      <c r="I761" s="4"/>
      <c r="J761" s="4"/>
      <c r="K761" s="4"/>
      <c r="L761" s="4"/>
      <c r="M761" s="4"/>
      <c r="N761" s="4"/>
      <c r="O761" s="4"/>
      <c r="P761" s="4"/>
      <c r="Q761" s="4"/>
      <c r="R761" s="4"/>
      <c r="S761" s="47"/>
      <c r="T761" s="4"/>
      <c r="U761" s="4"/>
      <c r="V761" s="47"/>
      <c r="W761" s="4"/>
      <c r="X761" s="4"/>
      <c r="Y761" s="47"/>
      <c r="Z761" s="4"/>
      <c r="AA761" s="4"/>
    </row>
    <row r="762" spans="1:27" ht="24" customHeight="1" x14ac:dyDescent="0.3">
      <c r="A762" s="4"/>
      <c r="B762" s="4"/>
      <c r="C762" s="4"/>
      <c r="D762" s="4"/>
      <c r="E762" s="4"/>
      <c r="F762" s="4"/>
      <c r="G762" s="4"/>
      <c r="H762" s="4"/>
      <c r="I762" s="4"/>
      <c r="J762" s="4"/>
      <c r="K762" s="4"/>
      <c r="L762" s="4"/>
      <c r="M762" s="4"/>
      <c r="N762" s="4"/>
      <c r="O762" s="4"/>
      <c r="P762" s="4"/>
      <c r="Q762" s="4"/>
      <c r="R762" s="4"/>
      <c r="S762" s="47"/>
      <c r="T762" s="4"/>
      <c r="U762" s="4"/>
      <c r="V762" s="47"/>
      <c r="W762" s="4"/>
      <c r="X762" s="4"/>
      <c r="Y762" s="47"/>
      <c r="Z762" s="4"/>
      <c r="AA762" s="4"/>
    </row>
    <row r="763" spans="1:27" ht="24" customHeight="1" x14ac:dyDescent="0.3">
      <c r="A763" s="4"/>
      <c r="B763" s="4"/>
      <c r="C763" s="4"/>
      <c r="D763" s="4"/>
      <c r="E763" s="4"/>
      <c r="F763" s="4"/>
      <c r="G763" s="4"/>
      <c r="H763" s="4"/>
      <c r="I763" s="4"/>
      <c r="J763" s="4"/>
      <c r="K763" s="4"/>
      <c r="L763" s="4"/>
      <c r="M763" s="4"/>
      <c r="N763" s="4"/>
      <c r="O763" s="4"/>
      <c r="P763" s="4"/>
      <c r="Q763" s="4"/>
      <c r="R763" s="4"/>
      <c r="S763" s="47"/>
      <c r="T763" s="4"/>
      <c r="U763" s="4"/>
      <c r="V763" s="47"/>
      <c r="W763" s="4"/>
      <c r="X763" s="4"/>
      <c r="Y763" s="47"/>
      <c r="Z763" s="4"/>
      <c r="AA763" s="4"/>
    </row>
    <row r="764" spans="1:27" ht="24" customHeight="1" x14ac:dyDescent="0.3">
      <c r="A764" s="4"/>
      <c r="B764" s="4"/>
      <c r="C764" s="4"/>
      <c r="D764" s="4"/>
      <c r="E764" s="4"/>
      <c r="F764" s="4"/>
      <c r="G764" s="4"/>
      <c r="H764" s="4"/>
      <c r="I764" s="4"/>
      <c r="J764" s="4"/>
      <c r="K764" s="4"/>
      <c r="L764" s="4"/>
      <c r="M764" s="4"/>
      <c r="N764" s="4"/>
      <c r="O764" s="4"/>
      <c r="P764" s="4"/>
      <c r="Q764" s="4"/>
      <c r="R764" s="4"/>
      <c r="S764" s="47"/>
      <c r="T764" s="4"/>
      <c r="U764" s="4"/>
      <c r="V764" s="47"/>
      <c r="W764" s="4"/>
      <c r="X764" s="4"/>
      <c r="Y764" s="47"/>
      <c r="Z764" s="4"/>
      <c r="AA764" s="4"/>
    </row>
    <row r="765" spans="1:27" ht="24" customHeight="1" x14ac:dyDescent="0.3">
      <c r="A765" s="4"/>
      <c r="B765" s="4"/>
      <c r="C765" s="4"/>
      <c r="D765" s="4"/>
      <c r="E765" s="4"/>
      <c r="F765" s="4"/>
      <c r="G765" s="4"/>
      <c r="H765" s="4"/>
      <c r="I765" s="4"/>
      <c r="J765" s="4"/>
      <c r="K765" s="4"/>
      <c r="L765" s="4"/>
      <c r="M765" s="4"/>
      <c r="N765" s="4"/>
      <c r="O765" s="4"/>
      <c r="P765" s="4"/>
      <c r="Q765" s="4"/>
      <c r="R765" s="4"/>
      <c r="S765" s="47"/>
      <c r="T765" s="4"/>
      <c r="U765" s="4"/>
      <c r="V765" s="47"/>
      <c r="W765" s="4"/>
      <c r="X765" s="4"/>
      <c r="Y765" s="47"/>
      <c r="Z765" s="4"/>
      <c r="AA765" s="4"/>
    </row>
    <row r="766" spans="1:27" ht="24" customHeight="1" x14ac:dyDescent="0.3">
      <c r="A766" s="4"/>
      <c r="B766" s="4"/>
      <c r="C766" s="4"/>
      <c r="D766" s="4"/>
      <c r="E766" s="4"/>
      <c r="F766" s="4"/>
      <c r="G766" s="4"/>
      <c r="H766" s="4"/>
      <c r="I766" s="4"/>
      <c r="J766" s="4"/>
      <c r="K766" s="4"/>
      <c r="L766" s="4"/>
      <c r="M766" s="4"/>
      <c r="N766" s="4"/>
      <c r="O766" s="4"/>
      <c r="P766" s="4"/>
      <c r="Q766" s="4"/>
      <c r="R766" s="4"/>
      <c r="S766" s="47"/>
      <c r="T766" s="4"/>
      <c r="U766" s="4"/>
      <c r="V766" s="47"/>
      <c r="W766" s="4"/>
      <c r="X766" s="4"/>
      <c r="Y766" s="47"/>
      <c r="Z766" s="4"/>
      <c r="AA766" s="4"/>
    </row>
    <row r="767" spans="1:27" ht="24" customHeight="1" x14ac:dyDescent="0.3">
      <c r="A767" s="4"/>
      <c r="B767" s="4"/>
      <c r="C767" s="4"/>
      <c r="D767" s="4"/>
      <c r="E767" s="4"/>
      <c r="F767" s="4"/>
      <c r="G767" s="4"/>
      <c r="H767" s="4"/>
      <c r="I767" s="4"/>
      <c r="J767" s="4"/>
      <c r="K767" s="4"/>
      <c r="L767" s="4"/>
      <c r="M767" s="4"/>
      <c r="N767" s="4"/>
      <c r="O767" s="4"/>
      <c r="P767" s="4"/>
      <c r="Q767" s="4"/>
      <c r="R767" s="4"/>
      <c r="S767" s="47"/>
      <c r="T767" s="4"/>
      <c r="U767" s="4"/>
      <c r="V767" s="47"/>
      <c r="W767" s="4"/>
      <c r="X767" s="4"/>
      <c r="Y767" s="47"/>
      <c r="Z767" s="4"/>
      <c r="AA767" s="4"/>
    </row>
    <row r="768" spans="1:27" ht="24" customHeight="1" x14ac:dyDescent="0.3">
      <c r="A768" s="4"/>
      <c r="B768" s="4"/>
      <c r="C768" s="4"/>
      <c r="D768" s="4"/>
      <c r="E768" s="4"/>
      <c r="F768" s="4"/>
      <c r="G768" s="4"/>
      <c r="H768" s="4"/>
      <c r="I768" s="4"/>
      <c r="J768" s="4"/>
      <c r="K768" s="4"/>
      <c r="L768" s="4"/>
      <c r="M768" s="4"/>
      <c r="N768" s="4"/>
      <c r="O768" s="4"/>
      <c r="P768" s="4"/>
      <c r="Q768" s="4"/>
      <c r="R768" s="4"/>
      <c r="S768" s="47"/>
      <c r="T768" s="4"/>
      <c r="U768" s="4"/>
      <c r="V768" s="47"/>
      <c r="W768" s="4"/>
      <c r="X768" s="4"/>
      <c r="Y768" s="47"/>
      <c r="Z768" s="4"/>
      <c r="AA768" s="4"/>
    </row>
    <row r="769" spans="1:27" ht="24" customHeight="1" x14ac:dyDescent="0.3">
      <c r="A769" s="4"/>
      <c r="B769" s="4"/>
      <c r="C769" s="4"/>
      <c r="D769" s="4"/>
      <c r="E769" s="4"/>
      <c r="F769" s="4"/>
      <c r="G769" s="4"/>
      <c r="H769" s="4"/>
      <c r="I769" s="4"/>
      <c r="J769" s="4"/>
      <c r="K769" s="4"/>
      <c r="L769" s="4"/>
      <c r="M769" s="4"/>
      <c r="N769" s="4"/>
      <c r="O769" s="4"/>
      <c r="P769" s="4"/>
      <c r="Q769" s="4"/>
      <c r="R769" s="4"/>
      <c r="S769" s="47"/>
      <c r="T769" s="4"/>
      <c r="U769" s="4"/>
      <c r="V769" s="47"/>
      <c r="W769" s="4"/>
      <c r="X769" s="4"/>
      <c r="Y769" s="47"/>
      <c r="Z769" s="4"/>
      <c r="AA769" s="4"/>
    </row>
    <row r="770" spans="1:27" ht="24" customHeight="1" x14ac:dyDescent="0.3">
      <c r="A770" s="4"/>
      <c r="B770" s="4"/>
      <c r="C770" s="4"/>
      <c r="D770" s="4"/>
      <c r="E770" s="4"/>
      <c r="F770" s="4"/>
      <c r="G770" s="4"/>
      <c r="H770" s="4"/>
      <c r="I770" s="4"/>
      <c r="J770" s="4"/>
      <c r="K770" s="4"/>
      <c r="L770" s="4"/>
      <c r="M770" s="4"/>
      <c r="N770" s="4"/>
      <c r="O770" s="4"/>
      <c r="P770" s="4"/>
      <c r="Q770" s="4"/>
      <c r="R770" s="4"/>
      <c r="S770" s="47"/>
      <c r="T770" s="4"/>
      <c r="U770" s="4"/>
      <c r="V770" s="47"/>
      <c r="W770" s="4"/>
      <c r="X770" s="4"/>
      <c r="Y770" s="47"/>
      <c r="Z770" s="4"/>
      <c r="AA770" s="4"/>
    </row>
    <row r="771" spans="1:27" ht="24" customHeight="1" x14ac:dyDescent="0.3">
      <c r="A771" s="4"/>
      <c r="B771" s="4"/>
      <c r="C771" s="4"/>
      <c r="D771" s="4"/>
      <c r="E771" s="4"/>
      <c r="F771" s="4"/>
      <c r="G771" s="4"/>
      <c r="H771" s="4"/>
      <c r="I771" s="4"/>
      <c r="J771" s="4"/>
      <c r="K771" s="4"/>
      <c r="L771" s="4"/>
      <c r="M771" s="4"/>
      <c r="N771" s="4"/>
      <c r="O771" s="4"/>
      <c r="P771" s="4"/>
      <c r="Q771" s="4"/>
      <c r="R771" s="4"/>
      <c r="S771" s="47"/>
      <c r="T771" s="4"/>
      <c r="U771" s="4"/>
      <c r="V771" s="47"/>
      <c r="W771" s="4"/>
      <c r="X771" s="4"/>
      <c r="Y771" s="47"/>
      <c r="Z771" s="4"/>
      <c r="AA771" s="4"/>
    </row>
    <row r="772" spans="1:27" ht="24" customHeight="1" x14ac:dyDescent="0.3">
      <c r="A772" s="4"/>
      <c r="B772" s="4"/>
      <c r="C772" s="4"/>
      <c r="D772" s="4"/>
      <c r="E772" s="4"/>
      <c r="F772" s="4"/>
      <c r="G772" s="4"/>
      <c r="H772" s="4"/>
      <c r="I772" s="4"/>
      <c r="J772" s="4"/>
      <c r="K772" s="4"/>
      <c r="L772" s="4"/>
      <c r="M772" s="4"/>
      <c r="N772" s="4"/>
      <c r="O772" s="4"/>
      <c r="P772" s="4"/>
      <c r="Q772" s="4"/>
      <c r="R772" s="4"/>
      <c r="S772" s="47"/>
      <c r="T772" s="4"/>
      <c r="U772" s="4"/>
      <c r="V772" s="47"/>
      <c r="W772" s="4"/>
      <c r="X772" s="4"/>
      <c r="Y772" s="47"/>
      <c r="Z772" s="4"/>
      <c r="AA772" s="4"/>
    </row>
    <row r="773" spans="1:27" ht="24" customHeight="1" x14ac:dyDescent="0.3">
      <c r="A773" s="4"/>
      <c r="B773" s="4"/>
      <c r="C773" s="4"/>
      <c r="D773" s="4"/>
      <c r="E773" s="4"/>
      <c r="F773" s="4"/>
      <c r="G773" s="4"/>
      <c r="H773" s="4"/>
      <c r="I773" s="4"/>
      <c r="J773" s="4"/>
      <c r="K773" s="4"/>
      <c r="L773" s="4"/>
      <c r="M773" s="4"/>
      <c r="N773" s="4"/>
      <c r="O773" s="4"/>
      <c r="P773" s="4"/>
      <c r="Q773" s="4"/>
      <c r="R773" s="4"/>
      <c r="S773" s="47"/>
      <c r="T773" s="4"/>
      <c r="U773" s="4"/>
      <c r="V773" s="47"/>
      <c r="W773" s="4"/>
      <c r="X773" s="4"/>
      <c r="Y773" s="47"/>
      <c r="Z773" s="4"/>
      <c r="AA773" s="4"/>
    </row>
    <row r="774" spans="1:27" ht="24" customHeight="1" x14ac:dyDescent="0.3">
      <c r="A774" s="4"/>
      <c r="B774" s="4"/>
      <c r="C774" s="4"/>
      <c r="D774" s="4"/>
      <c r="E774" s="4"/>
      <c r="F774" s="4"/>
      <c r="G774" s="4"/>
      <c r="H774" s="4"/>
      <c r="I774" s="4"/>
      <c r="J774" s="4"/>
      <c r="K774" s="4"/>
      <c r="L774" s="4"/>
      <c r="M774" s="4"/>
      <c r="N774" s="4"/>
      <c r="O774" s="4"/>
      <c r="P774" s="4"/>
      <c r="Q774" s="4"/>
      <c r="R774" s="4"/>
      <c r="S774" s="47"/>
      <c r="T774" s="4"/>
      <c r="U774" s="4"/>
      <c r="V774" s="47"/>
      <c r="W774" s="4"/>
      <c r="X774" s="4"/>
      <c r="Y774" s="47"/>
      <c r="Z774" s="4"/>
      <c r="AA774" s="4"/>
    </row>
    <row r="775" spans="1:27" ht="24" customHeight="1" x14ac:dyDescent="0.3">
      <c r="A775" s="4"/>
      <c r="B775" s="4"/>
      <c r="C775" s="4"/>
      <c r="D775" s="4"/>
      <c r="E775" s="4"/>
      <c r="F775" s="4"/>
      <c r="G775" s="4"/>
      <c r="H775" s="4"/>
      <c r="I775" s="4"/>
      <c r="J775" s="4"/>
      <c r="K775" s="4"/>
      <c r="L775" s="4"/>
      <c r="M775" s="4"/>
      <c r="N775" s="4"/>
      <c r="O775" s="4"/>
      <c r="P775" s="4"/>
      <c r="Q775" s="4"/>
      <c r="R775" s="4"/>
      <c r="S775" s="47"/>
      <c r="T775" s="4"/>
      <c r="U775" s="4"/>
      <c r="V775" s="47"/>
      <c r="W775" s="4"/>
      <c r="X775" s="4"/>
      <c r="Y775" s="47"/>
      <c r="Z775" s="4"/>
      <c r="AA775" s="4"/>
    </row>
    <row r="776" spans="1:27" ht="24" customHeight="1" x14ac:dyDescent="0.3">
      <c r="A776" s="4"/>
      <c r="B776" s="4"/>
      <c r="C776" s="4"/>
      <c r="D776" s="4"/>
      <c r="E776" s="4"/>
      <c r="F776" s="4"/>
      <c r="G776" s="4"/>
      <c r="H776" s="4"/>
      <c r="I776" s="4"/>
      <c r="J776" s="4"/>
      <c r="K776" s="4"/>
      <c r="L776" s="4"/>
      <c r="M776" s="4"/>
      <c r="N776" s="4"/>
      <c r="O776" s="4"/>
      <c r="P776" s="4"/>
      <c r="Q776" s="4"/>
      <c r="R776" s="4"/>
      <c r="S776" s="47"/>
      <c r="T776" s="4"/>
      <c r="U776" s="4"/>
      <c r="V776" s="47"/>
      <c r="W776" s="4"/>
      <c r="X776" s="4"/>
      <c r="Y776" s="47"/>
      <c r="Z776" s="4"/>
      <c r="AA776" s="4"/>
    </row>
    <row r="777" spans="1:27" ht="24" customHeight="1" x14ac:dyDescent="0.3">
      <c r="A777" s="4"/>
      <c r="B777" s="4"/>
      <c r="C777" s="4"/>
      <c r="D777" s="4"/>
      <c r="E777" s="4"/>
      <c r="F777" s="4"/>
      <c r="G777" s="4"/>
      <c r="H777" s="4"/>
      <c r="I777" s="4"/>
      <c r="J777" s="4"/>
      <c r="K777" s="4"/>
      <c r="L777" s="4"/>
      <c r="M777" s="4"/>
      <c r="N777" s="4"/>
      <c r="O777" s="4"/>
      <c r="P777" s="4"/>
      <c r="Q777" s="4"/>
      <c r="R777" s="4"/>
      <c r="S777" s="47"/>
      <c r="T777" s="4"/>
      <c r="U777" s="4"/>
      <c r="V777" s="47"/>
      <c r="W777" s="4"/>
      <c r="X777" s="4"/>
      <c r="Y777" s="47"/>
      <c r="Z777" s="4"/>
      <c r="AA777" s="4"/>
    </row>
    <row r="778" spans="1:27" ht="24" customHeight="1" x14ac:dyDescent="0.3">
      <c r="A778" s="4"/>
      <c r="B778" s="4"/>
      <c r="C778" s="4"/>
      <c r="D778" s="4"/>
      <c r="E778" s="4"/>
      <c r="F778" s="4"/>
      <c r="G778" s="4"/>
      <c r="H778" s="4"/>
      <c r="I778" s="4"/>
      <c r="J778" s="4"/>
      <c r="K778" s="4"/>
      <c r="L778" s="4"/>
      <c r="M778" s="4"/>
      <c r="N778" s="4"/>
      <c r="O778" s="4"/>
      <c r="P778" s="4"/>
      <c r="Q778" s="4"/>
      <c r="R778" s="4"/>
      <c r="S778" s="47"/>
      <c r="T778" s="4"/>
      <c r="U778" s="4"/>
      <c r="V778" s="47"/>
      <c r="W778" s="4"/>
      <c r="X778" s="4"/>
      <c r="Y778" s="47"/>
      <c r="Z778" s="4"/>
      <c r="AA778" s="4"/>
    </row>
    <row r="779" spans="1:27" ht="24" customHeight="1" x14ac:dyDescent="0.3">
      <c r="A779" s="4"/>
      <c r="B779" s="4"/>
      <c r="C779" s="4"/>
      <c r="D779" s="4"/>
      <c r="E779" s="4"/>
      <c r="F779" s="4"/>
      <c r="G779" s="4"/>
      <c r="H779" s="4"/>
      <c r="I779" s="4"/>
      <c r="J779" s="4"/>
      <c r="K779" s="4"/>
      <c r="L779" s="4"/>
      <c r="M779" s="4"/>
      <c r="N779" s="4"/>
      <c r="O779" s="4"/>
      <c r="P779" s="4"/>
      <c r="Q779" s="4"/>
      <c r="R779" s="4"/>
      <c r="S779" s="47"/>
      <c r="T779" s="4"/>
      <c r="U779" s="4"/>
      <c r="V779" s="47"/>
      <c r="W779" s="4"/>
      <c r="X779" s="4"/>
      <c r="Y779" s="47"/>
      <c r="Z779" s="4"/>
      <c r="AA779" s="4"/>
    </row>
    <row r="780" spans="1:27" ht="24" customHeight="1" x14ac:dyDescent="0.3">
      <c r="A780" s="4"/>
      <c r="B780" s="4"/>
      <c r="C780" s="4"/>
      <c r="D780" s="4"/>
      <c r="E780" s="4"/>
      <c r="F780" s="4"/>
      <c r="G780" s="4"/>
      <c r="H780" s="4"/>
      <c r="I780" s="4"/>
      <c r="J780" s="4"/>
      <c r="K780" s="4"/>
      <c r="L780" s="4"/>
      <c r="M780" s="4"/>
      <c r="N780" s="4"/>
      <c r="O780" s="4"/>
      <c r="P780" s="4"/>
      <c r="Q780" s="4"/>
      <c r="R780" s="4"/>
      <c r="S780" s="47"/>
      <c r="T780" s="4"/>
      <c r="U780" s="4"/>
      <c r="V780" s="47"/>
      <c r="W780" s="4"/>
      <c r="X780" s="4"/>
      <c r="Y780" s="47"/>
      <c r="Z780" s="4"/>
      <c r="AA780" s="4"/>
    </row>
    <row r="781" spans="1:27" ht="24" customHeight="1" x14ac:dyDescent="0.3">
      <c r="A781" s="4"/>
      <c r="B781" s="4"/>
      <c r="C781" s="4"/>
      <c r="D781" s="4"/>
      <c r="E781" s="4"/>
      <c r="F781" s="4"/>
      <c r="G781" s="4"/>
      <c r="H781" s="4"/>
      <c r="I781" s="4"/>
      <c r="J781" s="4"/>
      <c r="K781" s="4"/>
      <c r="L781" s="4"/>
      <c r="M781" s="4"/>
      <c r="N781" s="4"/>
      <c r="O781" s="4"/>
      <c r="P781" s="4"/>
      <c r="Q781" s="4"/>
      <c r="R781" s="4"/>
      <c r="S781" s="47"/>
      <c r="T781" s="4"/>
      <c r="U781" s="4"/>
      <c r="V781" s="47"/>
      <c r="W781" s="4"/>
      <c r="X781" s="4"/>
      <c r="Y781" s="47"/>
      <c r="Z781" s="4"/>
      <c r="AA781" s="4"/>
    </row>
    <row r="782" spans="1:27" ht="24" customHeight="1" x14ac:dyDescent="0.3">
      <c r="A782" s="4"/>
      <c r="B782" s="4"/>
      <c r="C782" s="4"/>
      <c r="D782" s="4"/>
      <c r="E782" s="4"/>
      <c r="F782" s="4"/>
      <c r="G782" s="4"/>
      <c r="H782" s="4"/>
      <c r="I782" s="4"/>
      <c r="J782" s="4"/>
      <c r="K782" s="4"/>
      <c r="L782" s="4"/>
      <c r="M782" s="4"/>
      <c r="N782" s="4"/>
      <c r="O782" s="4"/>
      <c r="P782" s="4"/>
      <c r="Q782" s="4"/>
      <c r="R782" s="4"/>
      <c r="S782" s="47"/>
      <c r="T782" s="4"/>
      <c r="U782" s="4"/>
      <c r="V782" s="47"/>
      <c r="W782" s="4"/>
      <c r="X782" s="4"/>
      <c r="Y782" s="47"/>
      <c r="Z782" s="4"/>
      <c r="AA782" s="4"/>
    </row>
    <row r="783" spans="1:27" ht="24" customHeight="1" x14ac:dyDescent="0.3">
      <c r="A783" s="4"/>
      <c r="B783" s="4"/>
      <c r="C783" s="4"/>
      <c r="D783" s="4"/>
      <c r="E783" s="4"/>
      <c r="F783" s="4"/>
      <c r="G783" s="4"/>
      <c r="H783" s="4"/>
      <c r="I783" s="4"/>
      <c r="J783" s="4"/>
      <c r="K783" s="4"/>
      <c r="L783" s="4"/>
      <c r="M783" s="4"/>
      <c r="N783" s="4"/>
      <c r="O783" s="4"/>
      <c r="P783" s="4"/>
      <c r="Q783" s="4"/>
      <c r="R783" s="4"/>
      <c r="S783" s="47"/>
      <c r="T783" s="4"/>
      <c r="U783" s="4"/>
      <c r="V783" s="47"/>
      <c r="W783" s="4"/>
      <c r="X783" s="4"/>
      <c r="Y783" s="47"/>
      <c r="Z783" s="4"/>
      <c r="AA783" s="4"/>
    </row>
    <row r="784" spans="1:27" ht="24" customHeight="1" x14ac:dyDescent="0.3">
      <c r="A784" s="4"/>
      <c r="B784" s="4"/>
      <c r="C784" s="4"/>
      <c r="D784" s="4"/>
      <c r="E784" s="4"/>
      <c r="F784" s="4"/>
      <c r="G784" s="4"/>
      <c r="H784" s="4"/>
      <c r="I784" s="4"/>
      <c r="J784" s="4"/>
      <c r="K784" s="4"/>
      <c r="L784" s="4"/>
      <c r="M784" s="4"/>
      <c r="N784" s="4"/>
      <c r="O784" s="4"/>
      <c r="P784" s="4"/>
      <c r="Q784" s="4"/>
      <c r="R784" s="4"/>
      <c r="S784" s="47"/>
      <c r="T784" s="4"/>
      <c r="U784" s="4"/>
      <c r="V784" s="47"/>
      <c r="W784" s="4"/>
      <c r="X784" s="4"/>
      <c r="Y784" s="47"/>
      <c r="Z784" s="4"/>
      <c r="AA784" s="4"/>
    </row>
    <row r="785" spans="1:27" ht="24" customHeight="1" x14ac:dyDescent="0.3">
      <c r="A785" s="4"/>
      <c r="B785" s="4"/>
      <c r="C785" s="4"/>
      <c r="D785" s="4"/>
      <c r="E785" s="4"/>
      <c r="F785" s="4"/>
      <c r="G785" s="4"/>
      <c r="H785" s="4"/>
      <c r="I785" s="4"/>
      <c r="J785" s="4"/>
      <c r="K785" s="4"/>
      <c r="L785" s="4"/>
      <c r="M785" s="4"/>
      <c r="N785" s="4"/>
      <c r="O785" s="4"/>
      <c r="P785" s="4"/>
      <c r="Q785" s="4"/>
      <c r="R785" s="4"/>
      <c r="S785" s="47"/>
      <c r="T785" s="4"/>
      <c r="U785" s="4"/>
      <c r="V785" s="47"/>
      <c r="W785" s="4"/>
      <c r="X785" s="4"/>
      <c r="Y785" s="47"/>
      <c r="Z785" s="4"/>
      <c r="AA785" s="4"/>
    </row>
    <row r="786" spans="1:27" ht="24" customHeight="1" x14ac:dyDescent="0.3">
      <c r="A786" s="4"/>
      <c r="B786" s="4"/>
      <c r="C786" s="4"/>
      <c r="D786" s="4"/>
      <c r="E786" s="4"/>
      <c r="F786" s="4"/>
      <c r="G786" s="4"/>
      <c r="H786" s="4"/>
      <c r="I786" s="4"/>
      <c r="J786" s="4"/>
      <c r="K786" s="4"/>
      <c r="L786" s="4"/>
      <c r="M786" s="4"/>
      <c r="N786" s="4"/>
      <c r="O786" s="4"/>
      <c r="P786" s="4"/>
      <c r="Q786" s="4"/>
      <c r="R786" s="4"/>
      <c r="S786" s="47"/>
      <c r="T786" s="4"/>
      <c r="U786" s="4"/>
      <c r="V786" s="47"/>
      <c r="W786" s="4"/>
      <c r="X786" s="4"/>
      <c r="Y786" s="47"/>
      <c r="Z786" s="4"/>
      <c r="AA786" s="4"/>
    </row>
    <row r="787" spans="1:27" ht="24" customHeight="1" x14ac:dyDescent="0.3">
      <c r="A787" s="4"/>
      <c r="B787" s="4"/>
      <c r="C787" s="4"/>
      <c r="D787" s="4"/>
      <c r="E787" s="4"/>
      <c r="F787" s="4"/>
      <c r="G787" s="4"/>
      <c r="H787" s="4"/>
      <c r="I787" s="4"/>
      <c r="J787" s="4"/>
      <c r="K787" s="4"/>
      <c r="L787" s="4"/>
      <c r="M787" s="4"/>
      <c r="N787" s="4"/>
      <c r="O787" s="4"/>
      <c r="P787" s="4"/>
      <c r="Q787" s="4"/>
      <c r="R787" s="4"/>
      <c r="S787" s="47"/>
      <c r="T787" s="4"/>
      <c r="U787" s="4"/>
      <c r="V787" s="47"/>
      <c r="W787" s="4"/>
      <c r="X787" s="4"/>
      <c r="Y787" s="47"/>
      <c r="Z787" s="4"/>
      <c r="AA787" s="4"/>
    </row>
    <row r="788" spans="1:27" ht="24" customHeight="1" x14ac:dyDescent="0.3">
      <c r="A788" s="4"/>
      <c r="B788" s="4"/>
      <c r="C788" s="4"/>
      <c r="D788" s="4"/>
      <c r="E788" s="4"/>
      <c r="F788" s="4"/>
      <c r="G788" s="4"/>
      <c r="H788" s="4"/>
      <c r="I788" s="4"/>
      <c r="J788" s="4"/>
      <c r="K788" s="4"/>
      <c r="L788" s="4"/>
      <c r="M788" s="4"/>
      <c r="N788" s="4"/>
      <c r="O788" s="4"/>
      <c r="P788" s="4"/>
      <c r="Q788" s="4"/>
      <c r="R788" s="4"/>
      <c r="S788" s="47"/>
      <c r="T788" s="4"/>
      <c r="U788" s="4"/>
      <c r="V788" s="47"/>
      <c r="W788" s="4"/>
      <c r="X788" s="4"/>
      <c r="Y788" s="47"/>
      <c r="Z788" s="4"/>
      <c r="AA788" s="4"/>
    </row>
    <row r="789" spans="1:27" ht="24" customHeight="1" x14ac:dyDescent="0.3">
      <c r="A789" s="4"/>
      <c r="B789" s="4"/>
      <c r="C789" s="4"/>
      <c r="D789" s="4"/>
      <c r="E789" s="4"/>
      <c r="F789" s="4"/>
      <c r="G789" s="4"/>
      <c r="H789" s="4"/>
      <c r="I789" s="4"/>
      <c r="J789" s="4"/>
      <c r="K789" s="4"/>
      <c r="L789" s="4"/>
      <c r="M789" s="4"/>
      <c r="N789" s="4"/>
      <c r="O789" s="4"/>
      <c r="P789" s="4"/>
      <c r="Q789" s="4"/>
      <c r="R789" s="4"/>
      <c r="S789" s="47"/>
      <c r="T789" s="4"/>
      <c r="U789" s="4"/>
      <c r="V789" s="47"/>
      <c r="W789" s="4"/>
      <c r="X789" s="4"/>
      <c r="Y789" s="47"/>
      <c r="Z789" s="4"/>
      <c r="AA789" s="4"/>
    </row>
    <row r="790" spans="1:27" ht="24" customHeight="1" x14ac:dyDescent="0.3">
      <c r="A790" s="4"/>
      <c r="B790" s="4"/>
      <c r="C790" s="4"/>
      <c r="D790" s="4"/>
      <c r="E790" s="4"/>
      <c r="F790" s="4"/>
      <c r="G790" s="4"/>
      <c r="H790" s="4"/>
      <c r="I790" s="4"/>
      <c r="J790" s="4"/>
      <c r="K790" s="4"/>
      <c r="L790" s="4"/>
      <c r="M790" s="4"/>
      <c r="N790" s="4"/>
      <c r="O790" s="4"/>
      <c r="P790" s="4"/>
      <c r="Q790" s="4"/>
      <c r="R790" s="4"/>
      <c r="S790" s="47"/>
      <c r="T790" s="4"/>
      <c r="U790" s="4"/>
      <c r="V790" s="47"/>
      <c r="W790" s="4"/>
      <c r="X790" s="4"/>
      <c r="Y790" s="47"/>
      <c r="Z790" s="4"/>
      <c r="AA790" s="4"/>
    </row>
    <row r="791" spans="1:27" ht="24" customHeight="1" x14ac:dyDescent="0.3">
      <c r="A791" s="4"/>
      <c r="B791" s="4"/>
      <c r="C791" s="4"/>
      <c r="D791" s="4"/>
      <c r="E791" s="4"/>
      <c r="F791" s="4"/>
      <c r="G791" s="4"/>
      <c r="H791" s="4"/>
      <c r="I791" s="4"/>
      <c r="J791" s="4"/>
      <c r="K791" s="4"/>
      <c r="L791" s="4"/>
      <c r="M791" s="4"/>
      <c r="N791" s="4"/>
      <c r="O791" s="4"/>
      <c r="P791" s="4"/>
      <c r="Q791" s="4"/>
      <c r="R791" s="4"/>
      <c r="S791" s="47"/>
      <c r="T791" s="4"/>
      <c r="U791" s="4"/>
      <c r="V791" s="47"/>
      <c r="W791" s="4"/>
      <c r="X791" s="4"/>
      <c r="Y791" s="47"/>
      <c r="Z791" s="4"/>
      <c r="AA791" s="4"/>
    </row>
    <row r="792" spans="1:27" ht="24" customHeight="1" x14ac:dyDescent="0.3">
      <c r="A792" s="4"/>
      <c r="B792" s="4"/>
      <c r="C792" s="4"/>
      <c r="D792" s="4"/>
      <c r="E792" s="4"/>
      <c r="F792" s="4"/>
      <c r="G792" s="4"/>
      <c r="H792" s="4"/>
      <c r="I792" s="4"/>
      <c r="J792" s="4"/>
      <c r="K792" s="4"/>
      <c r="L792" s="4"/>
      <c r="M792" s="4"/>
      <c r="N792" s="4"/>
      <c r="O792" s="4"/>
      <c r="P792" s="4"/>
      <c r="Q792" s="4"/>
      <c r="R792" s="4"/>
      <c r="S792" s="47"/>
      <c r="T792" s="4"/>
      <c r="U792" s="4"/>
      <c r="V792" s="47"/>
      <c r="W792" s="4"/>
      <c r="X792" s="4"/>
      <c r="Y792" s="47"/>
      <c r="Z792" s="4"/>
      <c r="AA792" s="4"/>
    </row>
    <row r="793" spans="1:27" ht="24" customHeight="1" x14ac:dyDescent="0.3">
      <c r="A793" s="4"/>
      <c r="B793" s="4"/>
      <c r="C793" s="4"/>
      <c r="D793" s="4"/>
      <c r="E793" s="4"/>
      <c r="F793" s="4"/>
      <c r="G793" s="4"/>
      <c r="H793" s="4"/>
      <c r="I793" s="4"/>
      <c r="J793" s="4"/>
      <c r="K793" s="4"/>
      <c r="L793" s="4"/>
      <c r="M793" s="4"/>
      <c r="N793" s="4"/>
      <c r="O793" s="4"/>
      <c r="P793" s="4"/>
      <c r="Q793" s="4"/>
      <c r="R793" s="4"/>
      <c r="S793" s="47"/>
      <c r="T793" s="4"/>
      <c r="U793" s="4"/>
      <c r="V793" s="47"/>
      <c r="W793" s="4"/>
      <c r="X793" s="4"/>
      <c r="Y793" s="47"/>
      <c r="Z793" s="4"/>
      <c r="AA793" s="4"/>
    </row>
    <row r="794" spans="1:27" ht="24" customHeight="1" x14ac:dyDescent="0.3">
      <c r="A794" s="4"/>
      <c r="B794" s="4"/>
      <c r="C794" s="4"/>
      <c r="D794" s="4"/>
      <c r="E794" s="4"/>
      <c r="F794" s="4"/>
      <c r="G794" s="4"/>
      <c r="H794" s="4"/>
      <c r="I794" s="4"/>
      <c r="J794" s="4"/>
      <c r="K794" s="4"/>
      <c r="L794" s="4"/>
      <c r="M794" s="4"/>
      <c r="N794" s="4"/>
      <c r="O794" s="4"/>
      <c r="P794" s="4"/>
      <c r="Q794" s="4"/>
      <c r="R794" s="4"/>
      <c r="S794" s="47"/>
      <c r="T794" s="4"/>
      <c r="U794" s="4"/>
      <c r="V794" s="47"/>
      <c r="W794" s="4"/>
      <c r="X794" s="4"/>
      <c r="Y794" s="47"/>
      <c r="Z794" s="4"/>
      <c r="AA794" s="4"/>
    </row>
    <row r="795" spans="1:27" ht="24" customHeight="1" x14ac:dyDescent="0.3">
      <c r="A795" s="4"/>
      <c r="B795" s="4"/>
      <c r="C795" s="4"/>
      <c r="D795" s="4"/>
      <c r="E795" s="4"/>
      <c r="F795" s="4"/>
      <c r="G795" s="4"/>
      <c r="H795" s="4"/>
      <c r="I795" s="4"/>
      <c r="J795" s="4"/>
      <c r="K795" s="4"/>
      <c r="L795" s="4"/>
      <c r="M795" s="4"/>
      <c r="N795" s="4"/>
      <c r="O795" s="4"/>
      <c r="P795" s="4"/>
      <c r="Q795" s="4"/>
      <c r="R795" s="4"/>
      <c r="S795" s="47"/>
      <c r="T795" s="4"/>
      <c r="U795" s="4"/>
      <c r="V795" s="47"/>
      <c r="W795" s="4"/>
      <c r="X795" s="4"/>
      <c r="Y795" s="47"/>
      <c r="Z795" s="4"/>
      <c r="AA795" s="4"/>
    </row>
    <row r="796" spans="1:27" ht="24" customHeight="1" x14ac:dyDescent="0.3">
      <c r="A796" s="4"/>
      <c r="B796" s="4"/>
      <c r="C796" s="4"/>
      <c r="D796" s="4"/>
      <c r="E796" s="4"/>
      <c r="F796" s="4"/>
      <c r="G796" s="4"/>
      <c r="H796" s="4"/>
      <c r="I796" s="4"/>
      <c r="J796" s="4"/>
      <c r="K796" s="4"/>
      <c r="L796" s="4"/>
      <c r="M796" s="4"/>
      <c r="N796" s="4"/>
      <c r="O796" s="4"/>
      <c r="P796" s="4"/>
      <c r="Q796" s="4"/>
      <c r="R796" s="4"/>
      <c r="S796" s="47"/>
      <c r="T796" s="4"/>
      <c r="U796" s="4"/>
      <c r="V796" s="47"/>
      <c r="W796" s="4"/>
      <c r="X796" s="4"/>
      <c r="Y796" s="47"/>
      <c r="Z796" s="4"/>
      <c r="AA796" s="4"/>
    </row>
    <row r="797" spans="1:27" ht="24" customHeight="1" x14ac:dyDescent="0.3">
      <c r="A797" s="4"/>
      <c r="B797" s="4"/>
      <c r="C797" s="4"/>
      <c r="D797" s="4"/>
      <c r="E797" s="4"/>
      <c r="F797" s="4"/>
      <c r="G797" s="4"/>
      <c r="H797" s="4"/>
      <c r="I797" s="4"/>
      <c r="J797" s="4"/>
      <c r="K797" s="4"/>
      <c r="L797" s="4"/>
      <c r="M797" s="4"/>
      <c r="N797" s="4"/>
      <c r="O797" s="4"/>
      <c r="P797" s="4"/>
      <c r="Q797" s="4"/>
      <c r="R797" s="4"/>
      <c r="S797" s="47"/>
      <c r="T797" s="4"/>
      <c r="U797" s="4"/>
      <c r="V797" s="47"/>
      <c r="W797" s="4"/>
      <c r="X797" s="4"/>
      <c r="Y797" s="47"/>
      <c r="Z797" s="4"/>
      <c r="AA797" s="4"/>
    </row>
    <row r="798" spans="1:27" ht="24" customHeight="1" x14ac:dyDescent="0.3">
      <c r="A798" s="4"/>
      <c r="B798" s="4"/>
      <c r="C798" s="4"/>
      <c r="D798" s="4"/>
      <c r="E798" s="4"/>
      <c r="F798" s="4"/>
      <c r="G798" s="4"/>
      <c r="H798" s="4"/>
      <c r="I798" s="4"/>
      <c r="J798" s="4"/>
      <c r="K798" s="4"/>
      <c r="L798" s="4"/>
      <c r="M798" s="4"/>
      <c r="N798" s="4"/>
      <c r="O798" s="4"/>
      <c r="P798" s="4"/>
      <c r="Q798" s="4"/>
      <c r="R798" s="4"/>
      <c r="S798" s="47"/>
      <c r="T798" s="4"/>
      <c r="U798" s="4"/>
      <c r="V798" s="47"/>
      <c r="W798" s="4"/>
      <c r="X798" s="4"/>
      <c r="Y798" s="47"/>
      <c r="Z798" s="4"/>
      <c r="AA798" s="4"/>
    </row>
    <row r="799" spans="1:27" ht="24" customHeight="1" x14ac:dyDescent="0.3">
      <c r="A799" s="4"/>
      <c r="B799" s="4"/>
      <c r="C799" s="4"/>
      <c r="D799" s="4"/>
      <c r="E799" s="4"/>
      <c r="F799" s="4"/>
      <c r="G799" s="4"/>
      <c r="H799" s="4"/>
      <c r="I799" s="4"/>
      <c r="J799" s="4"/>
      <c r="K799" s="4"/>
      <c r="L799" s="4"/>
      <c r="M799" s="4"/>
      <c r="N799" s="4"/>
      <c r="O799" s="4"/>
      <c r="P799" s="4"/>
      <c r="Q799" s="4"/>
      <c r="R799" s="4"/>
      <c r="S799" s="47"/>
      <c r="T799" s="4"/>
      <c r="U799" s="4"/>
      <c r="V799" s="47"/>
      <c r="W799" s="4"/>
      <c r="X799" s="4"/>
      <c r="Y799" s="47"/>
      <c r="Z799" s="4"/>
      <c r="AA799" s="4"/>
    </row>
    <row r="800" spans="1:27" ht="24" customHeight="1" x14ac:dyDescent="0.3">
      <c r="A800" s="4"/>
      <c r="B800" s="4"/>
      <c r="C800" s="4"/>
      <c r="D800" s="4"/>
      <c r="E800" s="4"/>
      <c r="F800" s="4"/>
      <c r="G800" s="4"/>
      <c r="H800" s="4"/>
      <c r="I800" s="4"/>
      <c r="J800" s="4"/>
      <c r="K800" s="4"/>
      <c r="L800" s="4"/>
      <c r="M800" s="4"/>
      <c r="N800" s="4"/>
      <c r="O800" s="4"/>
      <c r="P800" s="4"/>
      <c r="Q800" s="4"/>
      <c r="R800" s="4"/>
      <c r="S800" s="47"/>
      <c r="T800" s="4"/>
      <c r="U800" s="4"/>
      <c r="V800" s="47"/>
      <c r="W800" s="4"/>
      <c r="X800" s="4"/>
      <c r="Y800" s="47"/>
      <c r="Z800" s="4"/>
      <c r="AA800" s="4"/>
    </row>
    <row r="801" spans="1:27" ht="24" customHeight="1" x14ac:dyDescent="0.3">
      <c r="A801" s="4"/>
      <c r="B801" s="4"/>
      <c r="C801" s="4"/>
      <c r="D801" s="4"/>
      <c r="E801" s="4"/>
      <c r="F801" s="4"/>
      <c r="G801" s="4"/>
      <c r="H801" s="4"/>
      <c r="I801" s="4"/>
      <c r="J801" s="4"/>
      <c r="K801" s="4"/>
      <c r="L801" s="4"/>
      <c r="M801" s="4"/>
      <c r="N801" s="4"/>
      <c r="O801" s="4"/>
      <c r="P801" s="4"/>
      <c r="Q801" s="4"/>
      <c r="R801" s="4"/>
      <c r="S801" s="47"/>
      <c r="T801" s="4"/>
      <c r="U801" s="4"/>
      <c r="V801" s="47"/>
      <c r="W801" s="4"/>
      <c r="X801" s="4"/>
      <c r="Y801" s="47"/>
      <c r="Z801" s="4"/>
      <c r="AA801" s="4"/>
    </row>
    <row r="802" spans="1:27" ht="24" customHeight="1" x14ac:dyDescent="0.3">
      <c r="A802" s="4"/>
      <c r="B802" s="4"/>
      <c r="C802" s="4"/>
      <c r="D802" s="4"/>
      <c r="E802" s="4"/>
      <c r="F802" s="4"/>
      <c r="G802" s="4"/>
      <c r="H802" s="4"/>
      <c r="I802" s="4"/>
      <c r="J802" s="4"/>
      <c r="K802" s="4"/>
      <c r="L802" s="4"/>
      <c r="M802" s="4"/>
      <c r="N802" s="4"/>
      <c r="O802" s="4"/>
      <c r="P802" s="4"/>
      <c r="Q802" s="4"/>
      <c r="R802" s="4"/>
      <c r="S802" s="47"/>
      <c r="T802" s="4"/>
      <c r="U802" s="4"/>
      <c r="V802" s="47"/>
      <c r="W802" s="4"/>
      <c r="X802" s="4"/>
      <c r="Y802" s="47"/>
      <c r="Z802" s="4"/>
      <c r="AA802" s="4"/>
    </row>
    <row r="803" spans="1:27" ht="24" customHeight="1" x14ac:dyDescent="0.3">
      <c r="A803" s="4"/>
      <c r="B803" s="4"/>
      <c r="C803" s="4"/>
      <c r="D803" s="4"/>
      <c r="E803" s="4"/>
      <c r="F803" s="4"/>
      <c r="G803" s="4"/>
      <c r="H803" s="4"/>
      <c r="I803" s="4"/>
      <c r="J803" s="4"/>
      <c r="K803" s="4"/>
      <c r="L803" s="4"/>
      <c r="M803" s="4"/>
      <c r="N803" s="4"/>
      <c r="O803" s="4"/>
      <c r="P803" s="4"/>
      <c r="Q803" s="4"/>
      <c r="R803" s="4"/>
      <c r="S803" s="47"/>
      <c r="T803" s="4"/>
      <c r="U803" s="4"/>
      <c r="V803" s="47"/>
      <c r="W803" s="4"/>
      <c r="X803" s="4"/>
      <c r="Y803" s="47"/>
      <c r="Z803" s="4"/>
      <c r="AA803" s="4"/>
    </row>
    <row r="804" spans="1:27" ht="24" customHeight="1" x14ac:dyDescent="0.3">
      <c r="A804" s="4"/>
      <c r="B804" s="4"/>
      <c r="C804" s="4"/>
      <c r="D804" s="4"/>
      <c r="E804" s="4"/>
      <c r="F804" s="4"/>
      <c r="G804" s="4"/>
      <c r="H804" s="4"/>
      <c r="I804" s="4"/>
      <c r="J804" s="4"/>
      <c r="K804" s="4"/>
      <c r="L804" s="4"/>
      <c r="M804" s="4"/>
      <c r="N804" s="4"/>
      <c r="O804" s="4"/>
      <c r="P804" s="4"/>
      <c r="Q804" s="4"/>
      <c r="R804" s="4"/>
      <c r="S804" s="47"/>
      <c r="T804" s="4"/>
      <c r="U804" s="4"/>
      <c r="V804" s="47"/>
      <c r="W804" s="4"/>
      <c r="X804" s="4"/>
      <c r="Y804" s="47"/>
      <c r="Z804" s="4"/>
      <c r="AA804" s="4"/>
    </row>
    <row r="805" spans="1:27" ht="24" customHeight="1" x14ac:dyDescent="0.3">
      <c r="A805" s="4"/>
      <c r="B805" s="4"/>
      <c r="C805" s="4"/>
      <c r="D805" s="4"/>
      <c r="E805" s="4"/>
      <c r="F805" s="4"/>
      <c r="G805" s="4"/>
      <c r="H805" s="4"/>
      <c r="I805" s="4"/>
      <c r="J805" s="4"/>
      <c r="K805" s="4"/>
      <c r="L805" s="4"/>
      <c r="M805" s="4"/>
      <c r="N805" s="4"/>
      <c r="O805" s="4"/>
      <c r="P805" s="4"/>
      <c r="Q805" s="4"/>
      <c r="R805" s="4"/>
      <c r="S805" s="47"/>
      <c r="T805" s="4"/>
      <c r="U805" s="4"/>
      <c r="V805" s="47"/>
      <c r="W805" s="4"/>
      <c r="X805" s="4"/>
      <c r="Y805" s="47"/>
      <c r="Z805" s="4"/>
      <c r="AA805" s="4"/>
    </row>
    <row r="806" spans="1:27" ht="24" customHeight="1" x14ac:dyDescent="0.3">
      <c r="A806" s="4"/>
      <c r="B806" s="4"/>
      <c r="C806" s="4"/>
      <c r="D806" s="4"/>
      <c r="E806" s="4"/>
      <c r="F806" s="4"/>
      <c r="G806" s="4"/>
      <c r="H806" s="4"/>
      <c r="I806" s="4"/>
      <c r="J806" s="4"/>
      <c r="K806" s="4"/>
      <c r="L806" s="4"/>
      <c r="M806" s="4"/>
      <c r="N806" s="4"/>
      <c r="O806" s="4"/>
      <c r="P806" s="4"/>
      <c r="Q806" s="4"/>
      <c r="R806" s="4"/>
      <c r="S806" s="47"/>
      <c r="T806" s="4"/>
      <c r="U806" s="4"/>
      <c r="V806" s="47"/>
      <c r="W806" s="4"/>
      <c r="X806" s="4"/>
      <c r="Y806" s="47"/>
      <c r="Z806" s="4"/>
      <c r="AA806" s="4"/>
    </row>
    <row r="807" spans="1:27" ht="24" customHeight="1" x14ac:dyDescent="0.3">
      <c r="A807" s="4"/>
      <c r="B807" s="4"/>
      <c r="C807" s="4"/>
      <c r="D807" s="4"/>
      <c r="E807" s="4"/>
      <c r="F807" s="4"/>
      <c r="G807" s="4"/>
      <c r="H807" s="4"/>
      <c r="I807" s="4"/>
      <c r="J807" s="4"/>
      <c r="K807" s="4"/>
      <c r="L807" s="4"/>
      <c r="M807" s="4"/>
      <c r="N807" s="4"/>
      <c r="O807" s="4"/>
      <c r="P807" s="4"/>
      <c r="Q807" s="4"/>
      <c r="R807" s="4"/>
      <c r="S807" s="47"/>
      <c r="T807" s="4"/>
      <c r="U807" s="4"/>
      <c r="V807" s="47"/>
      <c r="W807" s="4"/>
      <c r="X807" s="4"/>
      <c r="Y807" s="47"/>
      <c r="Z807" s="4"/>
      <c r="AA807" s="4"/>
    </row>
    <row r="808" spans="1:27" ht="24" customHeight="1" x14ac:dyDescent="0.3">
      <c r="A808" s="4"/>
      <c r="B808" s="4"/>
      <c r="C808" s="4"/>
      <c r="D808" s="4"/>
      <c r="E808" s="4"/>
      <c r="F808" s="4"/>
      <c r="G808" s="4"/>
      <c r="H808" s="4"/>
      <c r="I808" s="4"/>
      <c r="J808" s="4"/>
      <c r="K808" s="4"/>
      <c r="L808" s="4"/>
      <c r="M808" s="4"/>
      <c r="N808" s="4"/>
      <c r="O808" s="4"/>
      <c r="P808" s="4"/>
      <c r="Q808" s="4"/>
      <c r="R808" s="4"/>
      <c r="S808" s="47"/>
      <c r="T808" s="4"/>
      <c r="U808" s="4"/>
      <c r="V808" s="47"/>
      <c r="W808" s="4"/>
      <c r="X808" s="4"/>
      <c r="Y808" s="47"/>
      <c r="Z808" s="4"/>
      <c r="AA808" s="4"/>
    </row>
    <row r="809" spans="1:27" ht="24" customHeight="1" x14ac:dyDescent="0.3">
      <c r="A809" s="4"/>
      <c r="B809" s="4"/>
      <c r="C809" s="4"/>
      <c r="D809" s="4"/>
      <c r="E809" s="4"/>
      <c r="F809" s="4"/>
      <c r="G809" s="4"/>
      <c r="H809" s="4"/>
      <c r="I809" s="4"/>
      <c r="J809" s="4"/>
      <c r="K809" s="4"/>
      <c r="L809" s="4"/>
      <c r="M809" s="4"/>
      <c r="N809" s="4"/>
      <c r="O809" s="4"/>
      <c r="P809" s="4"/>
      <c r="Q809" s="4"/>
      <c r="R809" s="4"/>
      <c r="S809" s="47"/>
      <c r="T809" s="4"/>
      <c r="U809" s="4"/>
      <c r="V809" s="47"/>
      <c r="W809" s="4"/>
      <c r="X809" s="4"/>
      <c r="Y809" s="47"/>
      <c r="Z809" s="4"/>
      <c r="AA809" s="4"/>
    </row>
    <row r="810" spans="1:27" ht="24" customHeight="1" x14ac:dyDescent="0.3">
      <c r="A810" s="4"/>
      <c r="B810" s="4"/>
      <c r="C810" s="4"/>
      <c r="D810" s="4"/>
      <c r="E810" s="4"/>
      <c r="F810" s="4"/>
      <c r="G810" s="4"/>
      <c r="H810" s="4"/>
      <c r="I810" s="4"/>
      <c r="J810" s="4"/>
      <c r="K810" s="4"/>
      <c r="L810" s="4"/>
      <c r="M810" s="4"/>
      <c r="N810" s="4"/>
      <c r="O810" s="4"/>
      <c r="P810" s="4"/>
      <c r="Q810" s="4"/>
      <c r="R810" s="4"/>
      <c r="S810" s="47"/>
      <c r="T810" s="4"/>
      <c r="U810" s="4"/>
      <c r="V810" s="47"/>
      <c r="W810" s="4"/>
      <c r="X810" s="4"/>
      <c r="Y810" s="47"/>
      <c r="Z810" s="4"/>
      <c r="AA810" s="4"/>
    </row>
    <row r="811" spans="1:27" ht="24" customHeight="1" x14ac:dyDescent="0.3">
      <c r="A811" s="4"/>
      <c r="B811" s="4"/>
      <c r="C811" s="4"/>
      <c r="D811" s="4"/>
      <c r="E811" s="4"/>
      <c r="F811" s="4"/>
      <c r="G811" s="4"/>
      <c r="H811" s="4"/>
      <c r="I811" s="4"/>
      <c r="J811" s="4"/>
      <c r="K811" s="4"/>
      <c r="L811" s="4"/>
      <c r="M811" s="4"/>
      <c r="N811" s="4"/>
      <c r="O811" s="4"/>
      <c r="P811" s="4"/>
      <c r="Q811" s="4"/>
      <c r="R811" s="4"/>
      <c r="S811" s="47"/>
      <c r="T811" s="4"/>
      <c r="U811" s="4"/>
      <c r="V811" s="47"/>
      <c r="W811" s="4"/>
      <c r="X811" s="4"/>
      <c r="Y811" s="47"/>
      <c r="Z811" s="4"/>
      <c r="AA811" s="4"/>
    </row>
    <row r="812" spans="1:27" ht="24" customHeight="1" x14ac:dyDescent="0.3">
      <c r="A812" s="4"/>
      <c r="B812" s="4"/>
      <c r="C812" s="4"/>
      <c r="D812" s="4"/>
      <c r="E812" s="4"/>
      <c r="F812" s="4"/>
      <c r="G812" s="4"/>
      <c r="H812" s="4"/>
      <c r="I812" s="4"/>
      <c r="J812" s="4"/>
      <c r="K812" s="4"/>
      <c r="L812" s="4"/>
      <c r="M812" s="4"/>
      <c r="N812" s="4"/>
      <c r="O812" s="4"/>
      <c r="P812" s="4"/>
      <c r="Q812" s="4"/>
      <c r="R812" s="4"/>
      <c r="S812" s="47"/>
      <c r="T812" s="4"/>
      <c r="U812" s="4"/>
      <c r="V812" s="47"/>
      <c r="W812" s="4"/>
      <c r="X812" s="4"/>
      <c r="Y812" s="47"/>
      <c r="Z812" s="4"/>
      <c r="AA812" s="4"/>
    </row>
    <row r="813" spans="1:27" ht="24" customHeight="1" x14ac:dyDescent="0.3">
      <c r="A813" s="4"/>
      <c r="B813" s="4"/>
      <c r="C813" s="4"/>
      <c r="D813" s="4"/>
      <c r="E813" s="4"/>
      <c r="F813" s="4"/>
      <c r="G813" s="4"/>
      <c r="H813" s="4"/>
      <c r="I813" s="4"/>
      <c r="J813" s="4"/>
      <c r="K813" s="4"/>
      <c r="L813" s="4"/>
      <c r="M813" s="4"/>
      <c r="N813" s="4"/>
      <c r="O813" s="4"/>
      <c r="P813" s="4"/>
      <c r="Q813" s="4"/>
      <c r="R813" s="4"/>
      <c r="S813" s="47"/>
      <c r="T813" s="4"/>
      <c r="U813" s="4"/>
      <c r="V813" s="47"/>
      <c r="W813" s="4"/>
      <c r="X813" s="4"/>
      <c r="Y813" s="47"/>
      <c r="Z813" s="4"/>
      <c r="AA813" s="4"/>
    </row>
    <row r="814" spans="1:27" ht="24" customHeight="1" x14ac:dyDescent="0.3">
      <c r="A814" s="4"/>
      <c r="B814" s="4"/>
      <c r="C814" s="4"/>
      <c r="D814" s="4"/>
      <c r="E814" s="4"/>
      <c r="F814" s="4"/>
      <c r="G814" s="4"/>
      <c r="H814" s="4"/>
      <c r="I814" s="4"/>
      <c r="J814" s="4"/>
      <c r="K814" s="4"/>
      <c r="L814" s="4"/>
      <c r="M814" s="4"/>
      <c r="N814" s="4"/>
      <c r="O814" s="4"/>
      <c r="P814" s="4"/>
      <c r="Q814" s="4"/>
      <c r="R814" s="4"/>
      <c r="S814" s="47"/>
      <c r="T814" s="4"/>
      <c r="U814" s="4"/>
      <c r="V814" s="47"/>
      <c r="W814" s="4"/>
      <c r="X814" s="4"/>
      <c r="Y814" s="47"/>
      <c r="Z814" s="4"/>
      <c r="AA814" s="4"/>
    </row>
    <row r="815" spans="1:27" ht="24" customHeight="1" x14ac:dyDescent="0.3">
      <c r="A815" s="4"/>
      <c r="B815" s="4"/>
      <c r="C815" s="4"/>
      <c r="D815" s="4"/>
      <c r="E815" s="4"/>
      <c r="F815" s="4"/>
      <c r="G815" s="4"/>
      <c r="H815" s="4"/>
      <c r="I815" s="4"/>
      <c r="J815" s="4"/>
      <c r="K815" s="4"/>
      <c r="L815" s="4"/>
      <c r="M815" s="4"/>
      <c r="N815" s="4"/>
      <c r="O815" s="4"/>
      <c r="P815" s="4"/>
      <c r="Q815" s="4"/>
      <c r="R815" s="4"/>
      <c r="S815" s="47"/>
      <c r="T815" s="4"/>
      <c r="U815" s="4"/>
      <c r="V815" s="47"/>
      <c r="W815" s="4"/>
      <c r="X815" s="4"/>
      <c r="Y815" s="47"/>
      <c r="Z815" s="4"/>
      <c r="AA815" s="4"/>
    </row>
    <row r="816" spans="1:27" ht="24" customHeight="1" x14ac:dyDescent="0.3">
      <c r="A816" s="4"/>
      <c r="B816" s="4"/>
      <c r="C816" s="4"/>
      <c r="D816" s="4"/>
      <c r="E816" s="4"/>
      <c r="F816" s="4"/>
      <c r="G816" s="4"/>
      <c r="H816" s="4"/>
      <c r="I816" s="4"/>
      <c r="J816" s="4"/>
      <c r="K816" s="4"/>
      <c r="L816" s="4"/>
      <c r="M816" s="4"/>
      <c r="N816" s="4"/>
      <c r="O816" s="4"/>
      <c r="P816" s="4"/>
      <c r="Q816" s="4"/>
      <c r="R816" s="4"/>
      <c r="S816" s="47"/>
      <c r="T816" s="4"/>
      <c r="U816" s="4"/>
      <c r="V816" s="47"/>
      <c r="W816" s="4"/>
      <c r="X816" s="4"/>
      <c r="Y816" s="47"/>
      <c r="Z816" s="4"/>
      <c r="AA816" s="4"/>
    </row>
    <row r="817" spans="1:27" ht="24" customHeight="1" x14ac:dyDescent="0.3">
      <c r="A817" s="4"/>
      <c r="B817" s="4"/>
      <c r="C817" s="4"/>
      <c r="D817" s="4"/>
      <c r="E817" s="4"/>
      <c r="F817" s="4"/>
      <c r="G817" s="4"/>
      <c r="H817" s="4"/>
      <c r="I817" s="4"/>
      <c r="J817" s="4"/>
      <c r="K817" s="4"/>
      <c r="L817" s="4"/>
      <c r="M817" s="4"/>
      <c r="N817" s="4"/>
      <c r="O817" s="4"/>
      <c r="P817" s="4"/>
      <c r="Q817" s="4"/>
      <c r="R817" s="4"/>
      <c r="S817" s="47"/>
      <c r="T817" s="4"/>
      <c r="U817" s="4"/>
      <c r="V817" s="47"/>
      <c r="W817" s="4"/>
      <c r="X817" s="4"/>
      <c r="Y817" s="47"/>
      <c r="Z817" s="4"/>
      <c r="AA817" s="4"/>
    </row>
    <row r="818" spans="1:27" ht="24" customHeight="1" x14ac:dyDescent="0.3">
      <c r="A818" s="4"/>
      <c r="B818" s="4"/>
      <c r="C818" s="4"/>
      <c r="D818" s="4"/>
      <c r="E818" s="4"/>
      <c r="F818" s="4"/>
      <c r="G818" s="4"/>
      <c r="H818" s="4"/>
      <c r="I818" s="4"/>
      <c r="J818" s="4"/>
      <c r="K818" s="4"/>
      <c r="L818" s="4"/>
      <c r="M818" s="4"/>
      <c r="N818" s="4"/>
      <c r="O818" s="4"/>
      <c r="P818" s="4"/>
      <c r="Q818" s="4"/>
      <c r="R818" s="4"/>
      <c r="S818" s="47"/>
      <c r="T818" s="4"/>
      <c r="U818" s="4"/>
      <c r="V818" s="47"/>
      <c r="W818" s="4"/>
      <c r="X818" s="4"/>
      <c r="Y818" s="47"/>
      <c r="Z818" s="4"/>
      <c r="AA818" s="4"/>
    </row>
    <row r="819" spans="1:27" ht="24" customHeight="1" x14ac:dyDescent="0.3">
      <c r="A819" s="4"/>
      <c r="B819" s="4"/>
      <c r="C819" s="4"/>
      <c r="D819" s="4"/>
      <c r="E819" s="4"/>
      <c r="F819" s="4"/>
      <c r="G819" s="4"/>
      <c r="H819" s="4"/>
      <c r="I819" s="4"/>
      <c r="J819" s="4"/>
      <c r="K819" s="4"/>
      <c r="L819" s="4"/>
      <c r="M819" s="4"/>
      <c r="N819" s="4"/>
      <c r="O819" s="4"/>
      <c r="P819" s="4"/>
      <c r="Q819" s="4"/>
      <c r="R819" s="4"/>
      <c r="S819" s="47"/>
      <c r="T819" s="4"/>
      <c r="U819" s="4"/>
      <c r="V819" s="47"/>
      <c r="W819" s="4"/>
      <c r="X819" s="4"/>
      <c r="Y819" s="47"/>
      <c r="Z819" s="4"/>
      <c r="AA819" s="4"/>
    </row>
    <row r="820" spans="1:27" ht="24" customHeight="1" x14ac:dyDescent="0.3">
      <c r="A820" s="4"/>
      <c r="B820" s="4"/>
      <c r="C820" s="4"/>
      <c r="D820" s="4"/>
      <c r="E820" s="4"/>
      <c r="F820" s="4"/>
      <c r="G820" s="4"/>
      <c r="H820" s="4"/>
      <c r="I820" s="4"/>
      <c r="J820" s="4"/>
      <c r="K820" s="4"/>
      <c r="L820" s="4"/>
      <c r="M820" s="4"/>
      <c r="N820" s="4"/>
      <c r="O820" s="4"/>
      <c r="P820" s="4"/>
      <c r="Q820" s="4"/>
      <c r="R820" s="4"/>
      <c r="S820" s="47"/>
      <c r="T820" s="4"/>
      <c r="U820" s="4"/>
      <c r="V820" s="47"/>
      <c r="W820" s="4"/>
      <c r="X820" s="4"/>
      <c r="Y820" s="47"/>
      <c r="Z820" s="4"/>
      <c r="AA820" s="4"/>
    </row>
    <row r="821" spans="1:27" ht="24" customHeight="1" x14ac:dyDescent="0.3">
      <c r="A821" s="4"/>
      <c r="B821" s="4"/>
      <c r="C821" s="4"/>
      <c r="D821" s="4"/>
      <c r="E821" s="4"/>
      <c r="F821" s="4"/>
      <c r="G821" s="4"/>
      <c r="H821" s="4"/>
      <c r="I821" s="4"/>
      <c r="J821" s="4"/>
      <c r="K821" s="4"/>
      <c r="L821" s="4"/>
      <c r="M821" s="4"/>
      <c r="N821" s="4"/>
      <c r="O821" s="4"/>
      <c r="P821" s="4"/>
      <c r="Q821" s="4"/>
      <c r="R821" s="4"/>
      <c r="S821" s="47"/>
      <c r="T821" s="4"/>
      <c r="U821" s="4"/>
      <c r="V821" s="47"/>
      <c r="W821" s="4"/>
      <c r="X821" s="4"/>
      <c r="Y821" s="47"/>
      <c r="Z821" s="4"/>
      <c r="AA821" s="4"/>
    </row>
    <row r="822" spans="1:27" ht="24" customHeight="1" x14ac:dyDescent="0.3">
      <c r="A822" s="4"/>
      <c r="B822" s="4"/>
      <c r="C822" s="4"/>
      <c r="D822" s="4"/>
      <c r="E822" s="4"/>
      <c r="F822" s="4"/>
      <c r="G822" s="4"/>
      <c r="H822" s="4"/>
      <c r="I822" s="4"/>
      <c r="J822" s="4"/>
      <c r="K822" s="4"/>
      <c r="L822" s="4"/>
      <c r="M822" s="4"/>
      <c r="N822" s="4"/>
      <c r="O822" s="4"/>
      <c r="P822" s="4"/>
      <c r="Q822" s="4"/>
      <c r="R822" s="4"/>
      <c r="S822" s="47"/>
      <c r="T822" s="4"/>
      <c r="U822" s="4"/>
      <c r="V822" s="47"/>
      <c r="W822" s="4"/>
      <c r="X822" s="4"/>
      <c r="Y822" s="47"/>
      <c r="Z822" s="4"/>
      <c r="AA822" s="4"/>
    </row>
    <row r="823" spans="1:27" ht="24" customHeight="1" x14ac:dyDescent="0.3">
      <c r="A823" s="4"/>
      <c r="B823" s="4"/>
      <c r="C823" s="4"/>
      <c r="D823" s="4"/>
      <c r="E823" s="4"/>
      <c r="F823" s="4"/>
      <c r="G823" s="4"/>
      <c r="H823" s="4"/>
      <c r="I823" s="4"/>
      <c r="J823" s="4"/>
      <c r="K823" s="4"/>
      <c r="L823" s="4"/>
      <c r="M823" s="4"/>
      <c r="N823" s="4"/>
      <c r="O823" s="4"/>
      <c r="P823" s="4"/>
      <c r="Q823" s="4"/>
      <c r="R823" s="4"/>
      <c r="S823" s="47"/>
      <c r="T823" s="4"/>
      <c r="U823" s="4"/>
      <c r="V823" s="47"/>
      <c r="W823" s="4"/>
      <c r="X823" s="4"/>
      <c r="Y823" s="47"/>
      <c r="Z823" s="4"/>
      <c r="AA823" s="4"/>
    </row>
    <row r="824" spans="1:27" ht="24" customHeight="1" x14ac:dyDescent="0.3">
      <c r="A824" s="4"/>
      <c r="B824" s="4"/>
      <c r="C824" s="4"/>
      <c r="D824" s="4"/>
      <c r="E824" s="4"/>
      <c r="F824" s="4"/>
      <c r="G824" s="4"/>
      <c r="H824" s="4"/>
      <c r="I824" s="4"/>
      <c r="J824" s="4"/>
      <c r="K824" s="4"/>
      <c r="L824" s="4"/>
      <c r="M824" s="4"/>
      <c r="N824" s="4"/>
      <c r="O824" s="4"/>
      <c r="P824" s="4"/>
      <c r="Q824" s="4"/>
      <c r="R824" s="4"/>
      <c r="S824" s="47"/>
      <c r="T824" s="4"/>
      <c r="U824" s="4"/>
      <c r="V824" s="47"/>
      <c r="W824" s="4"/>
      <c r="X824" s="4"/>
      <c r="Y824" s="47"/>
      <c r="Z824" s="4"/>
      <c r="AA824" s="4"/>
    </row>
    <row r="825" spans="1:27" ht="24" customHeight="1" x14ac:dyDescent="0.3">
      <c r="A825" s="4"/>
      <c r="B825" s="4"/>
      <c r="C825" s="4"/>
      <c r="D825" s="4"/>
      <c r="E825" s="4"/>
      <c r="F825" s="4"/>
      <c r="G825" s="4"/>
      <c r="H825" s="4"/>
      <c r="I825" s="4"/>
      <c r="J825" s="4"/>
      <c r="K825" s="4"/>
      <c r="L825" s="4"/>
      <c r="M825" s="4"/>
      <c r="N825" s="4"/>
      <c r="O825" s="4"/>
      <c r="P825" s="4"/>
      <c r="Q825" s="4"/>
      <c r="R825" s="4"/>
      <c r="S825" s="47"/>
      <c r="T825" s="4"/>
      <c r="U825" s="4"/>
      <c r="V825" s="47"/>
      <c r="W825" s="4"/>
      <c r="X825" s="4"/>
      <c r="Y825" s="47"/>
      <c r="Z825" s="4"/>
      <c r="AA825" s="4"/>
    </row>
    <row r="826" spans="1:27" ht="24" customHeight="1" x14ac:dyDescent="0.3">
      <c r="A826" s="4"/>
      <c r="B826" s="4"/>
      <c r="C826" s="4"/>
      <c r="D826" s="4"/>
      <c r="E826" s="4"/>
      <c r="F826" s="4"/>
      <c r="G826" s="4"/>
      <c r="H826" s="4"/>
      <c r="I826" s="4"/>
      <c r="J826" s="4"/>
      <c r="K826" s="4"/>
      <c r="L826" s="4"/>
      <c r="M826" s="4"/>
      <c r="N826" s="4"/>
      <c r="O826" s="4"/>
      <c r="P826" s="4"/>
      <c r="Q826" s="4"/>
      <c r="R826" s="4"/>
      <c r="S826" s="47"/>
      <c r="T826" s="4"/>
      <c r="U826" s="4"/>
      <c r="V826" s="47"/>
      <c r="W826" s="4"/>
      <c r="X826" s="4"/>
      <c r="Y826" s="47"/>
      <c r="Z826" s="4"/>
      <c r="AA826" s="4"/>
    </row>
    <row r="827" spans="1:27" ht="24" customHeight="1" x14ac:dyDescent="0.3">
      <c r="A827" s="4"/>
      <c r="B827" s="4"/>
      <c r="C827" s="4"/>
      <c r="D827" s="4"/>
      <c r="E827" s="4"/>
      <c r="F827" s="4"/>
      <c r="G827" s="4"/>
      <c r="H827" s="4"/>
      <c r="I827" s="4"/>
      <c r="J827" s="4"/>
      <c r="K827" s="4"/>
      <c r="L827" s="4"/>
      <c r="M827" s="4"/>
      <c r="N827" s="4"/>
      <c r="O827" s="4"/>
      <c r="P827" s="4"/>
      <c r="Q827" s="4"/>
      <c r="R827" s="4"/>
      <c r="S827" s="47"/>
      <c r="T827" s="4"/>
      <c r="U827" s="4"/>
      <c r="V827" s="47"/>
      <c r="W827" s="4"/>
      <c r="X827" s="4"/>
      <c r="Y827" s="47"/>
      <c r="Z827" s="4"/>
      <c r="AA827" s="4"/>
    </row>
    <row r="828" spans="1:27" ht="24" customHeight="1" x14ac:dyDescent="0.3">
      <c r="A828" s="4"/>
      <c r="B828" s="4"/>
      <c r="C828" s="4"/>
      <c r="D828" s="4"/>
      <c r="E828" s="4"/>
      <c r="F828" s="4"/>
      <c r="G828" s="4"/>
      <c r="H828" s="4"/>
      <c r="I828" s="4"/>
      <c r="J828" s="4"/>
      <c r="K828" s="4"/>
      <c r="L828" s="4"/>
      <c r="M828" s="4"/>
      <c r="N828" s="4"/>
      <c r="O828" s="4"/>
      <c r="P828" s="4"/>
      <c r="Q828" s="4"/>
      <c r="R828" s="4"/>
      <c r="S828" s="47"/>
      <c r="T828" s="4"/>
      <c r="U828" s="4"/>
      <c r="V828" s="47"/>
      <c r="W828" s="4"/>
      <c r="X828" s="4"/>
      <c r="Y828" s="47"/>
      <c r="Z828" s="4"/>
      <c r="AA828" s="4"/>
    </row>
    <row r="829" spans="1:27" ht="24" customHeight="1" x14ac:dyDescent="0.3">
      <c r="A829" s="4"/>
      <c r="B829" s="4"/>
      <c r="C829" s="4"/>
      <c r="D829" s="4"/>
      <c r="E829" s="4"/>
      <c r="F829" s="4"/>
      <c r="G829" s="4"/>
      <c r="H829" s="4"/>
      <c r="I829" s="4"/>
      <c r="J829" s="4"/>
      <c r="K829" s="4"/>
      <c r="L829" s="4"/>
      <c r="M829" s="4"/>
      <c r="N829" s="4"/>
      <c r="O829" s="4"/>
      <c r="P829" s="4"/>
      <c r="Q829" s="4"/>
      <c r="R829" s="4"/>
      <c r="S829" s="47"/>
      <c r="T829" s="4"/>
      <c r="U829" s="4"/>
      <c r="V829" s="47"/>
      <c r="W829" s="4"/>
      <c r="X829" s="4"/>
      <c r="Y829" s="47"/>
      <c r="Z829" s="4"/>
      <c r="AA829" s="4"/>
    </row>
    <row r="830" spans="1:27" ht="24" customHeight="1" x14ac:dyDescent="0.3">
      <c r="A830" s="4"/>
      <c r="B830" s="4"/>
      <c r="C830" s="4"/>
      <c r="D830" s="4"/>
      <c r="E830" s="4"/>
      <c r="F830" s="4"/>
      <c r="G830" s="4"/>
      <c r="H830" s="4"/>
      <c r="I830" s="4"/>
      <c r="J830" s="4"/>
      <c r="K830" s="4"/>
      <c r="L830" s="4"/>
      <c r="M830" s="4"/>
      <c r="N830" s="4"/>
      <c r="O830" s="4"/>
      <c r="P830" s="4"/>
      <c r="Q830" s="4"/>
      <c r="R830" s="4"/>
      <c r="S830" s="47"/>
      <c r="T830" s="4"/>
      <c r="U830" s="4"/>
      <c r="V830" s="47"/>
      <c r="W830" s="4"/>
      <c r="X830" s="4"/>
      <c r="Y830" s="47"/>
      <c r="Z830" s="4"/>
      <c r="AA830" s="4"/>
    </row>
    <row r="831" spans="1:27" ht="24" customHeight="1" x14ac:dyDescent="0.3">
      <c r="A831" s="4"/>
      <c r="B831" s="4"/>
      <c r="C831" s="4"/>
      <c r="D831" s="4"/>
      <c r="E831" s="4"/>
      <c r="F831" s="4"/>
      <c r="G831" s="4"/>
      <c r="H831" s="4"/>
      <c r="I831" s="4"/>
      <c r="J831" s="4"/>
      <c r="K831" s="4"/>
      <c r="L831" s="4"/>
      <c r="M831" s="4"/>
      <c r="N831" s="4"/>
      <c r="O831" s="4"/>
      <c r="P831" s="4"/>
      <c r="Q831" s="4"/>
      <c r="R831" s="4"/>
      <c r="S831" s="47"/>
      <c r="T831" s="4"/>
      <c r="U831" s="4"/>
      <c r="V831" s="47"/>
      <c r="W831" s="4"/>
      <c r="X831" s="4"/>
      <c r="Y831" s="47"/>
      <c r="Z831" s="4"/>
      <c r="AA831" s="4"/>
    </row>
    <row r="832" spans="1:27" ht="24" customHeight="1" x14ac:dyDescent="0.3">
      <c r="A832" s="4"/>
      <c r="B832" s="4"/>
      <c r="C832" s="4"/>
      <c r="D832" s="4"/>
      <c r="E832" s="4"/>
      <c r="F832" s="4"/>
      <c r="G832" s="4"/>
      <c r="H832" s="4"/>
      <c r="I832" s="4"/>
      <c r="J832" s="4"/>
      <c r="K832" s="4"/>
      <c r="L832" s="4"/>
      <c r="M832" s="4"/>
      <c r="N832" s="4"/>
      <c r="O832" s="4"/>
      <c r="P832" s="4"/>
      <c r="Q832" s="4"/>
      <c r="R832" s="4"/>
      <c r="S832" s="47"/>
      <c r="T832" s="4"/>
      <c r="U832" s="4"/>
      <c r="V832" s="47"/>
      <c r="W832" s="4"/>
      <c r="X832" s="4"/>
      <c r="Y832" s="47"/>
      <c r="Z832" s="4"/>
      <c r="AA832" s="4"/>
    </row>
    <row r="833" spans="1:27" ht="24" customHeight="1" x14ac:dyDescent="0.3">
      <c r="A833" s="4"/>
      <c r="B833" s="4"/>
      <c r="C833" s="4"/>
      <c r="D833" s="4"/>
      <c r="E833" s="4"/>
      <c r="F833" s="4"/>
      <c r="G833" s="4"/>
      <c r="H833" s="4"/>
      <c r="I833" s="4"/>
      <c r="J833" s="4"/>
      <c r="K833" s="4"/>
      <c r="L833" s="4"/>
      <c r="M833" s="4"/>
      <c r="N833" s="4"/>
      <c r="O833" s="4"/>
      <c r="P833" s="4"/>
      <c r="Q833" s="4"/>
      <c r="R833" s="4"/>
      <c r="S833" s="47"/>
      <c r="T833" s="4"/>
      <c r="U833" s="4"/>
      <c r="V833" s="47"/>
      <c r="W833" s="4"/>
      <c r="X833" s="4"/>
      <c r="Y833" s="47"/>
      <c r="Z833" s="4"/>
      <c r="AA833" s="4"/>
    </row>
    <row r="834" spans="1:27" ht="24" customHeight="1" x14ac:dyDescent="0.3">
      <c r="A834" s="4"/>
      <c r="B834" s="4"/>
      <c r="C834" s="4"/>
      <c r="D834" s="4"/>
      <c r="E834" s="4"/>
      <c r="F834" s="4"/>
      <c r="G834" s="4"/>
      <c r="H834" s="4"/>
      <c r="I834" s="4"/>
      <c r="J834" s="4"/>
      <c r="K834" s="4"/>
      <c r="L834" s="4"/>
      <c r="M834" s="4"/>
      <c r="N834" s="4"/>
      <c r="O834" s="4"/>
      <c r="P834" s="4"/>
      <c r="Q834" s="4"/>
      <c r="R834" s="4"/>
      <c r="S834" s="47"/>
      <c r="T834" s="4"/>
      <c r="U834" s="4"/>
      <c r="V834" s="47"/>
      <c r="W834" s="4"/>
      <c r="X834" s="4"/>
      <c r="Y834" s="47"/>
      <c r="Z834" s="4"/>
      <c r="AA834" s="4"/>
    </row>
    <row r="835" spans="1:27" ht="24" customHeight="1" x14ac:dyDescent="0.3">
      <c r="A835" s="4"/>
      <c r="B835" s="4"/>
      <c r="C835" s="4"/>
      <c r="D835" s="4"/>
      <c r="E835" s="4"/>
      <c r="F835" s="4"/>
      <c r="G835" s="4"/>
      <c r="H835" s="4"/>
      <c r="I835" s="4"/>
      <c r="J835" s="4"/>
      <c r="K835" s="4"/>
      <c r="L835" s="4"/>
      <c r="M835" s="4"/>
      <c r="N835" s="4"/>
      <c r="O835" s="4"/>
      <c r="P835" s="4"/>
      <c r="Q835" s="4"/>
      <c r="R835" s="4"/>
      <c r="S835" s="47"/>
      <c r="T835" s="4"/>
      <c r="U835" s="4"/>
      <c r="V835" s="47"/>
      <c r="W835" s="4"/>
      <c r="X835" s="4"/>
      <c r="Y835" s="47"/>
      <c r="Z835" s="4"/>
      <c r="AA835" s="4"/>
    </row>
    <row r="836" spans="1:27" ht="24" customHeight="1" x14ac:dyDescent="0.3">
      <c r="A836" s="4"/>
      <c r="B836" s="4"/>
      <c r="C836" s="4"/>
      <c r="D836" s="4"/>
      <c r="E836" s="4"/>
      <c r="F836" s="4"/>
      <c r="G836" s="4"/>
      <c r="H836" s="4"/>
      <c r="I836" s="4"/>
      <c r="J836" s="4"/>
      <c r="K836" s="4"/>
      <c r="L836" s="4"/>
      <c r="M836" s="4"/>
      <c r="N836" s="4"/>
      <c r="O836" s="4"/>
      <c r="P836" s="4"/>
      <c r="Q836" s="4"/>
      <c r="R836" s="4"/>
      <c r="S836" s="47"/>
      <c r="T836" s="4"/>
      <c r="U836" s="4"/>
      <c r="V836" s="47"/>
      <c r="W836" s="4"/>
      <c r="X836" s="4"/>
      <c r="Y836" s="47"/>
      <c r="Z836" s="4"/>
      <c r="AA836" s="4"/>
    </row>
    <row r="837" spans="1:27" ht="24" customHeight="1" x14ac:dyDescent="0.3">
      <c r="A837" s="4"/>
      <c r="B837" s="4"/>
      <c r="C837" s="4"/>
      <c r="D837" s="4"/>
      <c r="E837" s="4"/>
      <c r="F837" s="4"/>
      <c r="G837" s="4"/>
      <c r="H837" s="4"/>
      <c r="I837" s="4"/>
      <c r="J837" s="4"/>
      <c r="K837" s="4"/>
      <c r="L837" s="4"/>
      <c r="M837" s="4"/>
      <c r="N837" s="4"/>
      <c r="O837" s="4"/>
      <c r="P837" s="4"/>
      <c r="Q837" s="4"/>
      <c r="R837" s="4"/>
      <c r="S837" s="47"/>
      <c r="T837" s="4"/>
      <c r="U837" s="4"/>
      <c r="V837" s="47"/>
      <c r="W837" s="4"/>
      <c r="X837" s="4"/>
      <c r="Y837" s="47"/>
      <c r="Z837" s="4"/>
      <c r="AA837" s="4"/>
    </row>
    <row r="838" spans="1:27" ht="24" customHeight="1" x14ac:dyDescent="0.3">
      <c r="A838" s="4"/>
      <c r="B838" s="4"/>
      <c r="C838" s="4"/>
      <c r="D838" s="4"/>
      <c r="E838" s="4"/>
      <c r="F838" s="4"/>
      <c r="G838" s="4"/>
      <c r="H838" s="4"/>
      <c r="I838" s="4"/>
      <c r="J838" s="4"/>
      <c r="K838" s="4"/>
      <c r="L838" s="4"/>
      <c r="M838" s="4"/>
      <c r="N838" s="4"/>
      <c r="O838" s="4"/>
      <c r="P838" s="4"/>
      <c r="Q838" s="4"/>
      <c r="R838" s="4"/>
      <c r="S838" s="47"/>
      <c r="T838" s="4"/>
      <c r="U838" s="4"/>
      <c r="V838" s="47"/>
      <c r="W838" s="4"/>
      <c r="X838" s="4"/>
      <c r="Y838" s="47"/>
      <c r="Z838" s="4"/>
      <c r="AA838" s="4"/>
    </row>
    <row r="839" spans="1:27" ht="24" customHeight="1" x14ac:dyDescent="0.3">
      <c r="A839" s="4"/>
      <c r="B839" s="4"/>
      <c r="C839" s="4"/>
      <c r="D839" s="4"/>
      <c r="E839" s="4"/>
      <c r="F839" s="4"/>
      <c r="G839" s="4"/>
      <c r="H839" s="4"/>
      <c r="I839" s="4"/>
      <c r="J839" s="4"/>
      <c r="K839" s="4"/>
      <c r="L839" s="4"/>
      <c r="M839" s="4"/>
      <c r="N839" s="4"/>
      <c r="O839" s="4"/>
      <c r="P839" s="4"/>
      <c r="Q839" s="4"/>
      <c r="R839" s="4"/>
      <c r="S839" s="47"/>
      <c r="T839" s="4"/>
      <c r="U839" s="4"/>
      <c r="V839" s="47"/>
      <c r="W839" s="4"/>
      <c r="X839" s="4"/>
      <c r="Y839" s="47"/>
      <c r="Z839" s="4"/>
      <c r="AA839" s="4"/>
    </row>
    <row r="840" spans="1:27" ht="24" customHeight="1" x14ac:dyDescent="0.3">
      <c r="A840" s="4"/>
      <c r="B840" s="4"/>
      <c r="C840" s="4"/>
      <c r="D840" s="4"/>
      <c r="E840" s="4"/>
      <c r="F840" s="4"/>
      <c r="G840" s="4"/>
      <c r="H840" s="4"/>
      <c r="I840" s="4"/>
      <c r="J840" s="4"/>
      <c r="K840" s="4"/>
      <c r="L840" s="4"/>
      <c r="M840" s="4"/>
      <c r="N840" s="4"/>
      <c r="O840" s="4"/>
      <c r="P840" s="4"/>
      <c r="Q840" s="4"/>
      <c r="R840" s="4"/>
      <c r="S840" s="47"/>
      <c r="T840" s="4"/>
      <c r="U840" s="4"/>
      <c r="V840" s="47"/>
      <c r="W840" s="4"/>
      <c r="X840" s="4"/>
      <c r="Y840" s="47"/>
      <c r="Z840" s="4"/>
      <c r="AA840" s="4"/>
    </row>
    <row r="841" spans="1:27" ht="24" customHeight="1" x14ac:dyDescent="0.3">
      <c r="A841" s="4"/>
      <c r="B841" s="4"/>
      <c r="C841" s="4"/>
      <c r="D841" s="4"/>
      <c r="E841" s="4"/>
      <c r="F841" s="4"/>
      <c r="G841" s="4"/>
      <c r="H841" s="4"/>
      <c r="I841" s="4"/>
      <c r="J841" s="4"/>
      <c r="K841" s="4"/>
      <c r="L841" s="4"/>
      <c r="M841" s="4"/>
      <c r="N841" s="4"/>
      <c r="O841" s="4"/>
      <c r="P841" s="4"/>
      <c r="Q841" s="4"/>
      <c r="R841" s="4"/>
      <c r="S841" s="47"/>
      <c r="T841" s="4"/>
      <c r="U841" s="4"/>
      <c r="V841" s="47"/>
      <c r="W841" s="4"/>
      <c r="X841" s="4"/>
      <c r="Y841" s="47"/>
      <c r="Z841" s="4"/>
      <c r="AA841" s="4"/>
    </row>
    <row r="842" spans="1:27" ht="24" customHeight="1" x14ac:dyDescent="0.3">
      <c r="A842" s="4"/>
      <c r="B842" s="4"/>
      <c r="C842" s="4"/>
      <c r="D842" s="4"/>
      <c r="E842" s="4"/>
      <c r="F842" s="4"/>
      <c r="G842" s="4"/>
      <c r="H842" s="4"/>
      <c r="I842" s="4"/>
      <c r="J842" s="4"/>
      <c r="K842" s="4"/>
      <c r="L842" s="4"/>
      <c r="M842" s="4"/>
      <c r="N842" s="4"/>
      <c r="O842" s="4"/>
      <c r="P842" s="4"/>
      <c r="Q842" s="4"/>
      <c r="R842" s="4"/>
      <c r="S842" s="47"/>
      <c r="T842" s="4"/>
      <c r="U842" s="4"/>
      <c r="V842" s="47"/>
      <c r="W842" s="4"/>
      <c r="X842" s="4"/>
      <c r="Y842" s="47"/>
      <c r="Z842" s="4"/>
      <c r="AA842" s="4"/>
    </row>
    <row r="843" spans="1:27" ht="24" customHeight="1" x14ac:dyDescent="0.3">
      <c r="A843" s="4"/>
      <c r="B843" s="4"/>
      <c r="C843" s="4"/>
      <c r="D843" s="4"/>
      <c r="E843" s="4"/>
      <c r="F843" s="4"/>
      <c r="G843" s="4"/>
      <c r="H843" s="4"/>
      <c r="I843" s="4"/>
      <c r="J843" s="4"/>
      <c r="K843" s="4"/>
      <c r="L843" s="4"/>
      <c r="M843" s="4"/>
      <c r="N843" s="4"/>
      <c r="O843" s="4"/>
      <c r="P843" s="4"/>
      <c r="Q843" s="4"/>
      <c r="R843" s="4"/>
      <c r="S843" s="47"/>
      <c r="T843" s="4"/>
      <c r="U843" s="4"/>
      <c r="V843" s="47"/>
      <c r="W843" s="4"/>
      <c r="X843" s="4"/>
      <c r="Y843" s="47"/>
      <c r="Z843" s="4"/>
      <c r="AA843" s="4"/>
    </row>
    <row r="844" spans="1:27" ht="24" customHeight="1" x14ac:dyDescent="0.3">
      <c r="A844" s="4"/>
      <c r="B844" s="4"/>
      <c r="C844" s="4"/>
      <c r="D844" s="4"/>
      <c r="E844" s="4"/>
      <c r="F844" s="4"/>
      <c r="G844" s="4"/>
      <c r="H844" s="4"/>
      <c r="I844" s="4"/>
      <c r="J844" s="4"/>
      <c r="K844" s="4"/>
      <c r="L844" s="4"/>
      <c r="M844" s="4"/>
      <c r="N844" s="4"/>
      <c r="O844" s="4"/>
      <c r="P844" s="4"/>
      <c r="Q844" s="4"/>
      <c r="R844" s="4"/>
      <c r="S844" s="47"/>
      <c r="T844" s="4"/>
      <c r="U844" s="4"/>
      <c r="V844" s="47"/>
      <c r="W844" s="4"/>
      <c r="X844" s="4"/>
      <c r="Y844" s="47"/>
      <c r="Z844" s="4"/>
      <c r="AA844" s="4"/>
    </row>
    <row r="845" spans="1:27" ht="24" customHeight="1" x14ac:dyDescent="0.3">
      <c r="A845" s="4"/>
      <c r="B845" s="4"/>
      <c r="C845" s="4"/>
      <c r="D845" s="4"/>
      <c r="E845" s="4"/>
      <c r="F845" s="4"/>
      <c r="G845" s="4"/>
      <c r="H845" s="4"/>
      <c r="I845" s="4"/>
      <c r="J845" s="4"/>
      <c r="K845" s="4"/>
      <c r="L845" s="4"/>
      <c r="M845" s="4"/>
      <c r="N845" s="4"/>
      <c r="O845" s="4"/>
      <c r="P845" s="4"/>
      <c r="Q845" s="4"/>
      <c r="R845" s="4"/>
      <c r="S845" s="47"/>
      <c r="T845" s="4"/>
      <c r="U845" s="4"/>
      <c r="V845" s="47"/>
      <c r="W845" s="4"/>
      <c r="X845" s="4"/>
      <c r="Y845" s="47"/>
      <c r="Z845" s="4"/>
      <c r="AA845" s="4"/>
    </row>
    <row r="846" spans="1:27" ht="24" customHeight="1" x14ac:dyDescent="0.3">
      <c r="A846" s="4"/>
      <c r="B846" s="4"/>
      <c r="C846" s="4"/>
      <c r="D846" s="4"/>
      <c r="E846" s="4"/>
      <c r="F846" s="4"/>
      <c r="G846" s="4"/>
      <c r="H846" s="4"/>
      <c r="I846" s="4"/>
      <c r="J846" s="4"/>
      <c r="K846" s="4"/>
      <c r="L846" s="4"/>
      <c r="M846" s="4"/>
      <c r="N846" s="4"/>
      <c r="O846" s="4"/>
      <c r="P846" s="4"/>
      <c r="Q846" s="4"/>
      <c r="R846" s="4"/>
      <c r="S846" s="47"/>
      <c r="T846" s="4"/>
      <c r="U846" s="4"/>
      <c r="V846" s="47"/>
      <c r="W846" s="4"/>
      <c r="X846" s="4"/>
      <c r="Y846" s="47"/>
      <c r="Z846" s="4"/>
      <c r="AA846" s="4"/>
    </row>
    <row r="847" spans="1:27" ht="24" customHeight="1" x14ac:dyDescent="0.3">
      <c r="A847" s="4"/>
      <c r="B847" s="4"/>
      <c r="C847" s="4"/>
      <c r="D847" s="4"/>
      <c r="E847" s="4"/>
      <c r="F847" s="4"/>
      <c r="G847" s="4"/>
      <c r="H847" s="4"/>
      <c r="I847" s="4"/>
      <c r="J847" s="4"/>
      <c r="K847" s="4"/>
      <c r="L847" s="4"/>
      <c r="M847" s="4"/>
      <c r="N847" s="4"/>
      <c r="O847" s="4"/>
      <c r="P847" s="4"/>
      <c r="Q847" s="4"/>
      <c r="R847" s="4"/>
      <c r="S847" s="47"/>
      <c r="T847" s="4"/>
      <c r="U847" s="4"/>
      <c r="V847" s="47"/>
      <c r="W847" s="4"/>
      <c r="X847" s="4"/>
      <c r="Y847" s="47"/>
      <c r="Z847" s="4"/>
      <c r="AA847" s="4"/>
    </row>
    <row r="848" spans="1:27" ht="24" customHeight="1" x14ac:dyDescent="0.3">
      <c r="A848" s="4"/>
      <c r="B848" s="4"/>
      <c r="C848" s="4"/>
      <c r="D848" s="4"/>
      <c r="E848" s="4"/>
      <c r="F848" s="4"/>
      <c r="G848" s="4"/>
      <c r="H848" s="4"/>
      <c r="I848" s="4"/>
      <c r="J848" s="4"/>
      <c r="K848" s="4"/>
      <c r="L848" s="4"/>
      <c r="M848" s="4"/>
      <c r="N848" s="4"/>
      <c r="O848" s="4"/>
      <c r="P848" s="4"/>
      <c r="Q848" s="4"/>
      <c r="R848" s="4"/>
      <c r="S848" s="47"/>
      <c r="T848" s="4"/>
      <c r="U848" s="4"/>
      <c r="V848" s="47"/>
      <c r="W848" s="4"/>
      <c r="X848" s="4"/>
      <c r="Y848" s="47"/>
      <c r="Z848" s="4"/>
      <c r="AA848" s="4"/>
    </row>
    <row r="849" spans="1:27" ht="24" customHeight="1" x14ac:dyDescent="0.3">
      <c r="A849" s="4"/>
      <c r="B849" s="4"/>
      <c r="C849" s="4"/>
      <c r="D849" s="4"/>
      <c r="E849" s="4"/>
      <c r="F849" s="4"/>
      <c r="G849" s="4"/>
      <c r="H849" s="4"/>
      <c r="I849" s="4"/>
      <c r="J849" s="4"/>
      <c r="K849" s="4"/>
      <c r="L849" s="4"/>
      <c r="M849" s="4"/>
      <c r="N849" s="4"/>
      <c r="O849" s="4"/>
      <c r="P849" s="4"/>
      <c r="Q849" s="4"/>
      <c r="R849" s="4"/>
      <c r="S849" s="47"/>
      <c r="T849" s="4"/>
      <c r="U849" s="4"/>
      <c r="V849" s="47"/>
      <c r="W849" s="4"/>
      <c r="X849" s="4"/>
      <c r="Y849" s="47"/>
      <c r="Z849" s="4"/>
      <c r="AA849" s="4"/>
    </row>
    <row r="850" spans="1:27" ht="24" customHeight="1" x14ac:dyDescent="0.3">
      <c r="A850" s="4"/>
      <c r="B850" s="4"/>
      <c r="C850" s="4"/>
      <c r="D850" s="4"/>
      <c r="E850" s="4"/>
      <c r="F850" s="4"/>
      <c r="G850" s="4"/>
      <c r="H850" s="4"/>
      <c r="I850" s="4"/>
      <c r="J850" s="4"/>
      <c r="K850" s="4"/>
      <c r="L850" s="4"/>
      <c r="M850" s="4"/>
      <c r="N850" s="4"/>
      <c r="O850" s="4"/>
      <c r="P850" s="4"/>
      <c r="Q850" s="4"/>
      <c r="R850" s="4"/>
      <c r="S850" s="47"/>
      <c r="T850" s="4"/>
      <c r="U850" s="4"/>
      <c r="V850" s="47"/>
      <c r="W850" s="4"/>
      <c r="X850" s="4"/>
      <c r="Y850" s="47"/>
      <c r="Z850" s="4"/>
      <c r="AA850" s="4"/>
    </row>
    <row r="851" spans="1:27" ht="24" customHeight="1" x14ac:dyDescent="0.3">
      <c r="A851" s="4"/>
      <c r="B851" s="4"/>
      <c r="C851" s="4"/>
      <c r="D851" s="4"/>
      <c r="E851" s="4"/>
      <c r="F851" s="4"/>
      <c r="G851" s="4"/>
      <c r="H851" s="4"/>
      <c r="I851" s="4"/>
      <c r="J851" s="4"/>
      <c r="K851" s="4"/>
      <c r="L851" s="4"/>
      <c r="M851" s="4"/>
      <c r="N851" s="4"/>
      <c r="O851" s="4"/>
      <c r="P851" s="4"/>
      <c r="Q851" s="4"/>
      <c r="R851" s="4"/>
      <c r="S851" s="47"/>
      <c r="T851" s="4"/>
      <c r="U851" s="4"/>
      <c r="V851" s="47"/>
      <c r="W851" s="4"/>
      <c r="X851" s="4"/>
      <c r="Y851" s="47"/>
      <c r="Z851" s="4"/>
      <c r="AA851" s="4"/>
    </row>
    <row r="852" spans="1:27" ht="24" customHeight="1" x14ac:dyDescent="0.3">
      <c r="A852" s="4"/>
      <c r="B852" s="4"/>
      <c r="C852" s="4"/>
      <c r="D852" s="4"/>
      <c r="E852" s="4"/>
      <c r="F852" s="4"/>
      <c r="G852" s="4"/>
      <c r="H852" s="4"/>
      <c r="I852" s="4"/>
      <c r="J852" s="4"/>
      <c r="K852" s="4"/>
      <c r="L852" s="4"/>
      <c r="M852" s="4"/>
      <c r="N852" s="4"/>
      <c r="O852" s="4"/>
      <c r="P852" s="4"/>
      <c r="Q852" s="4"/>
      <c r="R852" s="4"/>
      <c r="S852" s="47"/>
      <c r="T852" s="4"/>
      <c r="U852" s="4"/>
      <c r="V852" s="47"/>
      <c r="W852" s="4"/>
      <c r="X852" s="4"/>
      <c r="Y852" s="47"/>
      <c r="Z852" s="4"/>
      <c r="AA852" s="4"/>
    </row>
    <row r="853" spans="1:27" ht="24" customHeight="1" x14ac:dyDescent="0.3">
      <c r="A853" s="4"/>
      <c r="B853" s="4"/>
      <c r="C853" s="4"/>
      <c r="D853" s="4"/>
      <c r="E853" s="4"/>
      <c r="F853" s="4"/>
      <c r="G853" s="4"/>
      <c r="H853" s="4"/>
      <c r="I853" s="4"/>
      <c r="J853" s="4"/>
      <c r="K853" s="4"/>
      <c r="L853" s="4"/>
      <c r="M853" s="4"/>
      <c r="N853" s="4"/>
      <c r="O853" s="4"/>
      <c r="P853" s="4"/>
      <c r="Q853" s="4"/>
      <c r="R853" s="4"/>
      <c r="S853" s="47"/>
      <c r="T853" s="4"/>
      <c r="U853" s="4"/>
      <c r="V853" s="47"/>
      <c r="W853" s="4"/>
      <c r="X853" s="4"/>
      <c r="Y853" s="47"/>
      <c r="Z853" s="4"/>
      <c r="AA853" s="4"/>
    </row>
    <row r="854" spans="1:27" ht="24" customHeight="1" x14ac:dyDescent="0.3">
      <c r="A854" s="4"/>
      <c r="B854" s="4"/>
      <c r="C854" s="4"/>
      <c r="D854" s="4"/>
      <c r="E854" s="4"/>
      <c r="F854" s="4"/>
      <c r="G854" s="4"/>
      <c r="H854" s="4"/>
      <c r="I854" s="4"/>
      <c r="J854" s="4"/>
      <c r="K854" s="4"/>
      <c r="L854" s="4"/>
      <c r="M854" s="4"/>
      <c r="N854" s="4"/>
      <c r="O854" s="4"/>
      <c r="P854" s="4"/>
      <c r="Q854" s="4"/>
      <c r="R854" s="4"/>
      <c r="S854" s="47"/>
      <c r="T854" s="4"/>
      <c r="U854" s="4"/>
      <c r="V854" s="47"/>
      <c r="W854" s="4"/>
      <c r="X854" s="4"/>
      <c r="Y854" s="47"/>
      <c r="Z854" s="4"/>
      <c r="AA854" s="4"/>
    </row>
    <row r="855" spans="1:27" ht="24" customHeight="1" x14ac:dyDescent="0.3">
      <c r="A855" s="4"/>
      <c r="B855" s="4"/>
      <c r="C855" s="4"/>
      <c r="D855" s="4"/>
      <c r="E855" s="4"/>
      <c r="F855" s="4"/>
      <c r="G855" s="4"/>
      <c r="H855" s="4"/>
      <c r="I855" s="4"/>
      <c r="J855" s="4"/>
      <c r="K855" s="4"/>
      <c r="L855" s="4"/>
      <c r="M855" s="4"/>
      <c r="N855" s="4"/>
      <c r="O855" s="4"/>
      <c r="P855" s="4"/>
      <c r="Q855" s="4"/>
      <c r="R855" s="4"/>
      <c r="S855" s="47"/>
      <c r="T855" s="4"/>
      <c r="U855" s="4"/>
      <c r="V855" s="47"/>
      <c r="W855" s="4"/>
      <c r="X855" s="4"/>
      <c r="Y855" s="47"/>
      <c r="Z855" s="4"/>
      <c r="AA855" s="4"/>
    </row>
    <row r="856" spans="1:27" ht="24" customHeight="1" x14ac:dyDescent="0.3">
      <c r="A856" s="4"/>
      <c r="B856" s="4"/>
      <c r="C856" s="4"/>
      <c r="D856" s="4"/>
      <c r="E856" s="4"/>
      <c r="F856" s="4"/>
      <c r="G856" s="4"/>
      <c r="H856" s="4"/>
      <c r="I856" s="4"/>
      <c r="J856" s="4"/>
      <c r="K856" s="4"/>
      <c r="L856" s="4"/>
      <c r="M856" s="4"/>
      <c r="N856" s="4"/>
      <c r="O856" s="4"/>
      <c r="P856" s="4"/>
      <c r="Q856" s="4"/>
      <c r="R856" s="4"/>
      <c r="S856" s="47"/>
      <c r="T856" s="4"/>
      <c r="U856" s="4"/>
      <c r="V856" s="47"/>
      <c r="W856" s="4"/>
      <c r="X856" s="4"/>
      <c r="Y856" s="47"/>
      <c r="Z856" s="4"/>
      <c r="AA856" s="4"/>
    </row>
    <row r="857" spans="1:27" ht="24" customHeight="1" x14ac:dyDescent="0.3">
      <c r="A857" s="4"/>
      <c r="B857" s="4"/>
      <c r="C857" s="4"/>
      <c r="D857" s="4"/>
      <c r="E857" s="4"/>
      <c r="F857" s="4"/>
      <c r="G857" s="4"/>
      <c r="H857" s="4"/>
      <c r="I857" s="4"/>
      <c r="J857" s="4"/>
      <c r="K857" s="4"/>
      <c r="L857" s="4"/>
      <c r="M857" s="4"/>
      <c r="N857" s="4"/>
      <c r="O857" s="4"/>
      <c r="P857" s="4"/>
      <c r="Q857" s="4"/>
      <c r="R857" s="4"/>
      <c r="S857" s="47"/>
      <c r="T857" s="4"/>
      <c r="U857" s="4"/>
      <c r="V857" s="47"/>
      <c r="W857" s="4"/>
      <c r="X857" s="4"/>
      <c r="Y857" s="47"/>
      <c r="Z857" s="4"/>
      <c r="AA857" s="4"/>
    </row>
    <row r="858" spans="1:27" ht="24" customHeight="1" x14ac:dyDescent="0.3">
      <c r="A858" s="4"/>
      <c r="B858" s="4"/>
      <c r="C858" s="4"/>
      <c r="D858" s="4"/>
      <c r="E858" s="4"/>
      <c r="F858" s="4"/>
      <c r="G858" s="4"/>
      <c r="H858" s="4"/>
      <c r="I858" s="4"/>
      <c r="J858" s="4"/>
      <c r="K858" s="4"/>
      <c r="L858" s="4"/>
      <c r="M858" s="4"/>
      <c r="N858" s="4"/>
      <c r="O858" s="4"/>
      <c r="P858" s="4"/>
      <c r="Q858" s="4"/>
      <c r="R858" s="4"/>
      <c r="S858" s="47"/>
      <c r="T858" s="4"/>
      <c r="U858" s="4"/>
      <c r="V858" s="47"/>
      <c r="W858" s="4"/>
      <c r="X858" s="4"/>
      <c r="Y858" s="47"/>
      <c r="Z858" s="4"/>
      <c r="AA858" s="4"/>
    </row>
    <row r="859" spans="1:27" ht="24" customHeight="1" x14ac:dyDescent="0.3">
      <c r="A859" s="4"/>
      <c r="B859" s="4"/>
      <c r="C859" s="4"/>
      <c r="D859" s="4"/>
      <c r="E859" s="4"/>
      <c r="F859" s="4"/>
      <c r="G859" s="4"/>
      <c r="H859" s="4"/>
      <c r="I859" s="4"/>
      <c r="J859" s="4"/>
      <c r="K859" s="4"/>
      <c r="L859" s="4"/>
      <c r="M859" s="4"/>
      <c r="N859" s="4"/>
      <c r="O859" s="4"/>
      <c r="P859" s="4"/>
      <c r="Q859" s="4"/>
      <c r="R859" s="4"/>
      <c r="S859" s="47"/>
      <c r="T859" s="4"/>
      <c r="U859" s="4"/>
      <c r="V859" s="47"/>
      <c r="W859" s="4"/>
      <c r="X859" s="4"/>
      <c r="Y859" s="47"/>
      <c r="Z859" s="4"/>
      <c r="AA859" s="4"/>
    </row>
    <row r="860" spans="1:27" ht="24" customHeight="1" x14ac:dyDescent="0.3">
      <c r="A860" s="4"/>
      <c r="B860" s="4"/>
      <c r="C860" s="4"/>
      <c r="D860" s="4"/>
      <c r="E860" s="4"/>
      <c r="F860" s="4"/>
      <c r="G860" s="4"/>
      <c r="H860" s="4"/>
      <c r="I860" s="4"/>
      <c r="J860" s="4"/>
      <c r="K860" s="4"/>
      <c r="L860" s="4"/>
      <c r="M860" s="4"/>
      <c r="N860" s="4"/>
      <c r="O860" s="4"/>
      <c r="P860" s="4"/>
      <c r="Q860" s="4"/>
      <c r="R860" s="4"/>
      <c r="S860" s="47"/>
      <c r="T860" s="4"/>
      <c r="U860" s="4"/>
      <c r="V860" s="47"/>
      <c r="W860" s="4"/>
      <c r="X860" s="4"/>
      <c r="Y860" s="47"/>
      <c r="Z860" s="4"/>
      <c r="AA860" s="4"/>
    </row>
    <row r="861" spans="1:27" ht="24" customHeight="1" x14ac:dyDescent="0.3">
      <c r="A861" s="4"/>
      <c r="B861" s="4"/>
      <c r="C861" s="4"/>
      <c r="D861" s="4"/>
      <c r="E861" s="4"/>
      <c r="F861" s="4"/>
      <c r="G861" s="4"/>
      <c r="H861" s="4"/>
      <c r="I861" s="4"/>
      <c r="J861" s="4"/>
      <c r="K861" s="4"/>
      <c r="L861" s="4"/>
      <c r="M861" s="4"/>
      <c r="N861" s="4"/>
      <c r="O861" s="4"/>
      <c r="P861" s="4"/>
      <c r="Q861" s="4"/>
      <c r="R861" s="4"/>
      <c r="S861" s="47"/>
      <c r="T861" s="4"/>
      <c r="U861" s="4"/>
      <c r="V861" s="47"/>
      <c r="W861" s="4"/>
      <c r="X861" s="4"/>
      <c r="Y861" s="47"/>
      <c r="Z861" s="4"/>
      <c r="AA861" s="4"/>
    </row>
    <row r="862" spans="1:27" ht="24" customHeight="1" x14ac:dyDescent="0.3">
      <c r="A862" s="4"/>
      <c r="B862" s="4"/>
      <c r="C862" s="4"/>
      <c r="D862" s="4"/>
      <c r="E862" s="4"/>
      <c r="F862" s="4"/>
      <c r="G862" s="4"/>
      <c r="H862" s="4"/>
      <c r="I862" s="4"/>
      <c r="J862" s="4"/>
      <c r="K862" s="4"/>
      <c r="L862" s="4"/>
      <c r="M862" s="4"/>
      <c r="N862" s="4"/>
      <c r="O862" s="4"/>
      <c r="P862" s="4"/>
      <c r="Q862" s="4"/>
      <c r="R862" s="4"/>
      <c r="S862" s="47"/>
      <c r="T862" s="4"/>
      <c r="U862" s="4"/>
      <c r="V862" s="47"/>
      <c r="W862" s="4"/>
      <c r="X862" s="4"/>
      <c r="Y862" s="47"/>
      <c r="Z862" s="4"/>
      <c r="AA862" s="4"/>
    </row>
    <row r="863" spans="1:27" ht="24" customHeight="1" x14ac:dyDescent="0.3">
      <c r="A863" s="4"/>
      <c r="B863" s="4"/>
      <c r="C863" s="4"/>
      <c r="D863" s="4"/>
      <c r="E863" s="4"/>
      <c r="F863" s="4"/>
      <c r="G863" s="4"/>
      <c r="H863" s="4"/>
      <c r="I863" s="4"/>
      <c r="J863" s="4"/>
      <c r="K863" s="4"/>
      <c r="L863" s="4"/>
      <c r="M863" s="4"/>
      <c r="N863" s="4"/>
      <c r="O863" s="4"/>
      <c r="P863" s="4"/>
      <c r="Q863" s="4"/>
      <c r="R863" s="4"/>
      <c r="S863" s="47"/>
      <c r="T863" s="4"/>
      <c r="U863" s="4"/>
      <c r="V863" s="47"/>
      <c r="W863" s="4"/>
      <c r="X863" s="4"/>
      <c r="Y863" s="47"/>
      <c r="Z863" s="4"/>
      <c r="AA863" s="4"/>
    </row>
    <row r="864" spans="1:27" ht="24" customHeight="1" x14ac:dyDescent="0.3">
      <c r="A864" s="4"/>
      <c r="B864" s="4"/>
      <c r="C864" s="4"/>
      <c r="D864" s="4"/>
      <c r="E864" s="4"/>
      <c r="F864" s="4"/>
      <c r="G864" s="4"/>
      <c r="H864" s="4"/>
      <c r="I864" s="4"/>
      <c r="J864" s="4"/>
      <c r="K864" s="4"/>
      <c r="L864" s="4"/>
      <c r="M864" s="4"/>
      <c r="N864" s="4"/>
      <c r="O864" s="4"/>
      <c r="P864" s="4"/>
      <c r="Q864" s="4"/>
      <c r="R864" s="4"/>
      <c r="S864" s="47"/>
      <c r="T864" s="4"/>
      <c r="U864" s="4"/>
      <c r="V864" s="47"/>
      <c r="W864" s="4"/>
      <c r="X864" s="4"/>
      <c r="Y864" s="47"/>
      <c r="Z864" s="4"/>
      <c r="AA864" s="4"/>
    </row>
    <row r="865" spans="1:27" ht="24" customHeight="1" x14ac:dyDescent="0.3">
      <c r="A865" s="4"/>
      <c r="B865" s="4"/>
      <c r="C865" s="4"/>
      <c r="D865" s="4"/>
      <c r="E865" s="4"/>
      <c r="F865" s="4"/>
      <c r="G865" s="4"/>
      <c r="H865" s="4"/>
      <c r="I865" s="4"/>
      <c r="J865" s="4"/>
      <c r="K865" s="4"/>
      <c r="L865" s="4"/>
      <c r="M865" s="4"/>
      <c r="N865" s="4"/>
      <c r="O865" s="4"/>
      <c r="P865" s="4"/>
      <c r="Q865" s="4"/>
      <c r="R865" s="4"/>
      <c r="S865" s="47"/>
      <c r="T865" s="4"/>
      <c r="U865" s="4"/>
      <c r="V865" s="47"/>
      <c r="W865" s="4"/>
      <c r="X865" s="4"/>
      <c r="Y865" s="47"/>
      <c r="Z865" s="4"/>
      <c r="AA865" s="4"/>
    </row>
    <row r="866" spans="1:27" ht="24" customHeight="1" x14ac:dyDescent="0.3">
      <c r="A866" s="4"/>
      <c r="B866" s="4"/>
      <c r="C866" s="4"/>
      <c r="D866" s="4"/>
      <c r="E866" s="4"/>
      <c r="F866" s="4"/>
      <c r="G866" s="4"/>
      <c r="H866" s="4"/>
      <c r="I866" s="4"/>
      <c r="J866" s="4"/>
      <c r="K866" s="4"/>
      <c r="L866" s="4"/>
      <c r="M866" s="4"/>
      <c r="N866" s="4"/>
      <c r="O866" s="4"/>
      <c r="P866" s="4"/>
      <c r="Q866" s="4"/>
      <c r="R866" s="4"/>
      <c r="S866" s="47"/>
      <c r="T866" s="4"/>
      <c r="U866" s="4"/>
      <c r="V866" s="47"/>
      <c r="W866" s="4"/>
      <c r="X866" s="4"/>
      <c r="Y866" s="47"/>
      <c r="Z866" s="4"/>
      <c r="AA866" s="4"/>
    </row>
    <row r="867" spans="1:27" ht="24" customHeight="1" x14ac:dyDescent="0.3">
      <c r="A867" s="4"/>
      <c r="B867" s="4"/>
      <c r="C867" s="4"/>
      <c r="D867" s="4"/>
      <c r="E867" s="4"/>
      <c r="F867" s="4"/>
      <c r="G867" s="4"/>
      <c r="H867" s="4"/>
      <c r="I867" s="4"/>
      <c r="J867" s="4"/>
      <c r="K867" s="4"/>
      <c r="L867" s="4"/>
      <c r="M867" s="4"/>
      <c r="N867" s="4"/>
      <c r="O867" s="4"/>
      <c r="P867" s="4"/>
      <c r="Q867" s="4"/>
      <c r="R867" s="4"/>
      <c r="S867" s="47"/>
      <c r="T867" s="4"/>
      <c r="U867" s="4"/>
      <c r="V867" s="47"/>
      <c r="W867" s="4"/>
      <c r="X867" s="4"/>
      <c r="Y867" s="47"/>
      <c r="Z867" s="4"/>
      <c r="AA867" s="4"/>
    </row>
    <row r="868" spans="1:27" ht="24" customHeight="1" x14ac:dyDescent="0.3">
      <c r="A868" s="4"/>
      <c r="B868" s="4"/>
      <c r="C868" s="4"/>
      <c r="D868" s="4"/>
      <c r="E868" s="4"/>
      <c r="F868" s="4"/>
      <c r="G868" s="4"/>
      <c r="H868" s="4"/>
      <c r="I868" s="4"/>
      <c r="J868" s="4"/>
      <c r="K868" s="4"/>
      <c r="L868" s="4"/>
      <c r="M868" s="4"/>
      <c r="N868" s="4"/>
      <c r="O868" s="4"/>
      <c r="P868" s="4"/>
      <c r="Q868" s="4"/>
      <c r="R868" s="4"/>
      <c r="S868" s="47"/>
      <c r="T868" s="4"/>
      <c r="U868" s="4"/>
      <c r="V868" s="47"/>
      <c r="W868" s="4"/>
      <c r="X868" s="4"/>
      <c r="Y868" s="47"/>
      <c r="Z868" s="4"/>
      <c r="AA868" s="4"/>
    </row>
    <row r="869" spans="1:27" ht="24" customHeight="1" x14ac:dyDescent="0.3">
      <c r="A869" s="4"/>
      <c r="B869" s="4"/>
      <c r="C869" s="4"/>
      <c r="D869" s="4"/>
      <c r="E869" s="4"/>
      <c r="F869" s="4"/>
      <c r="G869" s="4"/>
      <c r="H869" s="4"/>
      <c r="I869" s="4"/>
      <c r="J869" s="4"/>
      <c r="K869" s="4"/>
      <c r="L869" s="4"/>
      <c r="M869" s="4"/>
      <c r="N869" s="4"/>
      <c r="O869" s="4"/>
      <c r="P869" s="4"/>
      <c r="Q869" s="4"/>
      <c r="R869" s="4"/>
      <c r="S869" s="47"/>
      <c r="T869" s="4"/>
      <c r="U869" s="4"/>
      <c r="V869" s="47"/>
      <c r="W869" s="4"/>
      <c r="X869" s="4"/>
      <c r="Y869" s="47"/>
      <c r="Z869" s="4"/>
      <c r="AA869" s="4"/>
    </row>
    <row r="870" spans="1:27" ht="24" customHeight="1" x14ac:dyDescent="0.3">
      <c r="A870" s="4"/>
      <c r="B870" s="4"/>
      <c r="C870" s="4"/>
      <c r="D870" s="4"/>
      <c r="E870" s="4"/>
      <c r="F870" s="4"/>
      <c r="G870" s="4"/>
      <c r="H870" s="4"/>
      <c r="I870" s="4"/>
      <c r="J870" s="4"/>
      <c r="K870" s="4"/>
      <c r="L870" s="4"/>
      <c r="M870" s="4"/>
      <c r="N870" s="4"/>
      <c r="O870" s="4"/>
      <c r="P870" s="4"/>
      <c r="Q870" s="4"/>
      <c r="R870" s="4"/>
      <c r="S870" s="47"/>
      <c r="T870" s="4"/>
      <c r="U870" s="4"/>
      <c r="V870" s="47"/>
      <c r="W870" s="4"/>
      <c r="X870" s="4"/>
      <c r="Y870" s="47"/>
      <c r="Z870" s="4"/>
      <c r="AA870" s="4"/>
    </row>
    <row r="871" spans="1:27" ht="24" customHeight="1" x14ac:dyDescent="0.3">
      <c r="A871" s="4"/>
      <c r="B871" s="4"/>
      <c r="C871" s="4"/>
      <c r="D871" s="4"/>
      <c r="E871" s="4"/>
      <c r="F871" s="4"/>
      <c r="G871" s="4"/>
      <c r="H871" s="4"/>
      <c r="I871" s="4"/>
      <c r="J871" s="4"/>
      <c r="K871" s="4"/>
      <c r="L871" s="4"/>
      <c r="M871" s="4"/>
      <c r="N871" s="4"/>
      <c r="O871" s="4"/>
      <c r="P871" s="4"/>
      <c r="Q871" s="4"/>
      <c r="R871" s="4"/>
      <c r="S871" s="47"/>
      <c r="T871" s="4"/>
      <c r="U871" s="4"/>
      <c r="V871" s="47"/>
      <c r="W871" s="4"/>
      <c r="X871" s="4"/>
      <c r="Y871" s="47"/>
      <c r="Z871" s="4"/>
      <c r="AA871" s="4"/>
    </row>
    <row r="872" spans="1:27" ht="24" customHeight="1" x14ac:dyDescent="0.3">
      <c r="A872" s="4"/>
      <c r="B872" s="4"/>
      <c r="C872" s="4"/>
      <c r="D872" s="4"/>
      <c r="E872" s="4"/>
      <c r="F872" s="4"/>
      <c r="G872" s="4"/>
      <c r="H872" s="4"/>
      <c r="I872" s="4"/>
      <c r="J872" s="4"/>
      <c r="K872" s="4"/>
      <c r="L872" s="4"/>
      <c r="M872" s="4"/>
      <c r="N872" s="4"/>
      <c r="O872" s="4"/>
      <c r="P872" s="4"/>
      <c r="Q872" s="4"/>
      <c r="R872" s="4"/>
      <c r="S872" s="47"/>
      <c r="T872" s="4"/>
      <c r="U872" s="4"/>
      <c r="V872" s="47"/>
      <c r="W872" s="4"/>
      <c r="X872" s="4"/>
      <c r="Y872" s="47"/>
      <c r="Z872" s="4"/>
      <c r="AA872" s="4"/>
    </row>
    <row r="873" spans="1:27" ht="24" customHeight="1" x14ac:dyDescent="0.3">
      <c r="A873" s="4"/>
      <c r="B873" s="4"/>
      <c r="C873" s="4"/>
      <c r="D873" s="4"/>
      <c r="E873" s="4"/>
      <c r="F873" s="4"/>
      <c r="G873" s="4"/>
      <c r="H873" s="4"/>
      <c r="I873" s="4"/>
      <c r="J873" s="4"/>
      <c r="K873" s="4"/>
      <c r="L873" s="4"/>
      <c r="M873" s="4"/>
      <c r="N873" s="4"/>
      <c r="O873" s="4"/>
      <c r="P873" s="4"/>
      <c r="Q873" s="4"/>
      <c r="R873" s="4"/>
      <c r="S873" s="47"/>
      <c r="T873" s="4"/>
      <c r="U873" s="4"/>
      <c r="V873" s="47"/>
      <c r="W873" s="4"/>
      <c r="X873" s="4"/>
      <c r="Y873" s="47"/>
      <c r="Z873" s="4"/>
      <c r="AA873" s="4"/>
    </row>
    <row r="874" spans="1:27" ht="24" customHeight="1" x14ac:dyDescent="0.3">
      <c r="A874" s="4"/>
      <c r="B874" s="4"/>
      <c r="C874" s="4"/>
      <c r="D874" s="4"/>
      <c r="E874" s="4"/>
      <c r="F874" s="4"/>
      <c r="G874" s="4"/>
      <c r="H874" s="4"/>
      <c r="I874" s="4"/>
      <c r="J874" s="4"/>
      <c r="K874" s="4"/>
      <c r="L874" s="4"/>
      <c r="M874" s="4"/>
      <c r="N874" s="4"/>
      <c r="O874" s="4"/>
      <c r="P874" s="4"/>
      <c r="Q874" s="4"/>
      <c r="R874" s="4"/>
      <c r="S874" s="47"/>
      <c r="T874" s="4"/>
      <c r="U874" s="4"/>
      <c r="V874" s="47"/>
      <c r="W874" s="4"/>
      <c r="X874" s="4"/>
      <c r="Y874" s="47"/>
      <c r="Z874" s="4"/>
      <c r="AA874" s="4"/>
    </row>
    <row r="875" spans="1:27" ht="24" customHeight="1" x14ac:dyDescent="0.3">
      <c r="A875" s="4"/>
      <c r="B875" s="4"/>
      <c r="C875" s="4"/>
      <c r="D875" s="4"/>
      <c r="E875" s="4"/>
      <c r="F875" s="4"/>
      <c r="G875" s="4"/>
      <c r="H875" s="4"/>
      <c r="I875" s="4"/>
      <c r="J875" s="4"/>
      <c r="K875" s="4"/>
      <c r="L875" s="4"/>
      <c r="M875" s="4"/>
      <c r="N875" s="4"/>
      <c r="O875" s="4"/>
      <c r="P875" s="4"/>
      <c r="Q875" s="4"/>
      <c r="R875" s="4"/>
      <c r="S875" s="47"/>
      <c r="T875" s="4"/>
      <c r="U875" s="4"/>
      <c r="V875" s="47"/>
      <c r="W875" s="4"/>
      <c r="X875" s="4"/>
      <c r="Y875" s="47"/>
      <c r="Z875" s="4"/>
      <c r="AA875" s="4"/>
    </row>
    <row r="876" spans="1:27" ht="24" customHeight="1" x14ac:dyDescent="0.3">
      <c r="A876" s="4"/>
      <c r="B876" s="4"/>
      <c r="C876" s="4"/>
      <c r="D876" s="4"/>
      <c r="E876" s="4"/>
      <c r="F876" s="4"/>
      <c r="G876" s="4"/>
      <c r="H876" s="4"/>
      <c r="I876" s="4"/>
      <c r="J876" s="4"/>
      <c r="K876" s="4"/>
      <c r="L876" s="4"/>
      <c r="M876" s="4"/>
      <c r="N876" s="4"/>
      <c r="O876" s="4"/>
      <c r="P876" s="4"/>
      <c r="Q876" s="4"/>
      <c r="R876" s="4"/>
      <c r="S876" s="47"/>
      <c r="T876" s="4"/>
      <c r="U876" s="4"/>
      <c r="V876" s="47"/>
      <c r="W876" s="4"/>
      <c r="X876" s="4"/>
      <c r="Y876" s="47"/>
      <c r="Z876" s="4"/>
      <c r="AA876" s="4"/>
    </row>
    <row r="877" spans="1:27" ht="24" customHeight="1" x14ac:dyDescent="0.3">
      <c r="A877" s="4"/>
      <c r="B877" s="4"/>
      <c r="C877" s="4"/>
      <c r="D877" s="4"/>
      <c r="E877" s="4"/>
      <c r="F877" s="4"/>
      <c r="G877" s="4"/>
      <c r="H877" s="4"/>
      <c r="I877" s="4"/>
      <c r="J877" s="4"/>
      <c r="K877" s="4"/>
      <c r="L877" s="4"/>
      <c r="M877" s="4"/>
      <c r="N877" s="4"/>
      <c r="O877" s="4"/>
      <c r="P877" s="4"/>
      <c r="Q877" s="4"/>
      <c r="R877" s="4"/>
      <c r="S877" s="47"/>
      <c r="T877" s="4"/>
      <c r="U877" s="4"/>
      <c r="V877" s="47"/>
      <c r="W877" s="4"/>
      <c r="X877" s="4"/>
      <c r="Y877" s="47"/>
      <c r="Z877" s="4"/>
      <c r="AA877" s="4"/>
    </row>
    <row r="878" spans="1:27" ht="24" customHeight="1" x14ac:dyDescent="0.3">
      <c r="A878" s="4"/>
      <c r="B878" s="4"/>
      <c r="C878" s="4"/>
      <c r="D878" s="4"/>
      <c r="E878" s="4"/>
      <c r="F878" s="4"/>
      <c r="G878" s="4"/>
      <c r="H878" s="4"/>
      <c r="I878" s="4"/>
      <c r="J878" s="4"/>
      <c r="K878" s="4"/>
      <c r="L878" s="4"/>
      <c r="M878" s="4"/>
      <c r="N878" s="4"/>
      <c r="O878" s="4"/>
      <c r="P878" s="4"/>
      <c r="Q878" s="4"/>
      <c r="R878" s="4"/>
      <c r="S878" s="47"/>
      <c r="T878" s="4"/>
      <c r="U878" s="4"/>
      <c r="V878" s="47"/>
      <c r="W878" s="4"/>
      <c r="X878" s="4"/>
      <c r="Y878" s="47"/>
      <c r="Z878" s="4"/>
      <c r="AA878" s="4"/>
    </row>
    <row r="879" spans="1:27" ht="24" customHeight="1" x14ac:dyDescent="0.3">
      <c r="A879" s="4"/>
      <c r="B879" s="4"/>
      <c r="C879" s="4"/>
      <c r="D879" s="4"/>
      <c r="E879" s="4"/>
      <c r="F879" s="4"/>
      <c r="G879" s="4"/>
      <c r="H879" s="4"/>
      <c r="I879" s="4"/>
      <c r="J879" s="4"/>
      <c r="K879" s="4"/>
      <c r="L879" s="4"/>
      <c r="M879" s="4"/>
      <c r="N879" s="4"/>
      <c r="O879" s="4"/>
      <c r="P879" s="4"/>
      <c r="Q879" s="4"/>
      <c r="R879" s="4"/>
      <c r="S879" s="47"/>
      <c r="T879" s="4"/>
      <c r="U879" s="4"/>
      <c r="V879" s="47"/>
      <c r="W879" s="4"/>
      <c r="X879" s="4"/>
      <c r="Y879" s="47"/>
      <c r="Z879" s="4"/>
      <c r="AA879" s="4"/>
    </row>
    <row r="880" spans="1:27" ht="24" customHeight="1" x14ac:dyDescent="0.3">
      <c r="A880" s="4"/>
      <c r="B880" s="4"/>
      <c r="C880" s="4"/>
      <c r="D880" s="4"/>
      <c r="E880" s="4"/>
      <c r="F880" s="4"/>
      <c r="G880" s="4"/>
      <c r="H880" s="4"/>
      <c r="I880" s="4"/>
      <c r="J880" s="4"/>
      <c r="K880" s="4"/>
      <c r="L880" s="4"/>
      <c r="M880" s="4"/>
      <c r="N880" s="4"/>
      <c r="O880" s="4"/>
      <c r="P880" s="4"/>
      <c r="Q880" s="4"/>
      <c r="R880" s="4"/>
      <c r="S880" s="47"/>
      <c r="T880" s="4"/>
      <c r="U880" s="4"/>
      <c r="V880" s="47"/>
      <c r="W880" s="4"/>
      <c r="X880" s="4"/>
      <c r="Y880" s="47"/>
      <c r="Z880" s="4"/>
      <c r="AA880" s="4"/>
    </row>
    <row r="881" spans="1:27" ht="24" customHeight="1" x14ac:dyDescent="0.3">
      <c r="A881" s="4"/>
      <c r="B881" s="4"/>
      <c r="C881" s="4"/>
      <c r="D881" s="4"/>
      <c r="E881" s="4"/>
      <c r="F881" s="4"/>
      <c r="G881" s="4"/>
      <c r="H881" s="4"/>
      <c r="I881" s="4"/>
      <c r="J881" s="4"/>
      <c r="K881" s="4"/>
      <c r="L881" s="4"/>
      <c r="M881" s="4"/>
      <c r="N881" s="4"/>
      <c r="O881" s="4"/>
      <c r="P881" s="4"/>
      <c r="Q881" s="4"/>
      <c r="R881" s="4"/>
      <c r="S881" s="47"/>
      <c r="T881" s="4"/>
      <c r="U881" s="4"/>
      <c r="V881" s="47"/>
      <c r="W881" s="4"/>
      <c r="X881" s="4"/>
      <c r="Y881" s="47"/>
      <c r="Z881" s="4"/>
      <c r="AA881" s="4"/>
    </row>
    <row r="882" spans="1:27" ht="24" customHeight="1" x14ac:dyDescent="0.3">
      <c r="A882" s="4"/>
      <c r="B882" s="4"/>
      <c r="C882" s="4"/>
      <c r="D882" s="4"/>
      <c r="E882" s="4"/>
      <c r="F882" s="4"/>
      <c r="G882" s="4"/>
      <c r="H882" s="4"/>
      <c r="I882" s="4"/>
      <c r="J882" s="4"/>
      <c r="K882" s="4"/>
      <c r="L882" s="4"/>
      <c r="M882" s="4"/>
      <c r="N882" s="4"/>
      <c r="O882" s="4"/>
      <c r="P882" s="4"/>
      <c r="Q882" s="4"/>
      <c r="R882" s="4"/>
      <c r="S882" s="47"/>
      <c r="T882" s="4"/>
      <c r="U882" s="4"/>
      <c r="V882" s="47"/>
      <c r="W882" s="4"/>
      <c r="X882" s="4"/>
      <c r="Y882" s="47"/>
      <c r="Z882" s="4"/>
      <c r="AA882" s="4"/>
    </row>
    <row r="883" spans="1:27" ht="24" customHeight="1" x14ac:dyDescent="0.3">
      <c r="A883" s="4"/>
      <c r="B883" s="4"/>
      <c r="C883" s="4"/>
      <c r="D883" s="4"/>
      <c r="E883" s="4"/>
      <c r="F883" s="4"/>
      <c r="G883" s="4"/>
      <c r="H883" s="4"/>
      <c r="I883" s="4"/>
      <c r="J883" s="4"/>
      <c r="K883" s="4"/>
      <c r="L883" s="4"/>
      <c r="M883" s="4"/>
      <c r="N883" s="4"/>
      <c r="O883" s="4"/>
      <c r="P883" s="4"/>
      <c r="Q883" s="4"/>
      <c r="R883" s="4"/>
      <c r="S883" s="47"/>
      <c r="T883" s="4"/>
      <c r="U883" s="4"/>
      <c r="V883" s="47"/>
      <c r="W883" s="4"/>
      <c r="X883" s="4"/>
      <c r="Y883" s="47"/>
      <c r="Z883" s="4"/>
      <c r="AA883" s="4"/>
    </row>
    <row r="884" spans="1:27" ht="24" customHeight="1" x14ac:dyDescent="0.3">
      <c r="A884" s="4"/>
      <c r="B884" s="4"/>
      <c r="C884" s="4"/>
      <c r="D884" s="4"/>
      <c r="E884" s="4"/>
      <c r="F884" s="4"/>
      <c r="G884" s="4"/>
      <c r="H884" s="4"/>
      <c r="I884" s="4"/>
      <c r="J884" s="4"/>
      <c r="K884" s="4"/>
      <c r="L884" s="4"/>
      <c r="M884" s="4"/>
      <c r="N884" s="4"/>
      <c r="O884" s="4"/>
      <c r="P884" s="4"/>
      <c r="Q884" s="4"/>
      <c r="R884" s="4"/>
      <c r="S884" s="47"/>
      <c r="T884" s="4"/>
      <c r="U884" s="4"/>
      <c r="V884" s="47"/>
      <c r="W884" s="4"/>
      <c r="X884" s="4"/>
      <c r="Y884" s="47"/>
      <c r="Z884" s="4"/>
      <c r="AA884" s="4"/>
    </row>
    <row r="885" spans="1:27" ht="24" customHeight="1" x14ac:dyDescent="0.3">
      <c r="A885" s="4"/>
      <c r="B885" s="4"/>
      <c r="C885" s="4"/>
      <c r="D885" s="4"/>
      <c r="E885" s="4"/>
      <c r="F885" s="4"/>
      <c r="G885" s="4"/>
      <c r="H885" s="4"/>
      <c r="I885" s="4"/>
      <c r="J885" s="4"/>
      <c r="K885" s="4"/>
      <c r="L885" s="4"/>
      <c r="M885" s="4"/>
      <c r="N885" s="4"/>
      <c r="O885" s="4"/>
      <c r="P885" s="4"/>
      <c r="Q885" s="4"/>
      <c r="R885" s="4"/>
      <c r="S885" s="47"/>
      <c r="T885" s="4"/>
      <c r="U885" s="4"/>
      <c r="V885" s="47"/>
      <c r="W885" s="4"/>
      <c r="X885" s="4"/>
      <c r="Y885" s="47"/>
      <c r="Z885" s="4"/>
      <c r="AA885" s="4"/>
    </row>
    <row r="886" spans="1:27" ht="24" customHeight="1" x14ac:dyDescent="0.3">
      <c r="A886" s="4"/>
      <c r="B886" s="4"/>
      <c r="C886" s="4"/>
      <c r="D886" s="4"/>
      <c r="E886" s="4"/>
      <c r="F886" s="4"/>
      <c r="G886" s="4"/>
      <c r="H886" s="4"/>
      <c r="I886" s="4"/>
      <c r="J886" s="4"/>
      <c r="K886" s="4"/>
      <c r="L886" s="4"/>
      <c r="M886" s="4"/>
      <c r="N886" s="4"/>
      <c r="O886" s="4"/>
      <c r="P886" s="4"/>
      <c r="Q886" s="4"/>
      <c r="R886" s="4"/>
      <c r="S886" s="47"/>
      <c r="T886" s="4"/>
      <c r="U886" s="4"/>
      <c r="V886" s="47"/>
      <c r="W886" s="4"/>
      <c r="X886" s="4"/>
      <c r="Y886" s="47"/>
      <c r="Z886" s="4"/>
      <c r="AA886" s="4"/>
    </row>
    <row r="887" spans="1:27" ht="24" customHeight="1" x14ac:dyDescent="0.3">
      <c r="A887" s="4"/>
      <c r="B887" s="4"/>
      <c r="C887" s="4"/>
      <c r="D887" s="4"/>
      <c r="E887" s="4"/>
      <c r="F887" s="4"/>
      <c r="G887" s="4"/>
      <c r="H887" s="4"/>
      <c r="I887" s="4"/>
      <c r="J887" s="4"/>
      <c r="K887" s="4"/>
      <c r="L887" s="4"/>
      <c r="M887" s="4"/>
      <c r="N887" s="4"/>
      <c r="O887" s="4"/>
      <c r="P887" s="4"/>
      <c r="Q887" s="4"/>
      <c r="R887" s="4"/>
      <c r="S887" s="47"/>
      <c r="T887" s="4"/>
      <c r="U887" s="4"/>
      <c r="V887" s="47"/>
      <c r="W887" s="4"/>
      <c r="X887" s="4"/>
      <c r="Y887" s="47"/>
      <c r="Z887" s="4"/>
      <c r="AA887" s="4"/>
    </row>
    <row r="888" spans="1:27" ht="24" customHeight="1" x14ac:dyDescent="0.3">
      <c r="A888" s="4"/>
      <c r="B888" s="4"/>
      <c r="C888" s="4"/>
      <c r="D888" s="4"/>
      <c r="E888" s="4"/>
      <c r="F888" s="4"/>
      <c r="G888" s="4"/>
      <c r="H888" s="4"/>
      <c r="I888" s="4"/>
      <c r="J888" s="4"/>
      <c r="K888" s="4"/>
      <c r="L888" s="4"/>
      <c r="M888" s="4"/>
      <c r="N888" s="4"/>
      <c r="O888" s="4"/>
      <c r="P888" s="4"/>
      <c r="Q888" s="4"/>
      <c r="R888" s="4"/>
      <c r="S888" s="47"/>
      <c r="T888" s="4"/>
      <c r="U888" s="4"/>
      <c r="V888" s="47"/>
      <c r="W888" s="4"/>
      <c r="X888" s="4"/>
      <c r="Y888" s="47"/>
      <c r="Z888" s="4"/>
      <c r="AA888" s="4"/>
    </row>
    <row r="889" spans="1:27" ht="24" customHeight="1" x14ac:dyDescent="0.3">
      <c r="A889" s="4"/>
      <c r="B889" s="4"/>
      <c r="C889" s="4"/>
      <c r="D889" s="4"/>
      <c r="E889" s="4"/>
      <c r="F889" s="4"/>
      <c r="G889" s="4"/>
      <c r="H889" s="4"/>
      <c r="I889" s="4"/>
      <c r="J889" s="4"/>
      <c r="K889" s="4"/>
      <c r="L889" s="4"/>
      <c r="M889" s="4"/>
      <c r="N889" s="4"/>
      <c r="O889" s="4"/>
      <c r="P889" s="4"/>
      <c r="Q889" s="4"/>
      <c r="R889" s="4"/>
      <c r="S889" s="47"/>
      <c r="T889" s="4"/>
      <c r="U889" s="4"/>
      <c r="V889" s="47"/>
      <c r="W889" s="4"/>
      <c r="X889" s="4"/>
      <c r="Y889" s="47"/>
      <c r="Z889" s="4"/>
      <c r="AA889" s="4"/>
    </row>
    <row r="890" spans="1:27" ht="24" customHeight="1" x14ac:dyDescent="0.3">
      <c r="A890" s="4"/>
      <c r="B890" s="4"/>
      <c r="C890" s="4"/>
      <c r="D890" s="4"/>
      <c r="E890" s="4"/>
      <c r="F890" s="4"/>
      <c r="G890" s="4"/>
      <c r="H890" s="4"/>
      <c r="I890" s="4"/>
      <c r="J890" s="4"/>
      <c r="K890" s="4"/>
      <c r="L890" s="4"/>
      <c r="M890" s="4"/>
      <c r="N890" s="4"/>
      <c r="O890" s="4"/>
      <c r="P890" s="4"/>
      <c r="Q890" s="4"/>
      <c r="R890" s="4"/>
      <c r="S890" s="47"/>
      <c r="T890" s="4"/>
      <c r="U890" s="4"/>
      <c r="V890" s="47"/>
      <c r="W890" s="4"/>
      <c r="X890" s="4"/>
      <c r="Y890" s="47"/>
      <c r="Z890" s="4"/>
      <c r="AA890" s="4"/>
    </row>
    <row r="891" spans="1:27" ht="24" customHeight="1" x14ac:dyDescent="0.3">
      <c r="A891" s="4"/>
      <c r="B891" s="4"/>
      <c r="C891" s="4"/>
      <c r="D891" s="4"/>
      <c r="E891" s="4"/>
      <c r="F891" s="4"/>
      <c r="G891" s="4"/>
      <c r="H891" s="4"/>
      <c r="I891" s="4"/>
      <c r="J891" s="4"/>
      <c r="K891" s="4"/>
      <c r="L891" s="4"/>
      <c r="M891" s="4"/>
      <c r="N891" s="4"/>
      <c r="O891" s="4"/>
      <c r="P891" s="4"/>
      <c r="Q891" s="4"/>
      <c r="R891" s="4"/>
      <c r="S891" s="47"/>
      <c r="T891" s="4"/>
      <c r="U891" s="4"/>
      <c r="V891" s="47"/>
      <c r="W891" s="4"/>
      <c r="X891" s="4"/>
      <c r="Y891" s="47"/>
      <c r="Z891" s="4"/>
      <c r="AA891" s="4"/>
    </row>
    <row r="892" spans="1:27" ht="24" customHeight="1" x14ac:dyDescent="0.3">
      <c r="A892" s="4"/>
      <c r="B892" s="4"/>
      <c r="C892" s="4"/>
      <c r="D892" s="4"/>
      <c r="E892" s="4"/>
      <c r="F892" s="4"/>
      <c r="G892" s="4"/>
      <c r="H892" s="4"/>
      <c r="I892" s="4"/>
      <c r="J892" s="4"/>
      <c r="K892" s="4"/>
      <c r="L892" s="4"/>
      <c r="M892" s="4"/>
      <c r="N892" s="4"/>
      <c r="O892" s="4"/>
      <c r="P892" s="4"/>
      <c r="Q892" s="4"/>
      <c r="R892" s="4"/>
      <c r="S892" s="47"/>
      <c r="T892" s="4"/>
      <c r="U892" s="4"/>
      <c r="V892" s="47"/>
      <c r="W892" s="4"/>
      <c r="X892" s="4"/>
      <c r="Y892" s="47"/>
      <c r="Z892" s="4"/>
      <c r="AA892" s="4"/>
    </row>
    <row r="893" spans="1:27" ht="24" customHeight="1" x14ac:dyDescent="0.3">
      <c r="A893" s="4"/>
      <c r="B893" s="4"/>
      <c r="C893" s="4"/>
      <c r="D893" s="4"/>
      <c r="E893" s="4"/>
      <c r="F893" s="4"/>
      <c r="G893" s="4"/>
      <c r="H893" s="4"/>
      <c r="I893" s="4"/>
      <c r="J893" s="4"/>
      <c r="K893" s="4"/>
      <c r="L893" s="4"/>
      <c r="M893" s="4"/>
      <c r="N893" s="4"/>
      <c r="O893" s="4"/>
      <c r="P893" s="4"/>
      <c r="Q893" s="4"/>
      <c r="R893" s="4"/>
      <c r="S893" s="47"/>
      <c r="T893" s="4"/>
      <c r="U893" s="4"/>
      <c r="V893" s="47"/>
      <c r="W893" s="4"/>
      <c r="X893" s="4"/>
      <c r="Y893" s="47"/>
      <c r="Z893" s="4"/>
      <c r="AA893" s="4"/>
    </row>
    <row r="894" spans="1:27" ht="24" customHeight="1" x14ac:dyDescent="0.3">
      <c r="A894" s="4"/>
      <c r="B894" s="4"/>
      <c r="C894" s="4"/>
      <c r="D894" s="4"/>
      <c r="E894" s="4"/>
      <c r="F894" s="4"/>
      <c r="G894" s="4"/>
      <c r="H894" s="4"/>
      <c r="I894" s="4"/>
      <c r="J894" s="4"/>
      <c r="K894" s="4"/>
      <c r="L894" s="4"/>
      <c r="M894" s="4"/>
      <c r="N894" s="4"/>
      <c r="O894" s="4"/>
      <c r="P894" s="4"/>
      <c r="Q894" s="4"/>
      <c r="R894" s="4"/>
      <c r="S894" s="47"/>
      <c r="T894" s="4"/>
      <c r="U894" s="4"/>
      <c r="V894" s="47"/>
      <c r="W894" s="4"/>
      <c r="X894" s="4"/>
      <c r="Y894" s="47"/>
      <c r="Z894" s="4"/>
      <c r="AA894" s="4"/>
    </row>
    <row r="895" spans="1:27" ht="24" customHeight="1" x14ac:dyDescent="0.3">
      <c r="A895" s="4"/>
      <c r="B895" s="4"/>
      <c r="C895" s="4"/>
      <c r="D895" s="4"/>
      <c r="E895" s="4"/>
      <c r="F895" s="4"/>
      <c r="G895" s="4"/>
      <c r="H895" s="4"/>
      <c r="I895" s="4"/>
      <c r="J895" s="4"/>
      <c r="K895" s="4"/>
      <c r="L895" s="4"/>
      <c r="M895" s="4"/>
      <c r="N895" s="4"/>
      <c r="O895" s="4"/>
      <c r="P895" s="4"/>
      <c r="Q895" s="4"/>
      <c r="R895" s="4"/>
      <c r="S895" s="47"/>
      <c r="T895" s="4"/>
      <c r="U895" s="4"/>
      <c r="V895" s="47"/>
      <c r="W895" s="4"/>
      <c r="X895" s="4"/>
      <c r="Y895" s="47"/>
      <c r="Z895" s="4"/>
      <c r="AA895" s="4"/>
    </row>
    <row r="896" spans="1:27" ht="24" customHeight="1" x14ac:dyDescent="0.3">
      <c r="A896" s="4"/>
      <c r="B896" s="4"/>
      <c r="C896" s="4"/>
      <c r="D896" s="4"/>
      <c r="E896" s="4"/>
      <c r="F896" s="4"/>
      <c r="G896" s="4"/>
      <c r="H896" s="4"/>
      <c r="I896" s="4"/>
      <c r="J896" s="4"/>
      <c r="K896" s="4"/>
      <c r="L896" s="4"/>
      <c r="M896" s="4"/>
      <c r="N896" s="4"/>
      <c r="O896" s="4"/>
      <c r="P896" s="4"/>
      <c r="Q896" s="4"/>
      <c r="R896" s="4"/>
      <c r="S896" s="47"/>
      <c r="T896" s="4"/>
      <c r="U896" s="4"/>
      <c r="V896" s="47"/>
      <c r="W896" s="4"/>
      <c r="X896" s="4"/>
      <c r="Y896" s="47"/>
      <c r="Z896" s="4"/>
      <c r="AA896" s="4"/>
    </row>
    <row r="897" spans="1:27" ht="24" customHeight="1" x14ac:dyDescent="0.3">
      <c r="A897" s="4"/>
      <c r="B897" s="4"/>
      <c r="C897" s="4"/>
      <c r="D897" s="4"/>
      <c r="E897" s="4"/>
      <c r="F897" s="4"/>
      <c r="G897" s="4"/>
      <c r="H897" s="4"/>
      <c r="I897" s="4"/>
      <c r="J897" s="4"/>
      <c r="K897" s="4"/>
      <c r="L897" s="4"/>
      <c r="M897" s="4"/>
      <c r="N897" s="4"/>
      <c r="O897" s="4"/>
      <c r="P897" s="4"/>
      <c r="Q897" s="4"/>
      <c r="R897" s="4"/>
      <c r="S897" s="47"/>
      <c r="T897" s="4"/>
      <c r="U897" s="4"/>
      <c r="V897" s="47"/>
      <c r="W897" s="4"/>
      <c r="X897" s="4"/>
      <c r="Y897" s="47"/>
      <c r="Z897" s="4"/>
      <c r="AA897" s="4"/>
    </row>
    <row r="898" spans="1:27" ht="24" customHeight="1" x14ac:dyDescent="0.3">
      <c r="A898" s="4"/>
      <c r="B898" s="4"/>
      <c r="C898" s="4"/>
      <c r="D898" s="4"/>
      <c r="E898" s="4"/>
      <c r="F898" s="4"/>
      <c r="G898" s="4"/>
      <c r="H898" s="4"/>
      <c r="I898" s="4"/>
      <c r="J898" s="4"/>
      <c r="K898" s="4"/>
      <c r="L898" s="4"/>
      <c r="M898" s="4"/>
      <c r="N898" s="4"/>
      <c r="O898" s="4"/>
      <c r="P898" s="4"/>
      <c r="Q898" s="4"/>
      <c r="R898" s="4"/>
      <c r="S898" s="47"/>
      <c r="T898" s="4"/>
      <c r="U898" s="4"/>
      <c r="V898" s="47"/>
      <c r="W898" s="4"/>
      <c r="X898" s="4"/>
      <c r="Y898" s="47"/>
      <c r="Z898" s="4"/>
      <c r="AA898" s="4"/>
    </row>
    <row r="899" spans="1:27" ht="24" customHeight="1" x14ac:dyDescent="0.3">
      <c r="A899" s="4"/>
      <c r="B899" s="4"/>
      <c r="C899" s="4"/>
      <c r="D899" s="4"/>
      <c r="E899" s="4"/>
      <c r="F899" s="4"/>
      <c r="G899" s="4"/>
      <c r="H899" s="4"/>
      <c r="I899" s="4"/>
      <c r="J899" s="4"/>
      <c r="K899" s="4"/>
      <c r="L899" s="4"/>
      <c r="M899" s="4"/>
      <c r="N899" s="4"/>
      <c r="O899" s="4"/>
      <c r="P899" s="4"/>
      <c r="Q899" s="4"/>
      <c r="R899" s="4"/>
      <c r="S899" s="47"/>
      <c r="T899" s="4"/>
      <c r="U899" s="4"/>
      <c r="V899" s="47"/>
      <c r="W899" s="4"/>
      <c r="X899" s="4"/>
      <c r="Y899" s="47"/>
      <c r="Z899" s="4"/>
      <c r="AA899" s="4"/>
    </row>
    <row r="900" spans="1:27" ht="24" customHeight="1" x14ac:dyDescent="0.3">
      <c r="A900" s="4"/>
      <c r="B900" s="4"/>
      <c r="C900" s="4"/>
      <c r="D900" s="4"/>
      <c r="E900" s="4"/>
      <c r="F900" s="4"/>
      <c r="G900" s="4"/>
      <c r="H900" s="4"/>
      <c r="I900" s="4"/>
      <c r="J900" s="4"/>
      <c r="K900" s="4"/>
      <c r="L900" s="4"/>
      <c r="M900" s="4"/>
      <c r="N900" s="4"/>
      <c r="O900" s="4"/>
      <c r="P900" s="4"/>
      <c r="Q900" s="4"/>
      <c r="R900" s="4"/>
      <c r="S900" s="47"/>
      <c r="T900" s="4"/>
      <c r="U900" s="4"/>
      <c r="V900" s="47"/>
      <c r="W900" s="4"/>
      <c r="X900" s="4"/>
      <c r="Y900" s="47"/>
      <c r="Z900" s="4"/>
      <c r="AA900" s="4"/>
    </row>
    <row r="901" spans="1:27" ht="24" customHeight="1" x14ac:dyDescent="0.3">
      <c r="A901" s="4"/>
      <c r="B901" s="4"/>
      <c r="C901" s="4"/>
      <c r="D901" s="4"/>
      <c r="E901" s="4"/>
      <c r="F901" s="4"/>
      <c r="G901" s="4"/>
      <c r="H901" s="4"/>
      <c r="I901" s="4"/>
      <c r="J901" s="4"/>
      <c r="K901" s="4"/>
      <c r="L901" s="4"/>
      <c r="M901" s="4"/>
      <c r="N901" s="4"/>
      <c r="O901" s="4"/>
      <c r="P901" s="4"/>
      <c r="Q901" s="4"/>
      <c r="R901" s="4"/>
      <c r="S901" s="47"/>
      <c r="T901" s="4"/>
      <c r="U901" s="4"/>
      <c r="V901" s="47"/>
      <c r="W901" s="4"/>
      <c r="X901" s="4"/>
      <c r="Y901" s="47"/>
      <c r="Z901" s="4"/>
      <c r="AA901" s="4"/>
    </row>
    <row r="902" spans="1:27" ht="24" customHeight="1" x14ac:dyDescent="0.3">
      <c r="A902" s="4"/>
      <c r="B902" s="4"/>
      <c r="C902" s="4"/>
      <c r="D902" s="4"/>
      <c r="E902" s="4"/>
      <c r="F902" s="4"/>
      <c r="G902" s="4"/>
      <c r="H902" s="4"/>
      <c r="I902" s="4"/>
      <c r="J902" s="4"/>
      <c r="K902" s="4"/>
      <c r="L902" s="4"/>
      <c r="M902" s="4"/>
      <c r="N902" s="4"/>
      <c r="O902" s="4"/>
      <c r="P902" s="4"/>
      <c r="Q902" s="4"/>
      <c r="R902" s="4"/>
      <c r="S902" s="47"/>
      <c r="T902" s="4"/>
      <c r="U902" s="4"/>
      <c r="V902" s="47"/>
      <c r="W902" s="4"/>
      <c r="X902" s="4"/>
      <c r="Y902" s="47"/>
      <c r="Z902" s="4"/>
      <c r="AA902" s="4"/>
    </row>
    <row r="903" spans="1:27" ht="24" customHeight="1" x14ac:dyDescent="0.3">
      <c r="A903" s="4"/>
      <c r="B903" s="4"/>
      <c r="C903" s="4"/>
      <c r="D903" s="4"/>
      <c r="E903" s="4"/>
      <c r="F903" s="4"/>
      <c r="G903" s="4"/>
      <c r="H903" s="4"/>
      <c r="I903" s="4"/>
      <c r="J903" s="4"/>
      <c r="K903" s="4"/>
      <c r="L903" s="4"/>
      <c r="M903" s="4"/>
      <c r="N903" s="4"/>
      <c r="O903" s="4"/>
      <c r="P903" s="4"/>
      <c r="Q903" s="4"/>
      <c r="R903" s="4"/>
      <c r="S903" s="47"/>
      <c r="T903" s="4"/>
      <c r="U903" s="4"/>
      <c r="V903" s="47"/>
      <c r="W903" s="4"/>
      <c r="X903" s="4"/>
      <c r="Y903" s="47"/>
      <c r="Z903" s="4"/>
      <c r="AA903" s="4"/>
    </row>
    <row r="904" spans="1:27" ht="24" customHeight="1" x14ac:dyDescent="0.3">
      <c r="A904" s="4"/>
      <c r="B904" s="4"/>
      <c r="C904" s="4"/>
      <c r="D904" s="4"/>
      <c r="E904" s="4"/>
      <c r="F904" s="4"/>
      <c r="G904" s="4"/>
      <c r="H904" s="4"/>
      <c r="I904" s="4"/>
      <c r="J904" s="4"/>
      <c r="K904" s="4"/>
      <c r="L904" s="4"/>
      <c r="M904" s="4"/>
      <c r="N904" s="4"/>
      <c r="O904" s="4"/>
      <c r="P904" s="4"/>
      <c r="Q904" s="4"/>
      <c r="R904" s="4"/>
      <c r="S904" s="47"/>
      <c r="T904" s="4"/>
      <c r="U904" s="4"/>
      <c r="V904" s="47"/>
      <c r="W904" s="4"/>
      <c r="X904" s="4"/>
      <c r="Y904" s="47"/>
      <c r="Z904" s="4"/>
      <c r="AA904" s="4"/>
    </row>
    <row r="905" spans="1:27" ht="24" customHeight="1" x14ac:dyDescent="0.3">
      <c r="A905" s="4"/>
      <c r="B905" s="4"/>
      <c r="C905" s="4"/>
      <c r="D905" s="4"/>
      <c r="E905" s="4"/>
      <c r="F905" s="4"/>
      <c r="G905" s="4"/>
      <c r="H905" s="4"/>
      <c r="I905" s="4"/>
      <c r="J905" s="4"/>
      <c r="K905" s="4"/>
      <c r="L905" s="4"/>
      <c r="M905" s="4"/>
      <c r="N905" s="4"/>
      <c r="O905" s="4"/>
      <c r="P905" s="4"/>
      <c r="Q905" s="4"/>
      <c r="R905" s="4"/>
      <c r="S905" s="47"/>
      <c r="T905" s="4"/>
      <c r="U905" s="4"/>
      <c r="V905" s="47"/>
      <c r="W905" s="4"/>
      <c r="X905" s="4"/>
      <c r="Y905" s="47"/>
      <c r="Z905" s="4"/>
      <c r="AA905" s="4"/>
    </row>
    <row r="906" spans="1:27" ht="24" customHeight="1" x14ac:dyDescent="0.3">
      <c r="A906" s="4"/>
      <c r="B906" s="4"/>
      <c r="C906" s="4"/>
      <c r="D906" s="4"/>
      <c r="E906" s="4"/>
      <c r="F906" s="4"/>
      <c r="G906" s="4"/>
      <c r="H906" s="4"/>
      <c r="I906" s="4"/>
      <c r="J906" s="4"/>
      <c r="K906" s="4"/>
      <c r="L906" s="4"/>
      <c r="M906" s="4"/>
      <c r="N906" s="4"/>
      <c r="O906" s="4"/>
      <c r="P906" s="4"/>
      <c r="Q906" s="4"/>
      <c r="R906" s="4"/>
      <c r="S906" s="47"/>
      <c r="T906" s="4"/>
      <c r="U906" s="4"/>
      <c r="V906" s="47"/>
      <c r="W906" s="4"/>
      <c r="X906" s="4"/>
      <c r="Y906" s="47"/>
      <c r="Z906" s="4"/>
      <c r="AA906" s="4"/>
    </row>
    <row r="907" spans="1:27" ht="24" customHeight="1" x14ac:dyDescent="0.3">
      <c r="A907" s="4"/>
      <c r="B907" s="4"/>
      <c r="C907" s="4"/>
      <c r="D907" s="4"/>
      <c r="E907" s="4"/>
      <c r="F907" s="4"/>
      <c r="G907" s="4"/>
      <c r="H907" s="4"/>
      <c r="I907" s="4"/>
      <c r="J907" s="4"/>
      <c r="K907" s="4"/>
      <c r="L907" s="4"/>
      <c r="M907" s="4"/>
      <c r="N907" s="4"/>
      <c r="O907" s="4"/>
      <c r="P907" s="4"/>
      <c r="Q907" s="4"/>
      <c r="R907" s="4"/>
      <c r="S907" s="47"/>
      <c r="T907" s="4"/>
      <c r="U907" s="4"/>
      <c r="V907" s="47"/>
      <c r="W907" s="4"/>
      <c r="X907" s="4"/>
      <c r="Y907" s="47"/>
      <c r="Z907" s="4"/>
      <c r="AA907" s="4"/>
    </row>
    <row r="908" spans="1:27" ht="24" customHeight="1" x14ac:dyDescent="0.3">
      <c r="A908" s="4"/>
      <c r="B908" s="4"/>
      <c r="C908" s="4"/>
      <c r="D908" s="4"/>
      <c r="E908" s="4"/>
      <c r="F908" s="4"/>
      <c r="G908" s="4"/>
      <c r="H908" s="4"/>
      <c r="I908" s="4"/>
      <c r="J908" s="4"/>
      <c r="K908" s="4"/>
      <c r="L908" s="4"/>
      <c r="M908" s="4"/>
      <c r="N908" s="4"/>
      <c r="O908" s="4"/>
      <c r="P908" s="4"/>
      <c r="Q908" s="4"/>
      <c r="R908" s="4"/>
      <c r="S908" s="47"/>
      <c r="T908" s="4"/>
      <c r="U908" s="4"/>
      <c r="V908" s="47"/>
      <c r="W908" s="4"/>
      <c r="X908" s="4"/>
      <c r="Y908" s="47"/>
      <c r="Z908" s="4"/>
      <c r="AA908" s="4"/>
    </row>
    <row r="909" spans="1:27" ht="24" customHeight="1" x14ac:dyDescent="0.3">
      <c r="A909" s="4"/>
      <c r="B909" s="4"/>
      <c r="C909" s="4"/>
      <c r="D909" s="4"/>
      <c r="E909" s="4"/>
      <c r="F909" s="4"/>
      <c r="G909" s="4"/>
      <c r="H909" s="4"/>
      <c r="I909" s="4"/>
      <c r="J909" s="4"/>
      <c r="K909" s="4"/>
      <c r="L909" s="4"/>
      <c r="M909" s="4"/>
      <c r="N909" s="4"/>
      <c r="O909" s="4"/>
      <c r="P909" s="4"/>
      <c r="Q909" s="4"/>
      <c r="R909" s="4"/>
      <c r="S909" s="47"/>
      <c r="T909" s="4"/>
      <c r="U909" s="4"/>
      <c r="V909" s="47"/>
      <c r="W909" s="4"/>
      <c r="X909" s="4"/>
      <c r="Y909" s="47"/>
      <c r="Z909" s="4"/>
      <c r="AA909" s="4"/>
    </row>
    <row r="910" spans="1:27" ht="24" customHeight="1" x14ac:dyDescent="0.3">
      <c r="A910" s="4"/>
      <c r="B910" s="4"/>
      <c r="C910" s="4"/>
      <c r="D910" s="4"/>
      <c r="E910" s="4"/>
      <c r="F910" s="4"/>
      <c r="G910" s="4"/>
      <c r="H910" s="4"/>
      <c r="I910" s="4"/>
      <c r="J910" s="4"/>
      <c r="K910" s="4"/>
      <c r="L910" s="4"/>
      <c r="M910" s="4"/>
      <c r="N910" s="4"/>
      <c r="O910" s="4"/>
      <c r="P910" s="4"/>
      <c r="Q910" s="4"/>
      <c r="R910" s="4"/>
      <c r="S910" s="47"/>
      <c r="T910" s="4"/>
      <c r="U910" s="4"/>
      <c r="V910" s="47"/>
      <c r="W910" s="4"/>
      <c r="X910" s="4"/>
      <c r="Y910" s="47"/>
      <c r="Z910" s="4"/>
      <c r="AA910" s="4"/>
    </row>
    <row r="911" spans="1:27" ht="24" customHeight="1" x14ac:dyDescent="0.3">
      <c r="A911" s="4"/>
      <c r="B911" s="4"/>
      <c r="C911" s="4"/>
      <c r="D911" s="4"/>
      <c r="E911" s="4"/>
      <c r="F911" s="4"/>
      <c r="G911" s="4"/>
      <c r="H911" s="4"/>
      <c r="I911" s="4"/>
      <c r="J911" s="4"/>
      <c r="K911" s="4"/>
      <c r="L911" s="4"/>
      <c r="M911" s="4"/>
      <c r="N911" s="4"/>
      <c r="O911" s="4"/>
      <c r="P911" s="4"/>
      <c r="Q911" s="4"/>
      <c r="R911" s="4"/>
      <c r="S911" s="47"/>
      <c r="T911" s="4"/>
      <c r="U911" s="4"/>
      <c r="V911" s="47"/>
      <c r="W911" s="4"/>
      <c r="X911" s="4"/>
      <c r="Y911" s="47"/>
      <c r="Z911" s="4"/>
      <c r="AA911" s="4"/>
    </row>
    <row r="912" spans="1:27" ht="24" customHeight="1" x14ac:dyDescent="0.3">
      <c r="A912" s="4"/>
      <c r="B912" s="4"/>
      <c r="C912" s="4"/>
      <c r="D912" s="4"/>
      <c r="E912" s="4"/>
      <c r="F912" s="4"/>
      <c r="G912" s="4"/>
      <c r="H912" s="4"/>
      <c r="I912" s="4"/>
      <c r="J912" s="4"/>
      <c r="K912" s="4"/>
      <c r="L912" s="4"/>
      <c r="M912" s="4"/>
      <c r="N912" s="4"/>
      <c r="O912" s="4"/>
      <c r="P912" s="4"/>
      <c r="Q912" s="4"/>
      <c r="R912" s="4"/>
      <c r="S912" s="47"/>
      <c r="T912" s="4"/>
      <c r="U912" s="4"/>
      <c r="V912" s="47"/>
      <c r="W912" s="4"/>
      <c r="X912" s="4"/>
      <c r="Y912" s="47"/>
      <c r="Z912" s="4"/>
      <c r="AA912" s="4"/>
    </row>
    <row r="913" spans="1:27" ht="24" customHeight="1" x14ac:dyDescent="0.3">
      <c r="A913" s="4"/>
      <c r="B913" s="4"/>
      <c r="C913" s="4"/>
      <c r="D913" s="4"/>
      <c r="E913" s="4"/>
      <c r="F913" s="4"/>
      <c r="G913" s="4"/>
      <c r="H913" s="4"/>
      <c r="I913" s="4"/>
      <c r="J913" s="4"/>
      <c r="K913" s="4"/>
      <c r="L913" s="4"/>
      <c r="M913" s="4"/>
      <c r="N913" s="4"/>
      <c r="O913" s="4"/>
      <c r="P913" s="4"/>
      <c r="Q913" s="4"/>
      <c r="R913" s="4"/>
      <c r="S913" s="47"/>
      <c r="T913" s="4"/>
      <c r="U913" s="4"/>
      <c r="V913" s="47"/>
      <c r="W913" s="4"/>
      <c r="X913" s="4"/>
      <c r="Y913" s="47"/>
      <c r="Z913" s="4"/>
      <c r="AA913" s="4"/>
    </row>
    <row r="914" spans="1:27" ht="24" customHeight="1" x14ac:dyDescent="0.3">
      <c r="A914" s="4"/>
      <c r="B914" s="4"/>
      <c r="C914" s="4"/>
      <c r="D914" s="4"/>
      <c r="E914" s="4"/>
      <c r="F914" s="4"/>
      <c r="G914" s="4"/>
      <c r="H914" s="4"/>
      <c r="I914" s="4"/>
      <c r="J914" s="4"/>
      <c r="K914" s="4"/>
      <c r="L914" s="4"/>
      <c r="M914" s="4"/>
      <c r="N914" s="4"/>
      <c r="O914" s="4"/>
      <c r="P914" s="4"/>
      <c r="Q914" s="4"/>
      <c r="R914" s="4"/>
      <c r="S914" s="47"/>
      <c r="T914" s="4"/>
      <c r="U914" s="4"/>
      <c r="V914" s="47"/>
      <c r="W914" s="4"/>
      <c r="X914" s="4"/>
      <c r="Y914" s="47"/>
      <c r="Z914" s="4"/>
      <c r="AA914" s="4"/>
    </row>
    <row r="915" spans="1:27" ht="24" customHeight="1" x14ac:dyDescent="0.3">
      <c r="A915" s="4"/>
      <c r="B915" s="4"/>
      <c r="C915" s="4"/>
      <c r="D915" s="4"/>
      <c r="E915" s="4"/>
      <c r="F915" s="4"/>
      <c r="G915" s="4"/>
      <c r="H915" s="4"/>
      <c r="I915" s="4"/>
      <c r="J915" s="4"/>
      <c r="K915" s="4"/>
      <c r="L915" s="4"/>
      <c r="M915" s="4"/>
      <c r="N915" s="4"/>
      <c r="O915" s="4"/>
      <c r="P915" s="4"/>
      <c r="Q915" s="4"/>
      <c r="R915" s="4"/>
      <c r="S915" s="47"/>
      <c r="T915" s="4"/>
      <c r="U915" s="4"/>
      <c r="V915" s="47"/>
      <c r="W915" s="4"/>
      <c r="X915" s="4"/>
      <c r="Y915" s="47"/>
      <c r="Z915" s="4"/>
      <c r="AA915" s="4"/>
    </row>
    <row r="916" spans="1:27" ht="24" customHeight="1" x14ac:dyDescent="0.3">
      <c r="A916" s="4"/>
      <c r="B916" s="4"/>
      <c r="C916" s="4"/>
      <c r="D916" s="4"/>
      <c r="E916" s="4"/>
      <c r="F916" s="4"/>
      <c r="G916" s="4"/>
      <c r="H916" s="4"/>
      <c r="I916" s="4"/>
      <c r="J916" s="4"/>
      <c r="K916" s="4"/>
      <c r="L916" s="4"/>
      <c r="M916" s="4"/>
      <c r="N916" s="4"/>
      <c r="O916" s="4"/>
      <c r="P916" s="4"/>
      <c r="Q916" s="4"/>
      <c r="R916" s="4"/>
      <c r="S916" s="47"/>
      <c r="T916" s="4"/>
      <c r="U916" s="4"/>
      <c r="V916" s="47"/>
      <c r="W916" s="4"/>
      <c r="X916" s="4"/>
      <c r="Y916" s="47"/>
      <c r="Z916" s="4"/>
      <c r="AA916" s="4"/>
    </row>
    <row r="917" spans="1:27" ht="24" customHeight="1" x14ac:dyDescent="0.3">
      <c r="A917" s="4"/>
      <c r="B917" s="4"/>
      <c r="C917" s="4"/>
      <c r="D917" s="4"/>
      <c r="E917" s="4"/>
      <c r="F917" s="4"/>
      <c r="G917" s="4"/>
      <c r="H917" s="4"/>
      <c r="I917" s="4"/>
      <c r="J917" s="4"/>
      <c r="K917" s="4"/>
      <c r="L917" s="4"/>
      <c r="M917" s="4"/>
      <c r="N917" s="4"/>
      <c r="O917" s="4"/>
      <c r="P917" s="4"/>
      <c r="Q917" s="4"/>
      <c r="R917" s="4"/>
      <c r="S917" s="47"/>
      <c r="T917" s="4"/>
      <c r="U917" s="4"/>
      <c r="V917" s="47"/>
      <c r="W917" s="4"/>
      <c r="X917" s="4"/>
      <c r="Y917" s="47"/>
      <c r="Z917" s="4"/>
      <c r="AA917" s="4"/>
    </row>
    <row r="918" spans="1:27" ht="24" customHeight="1" x14ac:dyDescent="0.3">
      <c r="A918" s="4"/>
      <c r="B918" s="4"/>
      <c r="C918" s="4"/>
      <c r="D918" s="4"/>
      <c r="E918" s="4"/>
      <c r="F918" s="4"/>
      <c r="G918" s="4"/>
      <c r="H918" s="4"/>
      <c r="I918" s="4"/>
      <c r="J918" s="4"/>
      <c r="K918" s="4"/>
      <c r="L918" s="4"/>
      <c r="M918" s="4"/>
      <c r="N918" s="4"/>
      <c r="O918" s="4"/>
      <c r="P918" s="4"/>
      <c r="Q918" s="4"/>
      <c r="R918" s="4"/>
      <c r="S918" s="47"/>
      <c r="T918" s="4"/>
      <c r="U918" s="4"/>
      <c r="V918" s="47"/>
      <c r="W918" s="4"/>
      <c r="X918" s="4"/>
      <c r="Y918" s="47"/>
      <c r="Z918" s="4"/>
      <c r="AA918" s="4"/>
    </row>
    <row r="919" spans="1:27" ht="24" customHeight="1" x14ac:dyDescent="0.3">
      <c r="A919" s="4"/>
      <c r="B919" s="4"/>
      <c r="C919" s="4"/>
      <c r="D919" s="4"/>
      <c r="E919" s="4"/>
      <c r="F919" s="4"/>
      <c r="G919" s="4"/>
      <c r="H919" s="4"/>
      <c r="I919" s="4"/>
      <c r="J919" s="4"/>
      <c r="K919" s="4"/>
      <c r="L919" s="4"/>
      <c r="M919" s="4"/>
      <c r="N919" s="4"/>
      <c r="O919" s="4"/>
      <c r="P919" s="4"/>
      <c r="Q919" s="4"/>
      <c r="R919" s="4"/>
      <c r="S919" s="47"/>
      <c r="T919" s="4"/>
      <c r="U919" s="4"/>
      <c r="V919" s="47"/>
      <c r="W919" s="4"/>
      <c r="X919" s="4"/>
      <c r="Y919" s="47"/>
      <c r="Z919" s="4"/>
      <c r="AA919" s="4"/>
    </row>
    <row r="920" spans="1:27" ht="24" customHeight="1" x14ac:dyDescent="0.3">
      <c r="A920" s="4"/>
      <c r="B920" s="4"/>
      <c r="C920" s="4"/>
      <c r="D920" s="4"/>
      <c r="E920" s="4"/>
      <c r="F920" s="4"/>
      <c r="G920" s="4"/>
      <c r="H920" s="4"/>
      <c r="I920" s="4"/>
      <c r="J920" s="4"/>
      <c r="K920" s="4"/>
      <c r="L920" s="4"/>
      <c r="M920" s="4"/>
      <c r="N920" s="4"/>
      <c r="O920" s="4"/>
      <c r="P920" s="4"/>
      <c r="Q920" s="4"/>
      <c r="R920" s="4"/>
      <c r="S920" s="47"/>
      <c r="T920" s="4"/>
      <c r="U920" s="4"/>
      <c r="V920" s="47"/>
      <c r="W920" s="4"/>
      <c r="X920" s="4"/>
      <c r="Y920" s="47"/>
      <c r="Z920" s="4"/>
      <c r="AA920" s="4"/>
    </row>
    <row r="921" spans="1:27" ht="24" customHeight="1" x14ac:dyDescent="0.3">
      <c r="A921" s="4"/>
      <c r="B921" s="4"/>
      <c r="C921" s="4"/>
      <c r="D921" s="4"/>
      <c r="E921" s="4"/>
      <c r="F921" s="4"/>
      <c r="G921" s="4"/>
      <c r="H921" s="4"/>
      <c r="I921" s="4"/>
      <c r="J921" s="4"/>
      <c r="K921" s="4"/>
      <c r="L921" s="4"/>
      <c r="M921" s="4"/>
      <c r="N921" s="4"/>
      <c r="O921" s="4"/>
      <c r="P921" s="4"/>
      <c r="Q921" s="4"/>
      <c r="R921" s="4"/>
      <c r="S921" s="47"/>
      <c r="T921" s="4"/>
      <c r="U921" s="4"/>
      <c r="V921" s="47"/>
      <c r="W921" s="4"/>
      <c r="X921" s="4"/>
      <c r="Y921" s="47"/>
      <c r="Z921" s="4"/>
      <c r="AA921" s="4"/>
    </row>
    <row r="922" spans="1:27" ht="24" customHeight="1" x14ac:dyDescent="0.3">
      <c r="A922" s="4"/>
      <c r="B922" s="4"/>
      <c r="C922" s="4"/>
      <c r="D922" s="4"/>
      <c r="E922" s="4"/>
      <c r="F922" s="4"/>
      <c r="G922" s="4"/>
      <c r="H922" s="4"/>
      <c r="I922" s="4"/>
      <c r="J922" s="4"/>
      <c r="K922" s="4"/>
      <c r="L922" s="4"/>
      <c r="M922" s="4"/>
      <c r="N922" s="4"/>
      <c r="O922" s="4"/>
      <c r="P922" s="4"/>
      <c r="Q922" s="4"/>
      <c r="R922" s="4"/>
      <c r="S922" s="47"/>
      <c r="T922" s="4"/>
      <c r="U922" s="4"/>
      <c r="V922" s="47"/>
      <c r="W922" s="4"/>
      <c r="X922" s="4"/>
      <c r="Y922" s="47"/>
      <c r="Z922" s="4"/>
      <c r="AA922" s="4"/>
    </row>
    <row r="923" spans="1:27" ht="24" customHeight="1" x14ac:dyDescent="0.3">
      <c r="A923" s="4"/>
      <c r="B923" s="4"/>
      <c r="C923" s="4"/>
      <c r="D923" s="4"/>
      <c r="E923" s="4"/>
      <c r="F923" s="4"/>
      <c r="G923" s="4"/>
      <c r="H923" s="4"/>
      <c r="I923" s="4"/>
      <c r="J923" s="4"/>
      <c r="K923" s="4"/>
      <c r="L923" s="4"/>
      <c r="M923" s="4"/>
      <c r="N923" s="4"/>
      <c r="O923" s="4"/>
      <c r="P923" s="4"/>
      <c r="Q923" s="4"/>
      <c r="R923" s="4"/>
      <c r="S923" s="47"/>
      <c r="T923" s="4"/>
      <c r="U923" s="4"/>
      <c r="V923" s="47"/>
      <c r="W923" s="4"/>
      <c r="X923" s="4"/>
      <c r="Y923" s="47"/>
      <c r="Z923" s="4"/>
      <c r="AA923" s="4"/>
    </row>
    <row r="924" spans="1:27" ht="24" customHeight="1" x14ac:dyDescent="0.3">
      <c r="A924" s="4"/>
      <c r="B924" s="4"/>
      <c r="C924" s="4"/>
      <c r="D924" s="4"/>
      <c r="E924" s="4"/>
      <c r="F924" s="4"/>
      <c r="G924" s="4"/>
      <c r="H924" s="4"/>
      <c r="I924" s="4"/>
      <c r="J924" s="4"/>
      <c r="K924" s="4"/>
      <c r="L924" s="4"/>
      <c r="M924" s="4"/>
      <c r="N924" s="4"/>
      <c r="O924" s="4"/>
      <c r="P924" s="4"/>
      <c r="Q924" s="4"/>
      <c r="R924" s="4"/>
      <c r="S924" s="47"/>
      <c r="T924" s="4"/>
      <c r="U924" s="4"/>
      <c r="V924" s="47"/>
      <c r="W924" s="4"/>
      <c r="X924" s="4"/>
      <c r="Y924" s="47"/>
      <c r="Z924" s="4"/>
      <c r="AA924" s="4"/>
    </row>
    <row r="925" spans="1:27" ht="24" customHeight="1" x14ac:dyDescent="0.3">
      <c r="A925" s="4"/>
      <c r="B925" s="4"/>
      <c r="C925" s="4"/>
      <c r="D925" s="4"/>
      <c r="E925" s="4"/>
      <c r="F925" s="4"/>
      <c r="G925" s="4"/>
      <c r="H925" s="4"/>
      <c r="I925" s="4"/>
      <c r="J925" s="4"/>
      <c r="K925" s="4"/>
      <c r="L925" s="4"/>
      <c r="M925" s="4"/>
      <c r="N925" s="4"/>
      <c r="O925" s="4"/>
      <c r="P925" s="4"/>
      <c r="Q925" s="4"/>
      <c r="R925" s="4"/>
      <c r="S925" s="47"/>
      <c r="T925" s="4"/>
      <c r="U925" s="4"/>
      <c r="V925" s="47"/>
      <c r="W925" s="4"/>
      <c r="X925" s="4"/>
      <c r="Y925" s="47"/>
      <c r="Z925" s="4"/>
      <c r="AA925" s="4"/>
    </row>
    <row r="926" spans="1:27" ht="24" customHeight="1" x14ac:dyDescent="0.3">
      <c r="A926" s="4"/>
      <c r="B926" s="4"/>
      <c r="C926" s="4"/>
      <c r="D926" s="4"/>
      <c r="E926" s="4"/>
      <c r="F926" s="4"/>
      <c r="G926" s="4"/>
      <c r="H926" s="4"/>
      <c r="I926" s="4"/>
      <c r="J926" s="4"/>
      <c r="K926" s="4"/>
      <c r="L926" s="4"/>
      <c r="M926" s="4"/>
      <c r="N926" s="4"/>
      <c r="O926" s="4"/>
      <c r="P926" s="4"/>
      <c r="Q926" s="4"/>
      <c r="R926" s="4"/>
      <c r="S926" s="47"/>
      <c r="T926" s="4"/>
      <c r="U926" s="4"/>
      <c r="V926" s="47"/>
      <c r="W926" s="4"/>
      <c r="X926" s="4"/>
      <c r="Y926" s="47"/>
      <c r="Z926" s="4"/>
      <c r="AA926" s="4"/>
    </row>
    <row r="927" spans="1:27" ht="24" customHeight="1" x14ac:dyDescent="0.3">
      <c r="A927" s="4"/>
      <c r="B927" s="4"/>
      <c r="C927" s="4"/>
      <c r="D927" s="4"/>
      <c r="E927" s="4"/>
      <c r="F927" s="4"/>
      <c r="G927" s="4"/>
      <c r="H927" s="4"/>
      <c r="I927" s="4"/>
      <c r="J927" s="4"/>
      <c r="K927" s="4"/>
      <c r="L927" s="4"/>
      <c r="M927" s="4"/>
      <c r="N927" s="4"/>
      <c r="O927" s="4"/>
      <c r="P927" s="4"/>
      <c r="Q927" s="4"/>
      <c r="R927" s="4"/>
      <c r="S927" s="47"/>
      <c r="T927" s="4"/>
      <c r="U927" s="4"/>
      <c r="V927" s="47"/>
      <c r="W927" s="4"/>
      <c r="X927" s="4"/>
      <c r="Y927" s="47"/>
      <c r="Z927" s="4"/>
      <c r="AA927" s="4"/>
    </row>
    <row r="928" spans="1:27" ht="24" customHeight="1" x14ac:dyDescent="0.3">
      <c r="A928" s="4"/>
      <c r="B928" s="4"/>
      <c r="C928" s="4"/>
      <c r="D928" s="4"/>
      <c r="E928" s="4"/>
      <c r="F928" s="4"/>
      <c r="G928" s="4"/>
      <c r="H928" s="4"/>
      <c r="I928" s="4"/>
      <c r="J928" s="4"/>
      <c r="K928" s="4"/>
      <c r="L928" s="4"/>
      <c r="M928" s="4"/>
      <c r="N928" s="4"/>
      <c r="O928" s="4"/>
      <c r="P928" s="4"/>
      <c r="Q928" s="4"/>
      <c r="R928" s="4"/>
      <c r="S928" s="47"/>
      <c r="T928" s="4"/>
      <c r="U928" s="4"/>
      <c r="V928" s="47"/>
      <c r="W928" s="4"/>
      <c r="X928" s="4"/>
      <c r="Y928" s="47"/>
      <c r="Z928" s="4"/>
      <c r="AA928" s="4"/>
    </row>
    <row r="929" spans="1:27" ht="24" customHeight="1" x14ac:dyDescent="0.3">
      <c r="A929" s="4"/>
      <c r="B929" s="4"/>
      <c r="C929" s="4"/>
      <c r="D929" s="4"/>
      <c r="E929" s="4"/>
      <c r="F929" s="4"/>
      <c r="G929" s="4"/>
      <c r="H929" s="4"/>
      <c r="I929" s="4"/>
      <c r="J929" s="4"/>
      <c r="K929" s="4"/>
      <c r="L929" s="4"/>
      <c r="M929" s="4"/>
      <c r="N929" s="4"/>
      <c r="O929" s="4"/>
      <c r="P929" s="4"/>
      <c r="Q929" s="4"/>
      <c r="R929" s="4"/>
      <c r="S929" s="47"/>
      <c r="T929" s="4"/>
      <c r="U929" s="4"/>
      <c r="V929" s="47"/>
      <c r="W929" s="4"/>
      <c r="X929" s="4"/>
      <c r="Y929" s="47"/>
      <c r="Z929" s="4"/>
      <c r="AA929" s="4"/>
    </row>
    <row r="930" spans="1:27" ht="24" customHeight="1" x14ac:dyDescent="0.3">
      <c r="A930" s="4"/>
      <c r="B930" s="4"/>
      <c r="C930" s="4"/>
      <c r="D930" s="4"/>
      <c r="E930" s="4"/>
      <c r="F930" s="4"/>
      <c r="G930" s="4"/>
      <c r="H930" s="4"/>
      <c r="I930" s="4"/>
      <c r="J930" s="4"/>
      <c r="K930" s="4"/>
      <c r="L930" s="4"/>
      <c r="M930" s="4"/>
      <c r="N930" s="4"/>
      <c r="O930" s="4"/>
      <c r="P930" s="4"/>
      <c r="Q930" s="4"/>
      <c r="R930" s="4"/>
      <c r="S930" s="47"/>
      <c r="T930" s="4"/>
      <c r="U930" s="4"/>
      <c r="V930" s="47"/>
      <c r="W930" s="4"/>
      <c r="X930" s="4"/>
      <c r="Y930" s="47"/>
      <c r="Z930" s="4"/>
      <c r="AA930" s="4"/>
    </row>
    <row r="931" spans="1:27" ht="24" customHeight="1" x14ac:dyDescent="0.3">
      <c r="A931" s="4"/>
      <c r="B931" s="4"/>
      <c r="C931" s="4"/>
      <c r="D931" s="4"/>
      <c r="E931" s="4"/>
      <c r="F931" s="4"/>
      <c r="G931" s="4"/>
      <c r="H931" s="4"/>
      <c r="I931" s="4"/>
      <c r="J931" s="4"/>
      <c r="K931" s="4"/>
      <c r="L931" s="4"/>
      <c r="M931" s="4"/>
      <c r="N931" s="4"/>
      <c r="O931" s="4"/>
      <c r="P931" s="4"/>
      <c r="Q931" s="4"/>
      <c r="R931" s="4"/>
      <c r="S931" s="47"/>
      <c r="T931" s="4"/>
      <c r="U931" s="4"/>
      <c r="V931" s="47"/>
      <c r="W931" s="4"/>
      <c r="X931" s="4"/>
      <c r="Y931" s="47"/>
      <c r="Z931" s="4"/>
      <c r="AA931" s="4"/>
    </row>
    <row r="932" spans="1:27" ht="24" customHeight="1" x14ac:dyDescent="0.3">
      <c r="A932" s="4"/>
      <c r="B932" s="4"/>
      <c r="C932" s="4"/>
      <c r="D932" s="4"/>
      <c r="E932" s="4"/>
      <c r="F932" s="4"/>
      <c r="G932" s="4"/>
      <c r="H932" s="4"/>
      <c r="I932" s="4"/>
      <c r="J932" s="4"/>
      <c r="K932" s="4"/>
      <c r="L932" s="4"/>
      <c r="M932" s="4"/>
      <c r="N932" s="4"/>
      <c r="O932" s="4"/>
      <c r="P932" s="4"/>
      <c r="Q932" s="4"/>
      <c r="R932" s="4"/>
      <c r="S932" s="47"/>
      <c r="T932" s="4"/>
      <c r="U932" s="4"/>
      <c r="V932" s="47"/>
      <c r="W932" s="4"/>
      <c r="X932" s="4"/>
      <c r="Y932" s="47"/>
      <c r="Z932" s="4"/>
      <c r="AA932" s="4"/>
    </row>
    <row r="933" spans="1:27" ht="24" customHeight="1" x14ac:dyDescent="0.3">
      <c r="A933" s="4"/>
      <c r="B933" s="4"/>
      <c r="C933" s="4"/>
      <c r="D933" s="4"/>
      <c r="E933" s="4"/>
      <c r="F933" s="4"/>
      <c r="G933" s="4"/>
      <c r="H933" s="4"/>
      <c r="I933" s="4"/>
      <c r="J933" s="4"/>
      <c r="K933" s="4"/>
      <c r="L933" s="4"/>
      <c r="M933" s="4"/>
      <c r="N933" s="4"/>
      <c r="O933" s="4"/>
      <c r="P933" s="4"/>
      <c r="Q933" s="4"/>
      <c r="R933" s="4"/>
      <c r="S933" s="47"/>
      <c r="T933" s="4"/>
      <c r="U933" s="4"/>
      <c r="V933" s="47"/>
      <c r="W933" s="4"/>
      <c r="X933" s="4"/>
      <c r="Y933" s="47"/>
      <c r="Z933" s="4"/>
      <c r="AA933" s="4"/>
    </row>
    <row r="934" spans="1:27" ht="24" customHeight="1" x14ac:dyDescent="0.3">
      <c r="A934" s="4"/>
      <c r="B934" s="4"/>
      <c r="C934" s="4"/>
      <c r="D934" s="4"/>
      <c r="E934" s="4"/>
      <c r="F934" s="4"/>
      <c r="G934" s="4"/>
      <c r="H934" s="4"/>
      <c r="I934" s="4"/>
      <c r="J934" s="4"/>
      <c r="K934" s="4"/>
      <c r="L934" s="4"/>
      <c r="M934" s="4"/>
      <c r="N934" s="4"/>
      <c r="O934" s="4"/>
      <c r="P934" s="4"/>
      <c r="Q934" s="4"/>
      <c r="R934" s="4"/>
      <c r="S934" s="47"/>
      <c r="T934" s="4"/>
      <c r="U934" s="4"/>
      <c r="V934" s="47"/>
      <c r="W934" s="4"/>
      <c r="X934" s="4"/>
      <c r="Y934" s="47"/>
      <c r="Z934" s="4"/>
      <c r="AA934" s="4"/>
    </row>
    <row r="935" spans="1:27" ht="24" customHeight="1" x14ac:dyDescent="0.3">
      <c r="A935" s="4"/>
      <c r="B935" s="4"/>
      <c r="C935" s="4"/>
      <c r="D935" s="4"/>
      <c r="E935" s="4"/>
      <c r="F935" s="4"/>
      <c r="G935" s="4"/>
      <c r="H935" s="4"/>
      <c r="I935" s="4"/>
      <c r="J935" s="4"/>
      <c r="K935" s="4"/>
      <c r="L935" s="4"/>
      <c r="M935" s="4"/>
      <c r="N935" s="4"/>
      <c r="O935" s="4"/>
      <c r="P935" s="4"/>
      <c r="Q935" s="4"/>
      <c r="R935" s="4"/>
      <c r="S935" s="47"/>
      <c r="T935" s="4"/>
      <c r="U935" s="4"/>
      <c r="V935" s="47"/>
      <c r="W935" s="4"/>
      <c r="X935" s="4"/>
      <c r="Y935" s="47"/>
      <c r="Z935" s="4"/>
      <c r="AA935" s="4"/>
    </row>
    <row r="936" spans="1:27" ht="24" customHeight="1" x14ac:dyDescent="0.3">
      <c r="A936" s="4"/>
      <c r="B936" s="4"/>
      <c r="C936" s="4"/>
      <c r="D936" s="4"/>
      <c r="E936" s="4"/>
      <c r="F936" s="4"/>
      <c r="G936" s="4"/>
      <c r="H936" s="4"/>
      <c r="I936" s="4"/>
      <c r="J936" s="4"/>
      <c r="K936" s="4"/>
      <c r="L936" s="4"/>
      <c r="M936" s="4"/>
      <c r="N936" s="4"/>
      <c r="O936" s="4"/>
      <c r="P936" s="4"/>
      <c r="Q936" s="4"/>
      <c r="R936" s="4"/>
      <c r="S936" s="47"/>
      <c r="T936" s="4"/>
      <c r="U936" s="4"/>
      <c r="V936" s="47"/>
      <c r="W936" s="4"/>
      <c r="X936" s="4"/>
      <c r="Y936" s="47"/>
      <c r="Z936" s="4"/>
      <c r="AA936" s="4"/>
    </row>
    <row r="937" spans="1:27" ht="24" customHeight="1" x14ac:dyDescent="0.3">
      <c r="A937" s="4"/>
      <c r="B937" s="4"/>
      <c r="C937" s="4"/>
      <c r="D937" s="4"/>
      <c r="E937" s="4"/>
      <c r="F937" s="4"/>
      <c r="G937" s="4"/>
      <c r="H937" s="4"/>
      <c r="I937" s="4"/>
      <c r="J937" s="4"/>
      <c r="K937" s="4"/>
      <c r="L937" s="4"/>
      <c r="M937" s="4"/>
      <c r="N937" s="4"/>
      <c r="O937" s="4"/>
      <c r="P937" s="4"/>
      <c r="Q937" s="4"/>
      <c r="R937" s="4"/>
      <c r="S937" s="47"/>
      <c r="T937" s="4"/>
      <c r="U937" s="4"/>
      <c r="V937" s="47"/>
      <c r="W937" s="4"/>
      <c r="X937" s="4"/>
      <c r="Y937" s="47"/>
      <c r="Z937" s="4"/>
      <c r="AA937" s="4"/>
    </row>
    <row r="938" spans="1:27" ht="24" customHeight="1" x14ac:dyDescent="0.3">
      <c r="A938" s="4"/>
      <c r="B938" s="4"/>
      <c r="C938" s="4"/>
      <c r="D938" s="4"/>
      <c r="E938" s="4"/>
      <c r="F938" s="4"/>
      <c r="G938" s="4"/>
      <c r="H938" s="4"/>
      <c r="I938" s="4"/>
      <c r="J938" s="4"/>
      <c r="K938" s="4"/>
      <c r="L938" s="4"/>
      <c r="M938" s="4"/>
      <c r="N938" s="4"/>
      <c r="O938" s="4"/>
      <c r="P938" s="4"/>
      <c r="Q938" s="4"/>
      <c r="R938" s="4"/>
      <c r="S938" s="47"/>
      <c r="T938" s="4"/>
      <c r="U938" s="4"/>
      <c r="V938" s="47"/>
      <c r="W938" s="4"/>
      <c r="X938" s="4"/>
      <c r="Y938" s="47"/>
      <c r="Z938" s="4"/>
      <c r="AA938" s="4"/>
    </row>
    <row r="939" spans="1:27" ht="24" customHeight="1" x14ac:dyDescent="0.3">
      <c r="A939" s="4"/>
      <c r="B939" s="4"/>
      <c r="C939" s="4"/>
      <c r="D939" s="4"/>
      <c r="E939" s="4"/>
      <c r="F939" s="4"/>
      <c r="G939" s="4"/>
      <c r="H939" s="4"/>
      <c r="I939" s="4"/>
      <c r="J939" s="4"/>
      <c r="K939" s="4"/>
      <c r="L939" s="4"/>
      <c r="M939" s="4"/>
      <c r="N939" s="4"/>
      <c r="O939" s="4"/>
      <c r="P939" s="4"/>
      <c r="Q939" s="4"/>
      <c r="R939" s="4"/>
      <c r="S939" s="47"/>
      <c r="T939" s="4"/>
      <c r="U939" s="4"/>
      <c r="V939" s="47"/>
      <c r="W939" s="4"/>
      <c r="X939" s="4"/>
      <c r="Y939" s="47"/>
      <c r="Z939" s="4"/>
      <c r="AA939" s="4"/>
    </row>
    <row r="940" spans="1:27" ht="24" customHeight="1" x14ac:dyDescent="0.3">
      <c r="A940" s="4"/>
      <c r="B940" s="4"/>
      <c r="C940" s="4"/>
      <c r="D940" s="4"/>
      <c r="E940" s="4"/>
      <c r="F940" s="4"/>
      <c r="G940" s="4"/>
      <c r="H940" s="4"/>
      <c r="I940" s="4"/>
      <c r="J940" s="4"/>
      <c r="K940" s="4"/>
      <c r="L940" s="4"/>
      <c r="M940" s="4"/>
      <c r="N940" s="4"/>
      <c r="O940" s="4"/>
      <c r="P940" s="4"/>
      <c r="Q940" s="4"/>
      <c r="R940" s="4"/>
      <c r="S940" s="47"/>
      <c r="T940" s="4"/>
      <c r="U940" s="4"/>
      <c r="V940" s="47"/>
      <c r="W940" s="4"/>
      <c r="X940" s="4"/>
      <c r="Y940" s="47"/>
      <c r="Z940" s="4"/>
      <c r="AA940" s="4"/>
    </row>
    <row r="941" spans="1:27" ht="24" customHeight="1" x14ac:dyDescent="0.3">
      <c r="A941" s="4"/>
      <c r="B941" s="4"/>
      <c r="C941" s="4"/>
      <c r="D941" s="4"/>
      <c r="E941" s="4"/>
      <c r="F941" s="4"/>
      <c r="G941" s="4"/>
      <c r="H941" s="4"/>
      <c r="I941" s="4"/>
      <c r="J941" s="4"/>
      <c r="K941" s="4"/>
      <c r="L941" s="4"/>
      <c r="M941" s="4"/>
      <c r="N941" s="4"/>
      <c r="O941" s="4"/>
      <c r="P941" s="4"/>
      <c r="Q941" s="4"/>
      <c r="R941" s="4"/>
      <c r="S941" s="47"/>
      <c r="T941" s="4"/>
      <c r="U941" s="4"/>
      <c r="V941" s="47"/>
      <c r="W941" s="4"/>
      <c r="X941" s="4"/>
      <c r="Y941" s="47"/>
      <c r="Z941" s="4"/>
      <c r="AA941" s="4"/>
    </row>
    <row r="942" spans="1:27" ht="24" customHeight="1" x14ac:dyDescent="0.3">
      <c r="A942" s="4"/>
      <c r="B942" s="4"/>
      <c r="C942" s="4"/>
      <c r="D942" s="4"/>
      <c r="E942" s="4"/>
      <c r="F942" s="4"/>
      <c r="G942" s="4"/>
      <c r="H942" s="4"/>
      <c r="I942" s="4"/>
      <c r="J942" s="4"/>
      <c r="K942" s="4"/>
      <c r="L942" s="4"/>
      <c r="M942" s="4"/>
      <c r="N942" s="4"/>
      <c r="O942" s="4"/>
      <c r="P942" s="4"/>
      <c r="Q942" s="4"/>
      <c r="R942" s="4"/>
      <c r="S942" s="47"/>
      <c r="T942" s="4"/>
      <c r="U942" s="4"/>
      <c r="V942" s="47"/>
      <c r="W942" s="4"/>
      <c r="X942" s="4"/>
      <c r="Y942" s="47"/>
      <c r="Z942" s="4"/>
      <c r="AA942" s="4"/>
    </row>
    <row r="943" spans="1:27" ht="24" customHeight="1" x14ac:dyDescent="0.3">
      <c r="A943" s="4"/>
      <c r="B943" s="4"/>
      <c r="C943" s="4"/>
      <c r="D943" s="4"/>
      <c r="E943" s="4"/>
      <c r="F943" s="4"/>
      <c r="G943" s="4"/>
      <c r="H943" s="4"/>
      <c r="I943" s="4"/>
      <c r="J943" s="4"/>
      <c r="K943" s="4"/>
      <c r="L943" s="4"/>
      <c r="M943" s="4"/>
      <c r="N943" s="4"/>
      <c r="O943" s="4"/>
      <c r="P943" s="4"/>
      <c r="Q943" s="4"/>
      <c r="R943" s="4"/>
      <c r="S943" s="47"/>
      <c r="T943" s="4"/>
      <c r="U943" s="4"/>
      <c r="V943" s="47"/>
      <c r="W943" s="4"/>
      <c r="X943" s="4"/>
      <c r="Y943" s="47"/>
      <c r="Z943" s="4"/>
      <c r="AA943" s="4"/>
    </row>
    <row r="944" spans="1:27" ht="24" customHeight="1" x14ac:dyDescent="0.3">
      <c r="A944" s="4"/>
      <c r="B944" s="4"/>
      <c r="C944" s="4"/>
      <c r="D944" s="4"/>
      <c r="E944" s="4"/>
      <c r="F944" s="4"/>
      <c r="G944" s="4"/>
      <c r="H944" s="4"/>
      <c r="I944" s="4"/>
      <c r="J944" s="4"/>
      <c r="K944" s="4"/>
      <c r="L944" s="4"/>
      <c r="M944" s="4"/>
      <c r="N944" s="4"/>
      <c r="O944" s="4"/>
      <c r="P944" s="4"/>
      <c r="Q944" s="4"/>
      <c r="R944" s="4"/>
      <c r="S944" s="47"/>
      <c r="T944" s="4"/>
      <c r="U944" s="4"/>
      <c r="V944" s="47"/>
      <c r="W944" s="4"/>
      <c r="X944" s="4"/>
      <c r="Y944" s="47"/>
      <c r="Z944" s="4"/>
      <c r="AA944" s="4"/>
    </row>
    <row r="945" spans="1:27" ht="24" customHeight="1" x14ac:dyDescent="0.3">
      <c r="A945" s="4"/>
      <c r="B945" s="4"/>
      <c r="C945" s="4"/>
      <c r="D945" s="4"/>
      <c r="E945" s="4"/>
      <c r="F945" s="4"/>
      <c r="G945" s="4"/>
      <c r="H945" s="4"/>
      <c r="I945" s="4"/>
      <c r="J945" s="4"/>
      <c r="K945" s="4"/>
      <c r="L945" s="4"/>
      <c r="M945" s="4"/>
      <c r="N945" s="4"/>
      <c r="O945" s="4"/>
      <c r="P945" s="4"/>
      <c r="Q945" s="4"/>
      <c r="R945" s="4"/>
      <c r="S945" s="47"/>
      <c r="T945" s="4"/>
      <c r="U945" s="4"/>
      <c r="V945" s="47"/>
      <c r="W945" s="4"/>
      <c r="X945" s="4"/>
      <c r="Y945" s="47"/>
      <c r="Z945" s="4"/>
      <c r="AA945" s="4"/>
    </row>
    <row r="946" spans="1:27" ht="24" customHeight="1" x14ac:dyDescent="0.3">
      <c r="A946" s="4"/>
      <c r="B946" s="4"/>
      <c r="C946" s="4"/>
      <c r="D946" s="4"/>
      <c r="E946" s="4"/>
      <c r="F946" s="4"/>
      <c r="G946" s="4"/>
      <c r="H946" s="4"/>
      <c r="I946" s="4"/>
      <c r="J946" s="4"/>
      <c r="K946" s="4"/>
      <c r="L946" s="4"/>
      <c r="M946" s="4"/>
      <c r="N946" s="4"/>
      <c r="O946" s="4"/>
      <c r="P946" s="4"/>
      <c r="Q946" s="4"/>
      <c r="R946" s="4"/>
      <c r="S946" s="47"/>
      <c r="T946" s="4"/>
      <c r="U946" s="4"/>
      <c r="V946" s="47"/>
      <c r="W946" s="4"/>
      <c r="X946" s="4"/>
      <c r="Y946" s="47"/>
      <c r="Z946" s="4"/>
      <c r="AA946" s="4"/>
    </row>
    <row r="947" spans="1:27" ht="24" customHeight="1" x14ac:dyDescent="0.3">
      <c r="A947" s="4"/>
      <c r="B947" s="4"/>
      <c r="C947" s="4"/>
      <c r="D947" s="4"/>
      <c r="E947" s="4"/>
      <c r="F947" s="4"/>
      <c r="G947" s="4"/>
      <c r="H947" s="4"/>
      <c r="I947" s="4"/>
      <c r="J947" s="4"/>
      <c r="K947" s="4"/>
      <c r="L947" s="4"/>
      <c r="M947" s="4"/>
      <c r="N947" s="4"/>
      <c r="O947" s="4"/>
      <c r="P947" s="4"/>
      <c r="Q947" s="4"/>
      <c r="R947" s="4"/>
      <c r="S947" s="47"/>
      <c r="T947" s="4"/>
      <c r="U947" s="4"/>
      <c r="V947" s="47"/>
      <c r="W947" s="4"/>
      <c r="X947" s="4"/>
      <c r="Y947" s="47"/>
      <c r="Z947" s="4"/>
      <c r="AA947" s="4"/>
    </row>
    <row r="948" spans="1:27" ht="24" customHeight="1" x14ac:dyDescent="0.3">
      <c r="A948" s="4"/>
      <c r="B948" s="4"/>
      <c r="C948" s="4"/>
      <c r="D948" s="4"/>
      <c r="E948" s="4"/>
      <c r="F948" s="4"/>
      <c r="G948" s="4"/>
      <c r="H948" s="4"/>
      <c r="I948" s="4"/>
      <c r="J948" s="4"/>
      <c r="K948" s="4"/>
      <c r="L948" s="4"/>
      <c r="M948" s="4"/>
      <c r="N948" s="4"/>
      <c r="O948" s="4"/>
      <c r="P948" s="4"/>
      <c r="Q948" s="4"/>
      <c r="R948" s="4"/>
      <c r="S948" s="47"/>
      <c r="T948" s="4"/>
      <c r="U948" s="4"/>
      <c r="V948" s="47"/>
      <c r="W948" s="4"/>
      <c r="X948" s="4"/>
      <c r="Y948" s="47"/>
      <c r="Z948" s="4"/>
      <c r="AA948" s="4"/>
    </row>
    <row r="949" spans="1:27" ht="24" customHeight="1" x14ac:dyDescent="0.3">
      <c r="A949" s="4"/>
      <c r="B949" s="4"/>
      <c r="C949" s="4"/>
      <c r="D949" s="4"/>
      <c r="E949" s="4"/>
      <c r="F949" s="4"/>
      <c r="G949" s="4"/>
      <c r="H949" s="4"/>
      <c r="I949" s="4"/>
      <c r="J949" s="4"/>
      <c r="K949" s="4"/>
      <c r="L949" s="4"/>
      <c r="M949" s="4"/>
      <c r="N949" s="4"/>
      <c r="O949" s="4"/>
      <c r="P949" s="4"/>
      <c r="Q949" s="4"/>
      <c r="R949" s="4"/>
      <c r="S949" s="47"/>
      <c r="T949" s="4"/>
      <c r="U949" s="4"/>
      <c r="V949" s="47"/>
      <c r="W949" s="4"/>
      <c r="X949" s="4"/>
      <c r="Y949" s="47"/>
      <c r="Z949" s="4"/>
      <c r="AA949" s="4"/>
    </row>
    <row r="950" spans="1:27" ht="24" customHeight="1" x14ac:dyDescent="0.3">
      <c r="A950" s="4"/>
      <c r="B950" s="4"/>
      <c r="C950" s="4"/>
      <c r="D950" s="4"/>
      <c r="E950" s="4"/>
      <c r="F950" s="4"/>
      <c r="G950" s="4"/>
      <c r="H950" s="4"/>
      <c r="I950" s="4"/>
      <c r="J950" s="4"/>
      <c r="K950" s="4"/>
      <c r="L950" s="4"/>
      <c r="M950" s="4"/>
      <c r="N950" s="4"/>
      <c r="O950" s="4"/>
      <c r="P950" s="4"/>
      <c r="Q950" s="4"/>
      <c r="R950" s="4"/>
      <c r="S950" s="47"/>
      <c r="T950" s="4"/>
      <c r="U950" s="4"/>
      <c r="V950" s="47"/>
      <c r="W950" s="4"/>
      <c r="X950" s="4"/>
      <c r="Y950" s="47"/>
      <c r="Z950" s="4"/>
      <c r="AA950" s="4"/>
    </row>
    <row r="951" spans="1:27" ht="24" customHeight="1" x14ac:dyDescent="0.3">
      <c r="A951" s="4"/>
      <c r="B951" s="4"/>
      <c r="C951" s="4"/>
      <c r="D951" s="4"/>
      <c r="E951" s="4"/>
      <c r="F951" s="4"/>
      <c r="G951" s="4"/>
      <c r="H951" s="4"/>
      <c r="I951" s="4"/>
      <c r="J951" s="4"/>
      <c r="K951" s="4"/>
      <c r="L951" s="4"/>
      <c r="M951" s="4"/>
      <c r="N951" s="4"/>
      <c r="O951" s="4"/>
      <c r="P951" s="4"/>
      <c r="Q951" s="4"/>
      <c r="R951" s="4"/>
      <c r="S951" s="47"/>
      <c r="T951" s="4"/>
      <c r="U951" s="4"/>
      <c r="V951" s="47"/>
      <c r="W951" s="4"/>
      <c r="X951" s="4"/>
      <c r="Y951" s="47"/>
      <c r="Z951" s="4"/>
      <c r="AA951" s="4"/>
    </row>
    <row r="952" spans="1:27" ht="24" customHeight="1" x14ac:dyDescent="0.3">
      <c r="A952" s="4"/>
      <c r="B952" s="4"/>
      <c r="C952" s="4"/>
      <c r="D952" s="4"/>
      <c r="E952" s="4"/>
      <c r="F952" s="4"/>
      <c r="G952" s="4"/>
      <c r="H952" s="4"/>
      <c r="I952" s="4"/>
      <c r="J952" s="4"/>
      <c r="K952" s="4"/>
      <c r="L952" s="4"/>
      <c r="M952" s="4"/>
      <c r="N952" s="4"/>
      <c r="O952" s="4"/>
      <c r="P952" s="4"/>
      <c r="Q952" s="4"/>
      <c r="R952" s="4"/>
      <c r="S952" s="47"/>
      <c r="T952" s="4"/>
      <c r="U952" s="4"/>
      <c r="V952" s="47"/>
      <c r="W952" s="4"/>
      <c r="X952" s="4"/>
      <c r="Y952" s="47"/>
      <c r="Z952" s="4"/>
      <c r="AA952" s="4"/>
    </row>
    <row r="953" spans="1:27" ht="24" customHeight="1" x14ac:dyDescent="0.3">
      <c r="A953" s="4"/>
      <c r="B953" s="4"/>
      <c r="C953" s="4"/>
      <c r="D953" s="4"/>
      <c r="E953" s="4"/>
      <c r="F953" s="4"/>
      <c r="G953" s="4"/>
      <c r="H953" s="4"/>
      <c r="I953" s="4"/>
      <c r="J953" s="4"/>
      <c r="K953" s="4"/>
      <c r="L953" s="4"/>
      <c r="M953" s="4"/>
      <c r="N953" s="4"/>
      <c r="O953" s="4"/>
      <c r="P953" s="4"/>
      <c r="Q953" s="4"/>
      <c r="R953" s="4"/>
      <c r="S953" s="47"/>
      <c r="T953" s="4"/>
      <c r="U953" s="4"/>
      <c r="V953" s="47"/>
      <c r="W953" s="4"/>
      <c r="X953" s="4"/>
      <c r="Y953" s="47"/>
      <c r="Z953" s="4"/>
      <c r="AA953" s="4"/>
    </row>
    <row r="954" spans="1:27" ht="24" customHeight="1" x14ac:dyDescent="0.3">
      <c r="A954" s="4"/>
      <c r="B954" s="4"/>
      <c r="C954" s="4"/>
      <c r="D954" s="4"/>
      <c r="E954" s="4"/>
      <c r="F954" s="4"/>
      <c r="G954" s="4"/>
      <c r="H954" s="4"/>
      <c r="I954" s="4"/>
      <c r="J954" s="4"/>
      <c r="K954" s="4"/>
      <c r="L954" s="4"/>
      <c r="M954" s="4"/>
      <c r="N954" s="4"/>
      <c r="O954" s="4"/>
      <c r="P954" s="4"/>
      <c r="Q954" s="4"/>
      <c r="R954" s="4"/>
      <c r="S954" s="47"/>
      <c r="T954" s="4"/>
      <c r="U954" s="4"/>
      <c r="V954" s="47"/>
      <c r="W954" s="4"/>
      <c r="X954" s="4"/>
      <c r="Y954" s="47"/>
      <c r="Z954" s="4"/>
      <c r="AA954" s="4"/>
    </row>
    <row r="955" spans="1:27" ht="24" customHeight="1" x14ac:dyDescent="0.3">
      <c r="A955" s="4"/>
      <c r="B955" s="4"/>
      <c r="C955" s="4"/>
      <c r="D955" s="4"/>
      <c r="E955" s="4"/>
      <c r="F955" s="4"/>
      <c r="G955" s="4"/>
      <c r="H955" s="4"/>
      <c r="I955" s="4"/>
      <c r="J955" s="4"/>
      <c r="K955" s="4"/>
      <c r="L955" s="4"/>
      <c r="M955" s="4"/>
      <c r="N955" s="4"/>
      <c r="O955" s="4"/>
      <c r="P955" s="4"/>
      <c r="Q955" s="4"/>
      <c r="R955" s="4"/>
      <c r="S955" s="47"/>
      <c r="T955" s="4"/>
      <c r="U955" s="4"/>
      <c r="V955" s="47"/>
      <c r="W955" s="4"/>
      <c r="X955" s="4"/>
      <c r="Y955" s="47"/>
      <c r="Z955" s="4"/>
      <c r="AA955" s="4"/>
    </row>
    <row r="956" spans="1:27" ht="24" customHeight="1" x14ac:dyDescent="0.3">
      <c r="A956" s="4"/>
      <c r="B956" s="4"/>
      <c r="C956" s="4"/>
      <c r="D956" s="4"/>
      <c r="E956" s="4"/>
      <c r="F956" s="4"/>
      <c r="G956" s="4"/>
      <c r="H956" s="4"/>
      <c r="I956" s="4"/>
      <c r="J956" s="4"/>
      <c r="K956" s="4"/>
      <c r="L956" s="4"/>
      <c r="M956" s="4"/>
      <c r="N956" s="4"/>
      <c r="O956" s="4"/>
      <c r="P956" s="4"/>
      <c r="Q956" s="4"/>
      <c r="R956" s="4"/>
      <c r="S956" s="47"/>
      <c r="T956" s="4"/>
      <c r="U956" s="4"/>
      <c r="V956" s="47"/>
      <c r="W956" s="4"/>
      <c r="X956" s="4"/>
      <c r="Y956" s="47"/>
      <c r="Z956" s="4"/>
      <c r="AA956" s="4"/>
    </row>
    <row r="957" spans="1:27" ht="24" customHeight="1" x14ac:dyDescent="0.3">
      <c r="A957" s="4"/>
      <c r="B957" s="4"/>
      <c r="C957" s="4"/>
      <c r="D957" s="4"/>
      <c r="E957" s="4"/>
      <c r="F957" s="4"/>
      <c r="G957" s="4"/>
      <c r="H957" s="4"/>
      <c r="I957" s="4"/>
      <c r="J957" s="4"/>
      <c r="K957" s="4"/>
      <c r="L957" s="4"/>
      <c r="M957" s="4"/>
      <c r="N957" s="4"/>
      <c r="O957" s="4"/>
      <c r="P957" s="4"/>
      <c r="Q957" s="4"/>
      <c r="R957" s="4"/>
      <c r="S957" s="47"/>
      <c r="T957" s="4"/>
      <c r="U957" s="4"/>
      <c r="V957" s="47"/>
      <c r="W957" s="4"/>
      <c r="X957" s="4"/>
      <c r="Y957" s="47"/>
      <c r="Z957" s="4"/>
      <c r="AA957" s="4"/>
    </row>
    <row r="958" spans="1:27" ht="24" customHeight="1" x14ac:dyDescent="0.3">
      <c r="A958" s="4"/>
      <c r="B958" s="4"/>
      <c r="C958" s="4"/>
      <c r="D958" s="4"/>
      <c r="E958" s="4"/>
      <c r="F958" s="4"/>
      <c r="G958" s="4"/>
      <c r="H958" s="4"/>
      <c r="I958" s="4"/>
      <c r="J958" s="4"/>
      <c r="K958" s="4"/>
      <c r="L958" s="4"/>
      <c r="M958" s="4"/>
      <c r="N958" s="4"/>
      <c r="O958" s="4"/>
      <c r="P958" s="4"/>
      <c r="Q958" s="4"/>
      <c r="R958" s="4"/>
      <c r="S958" s="47"/>
      <c r="T958" s="4"/>
      <c r="U958" s="4"/>
      <c r="V958" s="47"/>
      <c r="W958" s="4"/>
      <c r="X958" s="4"/>
      <c r="Y958" s="47"/>
      <c r="Z958" s="4"/>
      <c r="AA958" s="4"/>
    </row>
    <row r="959" spans="1:27" ht="24" customHeight="1" x14ac:dyDescent="0.3">
      <c r="A959" s="4"/>
      <c r="B959" s="4"/>
      <c r="C959" s="4"/>
      <c r="D959" s="4"/>
      <c r="E959" s="4"/>
      <c r="F959" s="4"/>
      <c r="G959" s="4"/>
      <c r="H959" s="4"/>
      <c r="I959" s="4"/>
      <c r="J959" s="4"/>
      <c r="K959" s="4"/>
      <c r="L959" s="4"/>
      <c r="M959" s="4"/>
      <c r="N959" s="4"/>
      <c r="O959" s="4"/>
      <c r="P959" s="4"/>
      <c r="Q959" s="4"/>
      <c r="R959" s="4"/>
      <c r="S959" s="47"/>
      <c r="T959" s="4"/>
      <c r="U959" s="4"/>
      <c r="V959" s="47"/>
      <c r="W959" s="4"/>
      <c r="X959" s="4"/>
      <c r="Y959" s="47"/>
      <c r="Z959" s="4"/>
      <c r="AA959" s="4"/>
    </row>
    <row r="960" spans="1:27" ht="24" customHeight="1" x14ac:dyDescent="0.3">
      <c r="A960" s="4"/>
      <c r="B960" s="4"/>
      <c r="C960" s="4"/>
      <c r="D960" s="4"/>
      <c r="E960" s="4"/>
      <c r="F960" s="4"/>
      <c r="G960" s="4"/>
      <c r="H960" s="4"/>
      <c r="I960" s="4"/>
      <c r="J960" s="4"/>
      <c r="K960" s="4"/>
      <c r="L960" s="4"/>
      <c r="M960" s="4"/>
      <c r="N960" s="4"/>
      <c r="O960" s="4"/>
      <c r="P960" s="4"/>
      <c r="Q960" s="4"/>
      <c r="R960" s="4"/>
      <c r="S960" s="47"/>
      <c r="T960" s="4"/>
      <c r="U960" s="4"/>
      <c r="V960" s="47"/>
      <c r="W960" s="4"/>
      <c r="X960" s="4"/>
      <c r="Y960" s="47"/>
      <c r="Z960" s="4"/>
      <c r="AA960" s="4"/>
    </row>
    <row r="961" spans="1:27" ht="24" customHeight="1" x14ac:dyDescent="0.3">
      <c r="A961" s="4"/>
      <c r="B961" s="4"/>
      <c r="C961" s="4"/>
      <c r="D961" s="4"/>
      <c r="E961" s="4"/>
      <c r="F961" s="4"/>
      <c r="G961" s="4"/>
      <c r="H961" s="4"/>
      <c r="I961" s="4"/>
      <c r="J961" s="4"/>
      <c r="K961" s="4"/>
      <c r="L961" s="4"/>
      <c r="M961" s="4"/>
      <c r="N961" s="4"/>
      <c r="O961" s="4"/>
      <c r="P961" s="4"/>
      <c r="Q961" s="4"/>
      <c r="R961" s="4"/>
      <c r="S961" s="47"/>
      <c r="T961" s="4"/>
      <c r="U961" s="4"/>
      <c r="V961" s="47"/>
      <c r="W961" s="4"/>
      <c r="X961" s="4"/>
      <c r="Y961" s="47"/>
      <c r="Z961" s="4"/>
      <c r="AA961" s="4"/>
    </row>
    <row r="962" spans="1:27" ht="24" customHeight="1" x14ac:dyDescent="0.3">
      <c r="A962" s="4"/>
      <c r="B962" s="4"/>
      <c r="C962" s="4"/>
      <c r="D962" s="4"/>
      <c r="E962" s="4"/>
      <c r="F962" s="4"/>
      <c r="G962" s="4"/>
      <c r="H962" s="4"/>
      <c r="I962" s="4"/>
      <c r="J962" s="4"/>
      <c r="K962" s="4"/>
      <c r="L962" s="4"/>
      <c r="M962" s="4"/>
      <c r="N962" s="4"/>
      <c r="O962" s="4"/>
      <c r="P962" s="4"/>
      <c r="Q962" s="4"/>
      <c r="R962" s="4"/>
      <c r="S962" s="47"/>
      <c r="T962" s="4"/>
      <c r="U962" s="4"/>
      <c r="V962" s="47"/>
      <c r="W962" s="4"/>
      <c r="X962" s="4"/>
      <c r="Y962" s="47"/>
      <c r="Z962" s="4"/>
      <c r="AA962" s="4"/>
    </row>
    <row r="963" spans="1:27" ht="24" customHeight="1" x14ac:dyDescent="0.3">
      <c r="A963" s="4"/>
      <c r="B963" s="4"/>
      <c r="C963" s="4"/>
      <c r="D963" s="4"/>
      <c r="E963" s="4"/>
      <c r="F963" s="4"/>
      <c r="G963" s="4"/>
      <c r="H963" s="4"/>
      <c r="I963" s="4"/>
      <c r="J963" s="4"/>
      <c r="K963" s="4"/>
      <c r="L963" s="4"/>
      <c r="M963" s="4"/>
      <c r="N963" s="4"/>
      <c r="O963" s="4"/>
      <c r="P963" s="4"/>
      <c r="Q963" s="4"/>
      <c r="R963" s="4"/>
      <c r="S963" s="47"/>
      <c r="T963" s="4"/>
      <c r="U963" s="4"/>
      <c r="V963" s="47"/>
      <c r="W963" s="4"/>
      <c r="X963" s="4"/>
      <c r="Y963" s="47"/>
      <c r="Z963" s="4"/>
      <c r="AA963" s="4"/>
    </row>
    <row r="964" spans="1:27" ht="24" customHeight="1" x14ac:dyDescent="0.3">
      <c r="A964" s="4"/>
      <c r="B964" s="4"/>
      <c r="C964" s="4"/>
      <c r="D964" s="4"/>
      <c r="E964" s="4"/>
      <c r="F964" s="4"/>
      <c r="G964" s="4"/>
      <c r="H964" s="4"/>
      <c r="I964" s="4"/>
      <c r="J964" s="4"/>
      <c r="K964" s="4"/>
      <c r="L964" s="4"/>
      <c r="M964" s="4"/>
      <c r="N964" s="4"/>
      <c r="O964" s="4"/>
      <c r="P964" s="4"/>
      <c r="Q964" s="4"/>
      <c r="R964" s="4"/>
      <c r="S964" s="47"/>
      <c r="T964" s="4"/>
      <c r="U964" s="4"/>
      <c r="V964" s="47"/>
      <c r="W964" s="4"/>
      <c r="X964" s="4"/>
      <c r="Y964" s="47"/>
      <c r="Z964" s="4"/>
      <c r="AA964" s="4"/>
    </row>
    <row r="965" spans="1:27" ht="24" customHeight="1" x14ac:dyDescent="0.3">
      <c r="A965" s="4"/>
      <c r="B965" s="4"/>
      <c r="C965" s="4"/>
      <c r="D965" s="4"/>
      <c r="E965" s="4"/>
      <c r="F965" s="4"/>
      <c r="G965" s="4"/>
      <c r="H965" s="4"/>
      <c r="I965" s="4"/>
      <c r="J965" s="4"/>
      <c r="K965" s="4"/>
      <c r="L965" s="4"/>
      <c r="M965" s="4"/>
      <c r="N965" s="4"/>
      <c r="O965" s="4"/>
      <c r="P965" s="4"/>
      <c r="Q965" s="4"/>
      <c r="R965" s="4"/>
      <c r="S965" s="47"/>
      <c r="T965" s="4"/>
      <c r="U965" s="4"/>
      <c r="V965" s="47"/>
      <c r="W965" s="4"/>
      <c r="X965" s="4"/>
      <c r="Y965" s="47"/>
      <c r="Z965" s="4"/>
      <c r="AA965" s="4"/>
    </row>
    <row r="966" spans="1:27" ht="24" customHeight="1" x14ac:dyDescent="0.3">
      <c r="A966" s="4"/>
      <c r="B966" s="4"/>
      <c r="C966" s="4"/>
      <c r="D966" s="4"/>
      <c r="E966" s="4"/>
      <c r="F966" s="4"/>
      <c r="G966" s="4"/>
      <c r="H966" s="4"/>
      <c r="I966" s="4"/>
      <c r="J966" s="4"/>
      <c r="K966" s="4"/>
      <c r="L966" s="4"/>
      <c r="M966" s="4"/>
      <c r="N966" s="4"/>
      <c r="O966" s="4"/>
      <c r="P966" s="4"/>
      <c r="Q966" s="4"/>
      <c r="R966" s="4"/>
      <c r="S966" s="47"/>
      <c r="T966" s="4"/>
      <c r="U966" s="4"/>
      <c r="V966" s="47"/>
      <c r="W966" s="4"/>
      <c r="X966" s="4"/>
      <c r="Y966" s="47"/>
      <c r="Z966" s="4"/>
      <c r="AA966" s="4"/>
    </row>
    <row r="967" spans="1:27" ht="24" customHeight="1" x14ac:dyDescent="0.3">
      <c r="A967" s="4"/>
      <c r="B967" s="4"/>
      <c r="C967" s="4"/>
      <c r="D967" s="4"/>
      <c r="E967" s="4"/>
      <c r="F967" s="4"/>
      <c r="G967" s="4"/>
      <c r="H967" s="4"/>
      <c r="I967" s="4"/>
      <c r="J967" s="4"/>
      <c r="K967" s="4"/>
      <c r="L967" s="4"/>
      <c r="M967" s="4"/>
      <c r="N967" s="4"/>
      <c r="O967" s="4"/>
      <c r="P967" s="4"/>
      <c r="Q967" s="4"/>
      <c r="R967" s="4"/>
      <c r="S967" s="47"/>
      <c r="T967" s="4"/>
      <c r="U967" s="4"/>
      <c r="V967" s="47"/>
      <c r="W967" s="4"/>
      <c r="X967" s="4"/>
      <c r="Y967" s="47"/>
      <c r="Z967" s="4"/>
      <c r="AA967" s="4"/>
    </row>
    <row r="968" spans="1:27" ht="24" customHeight="1" x14ac:dyDescent="0.3">
      <c r="A968" s="4"/>
      <c r="B968" s="4"/>
      <c r="C968" s="4"/>
      <c r="D968" s="4"/>
      <c r="E968" s="4"/>
      <c r="F968" s="4"/>
      <c r="G968" s="4"/>
      <c r="H968" s="4"/>
      <c r="I968" s="4"/>
      <c r="J968" s="4"/>
      <c r="K968" s="4"/>
      <c r="L968" s="4"/>
      <c r="M968" s="4"/>
      <c r="N968" s="4"/>
      <c r="O968" s="4"/>
      <c r="P968" s="4"/>
      <c r="Q968" s="4"/>
      <c r="R968" s="4"/>
      <c r="S968" s="47"/>
      <c r="T968" s="4"/>
      <c r="U968" s="4"/>
      <c r="V968" s="47"/>
      <c r="W968" s="4"/>
      <c r="X968" s="4"/>
      <c r="Y968" s="47"/>
      <c r="Z968" s="4"/>
      <c r="AA968" s="4"/>
    </row>
    <row r="969" spans="1:27" ht="24" customHeight="1" x14ac:dyDescent="0.3">
      <c r="A969" s="4"/>
      <c r="B969" s="4"/>
      <c r="C969" s="4"/>
      <c r="D969" s="4"/>
      <c r="E969" s="4"/>
      <c r="F969" s="4"/>
      <c r="G969" s="4"/>
      <c r="H969" s="4"/>
      <c r="I969" s="4"/>
      <c r="J969" s="4"/>
      <c r="K969" s="4"/>
      <c r="L969" s="4"/>
      <c r="M969" s="4"/>
      <c r="N969" s="4"/>
      <c r="O969" s="4"/>
      <c r="P969" s="4"/>
      <c r="Q969" s="4"/>
      <c r="R969" s="4"/>
      <c r="S969" s="47"/>
      <c r="T969" s="4"/>
      <c r="U969" s="4"/>
      <c r="V969" s="47"/>
      <c r="W969" s="4"/>
      <c r="X969" s="4"/>
      <c r="Y969" s="47"/>
      <c r="Z969" s="4"/>
      <c r="AA969" s="4"/>
    </row>
    <row r="970" spans="1:27" ht="24" customHeight="1" x14ac:dyDescent="0.3">
      <c r="A970" s="4"/>
      <c r="B970" s="4"/>
      <c r="C970" s="4"/>
      <c r="D970" s="4"/>
      <c r="E970" s="4"/>
      <c r="F970" s="4"/>
      <c r="G970" s="4"/>
      <c r="H970" s="4"/>
      <c r="I970" s="4"/>
      <c r="J970" s="4"/>
      <c r="K970" s="4"/>
      <c r="L970" s="4"/>
      <c r="M970" s="4"/>
      <c r="N970" s="4"/>
      <c r="O970" s="4"/>
      <c r="P970" s="4"/>
      <c r="Q970" s="4"/>
      <c r="R970" s="4"/>
      <c r="S970" s="47"/>
      <c r="T970" s="4"/>
      <c r="U970" s="4"/>
      <c r="V970" s="47"/>
      <c r="W970" s="4"/>
      <c r="X970" s="4"/>
      <c r="Y970" s="47"/>
      <c r="Z970" s="4"/>
      <c r="AA970" s="4"/>
    </row>
    <row r="971" spans="1:27" ht="24" customHeight="1" x14ac:dyDescent="0.3">
      <c r="A971" s="4"/>
      <c r="B971" s="4"/>
      <c r="C971" s="4"/>
      <c r="D971" s="4"/>
      <c r="E971" s="4"/>
      <c r="F971" s="4"/>
      <c r="G971" s="4"/>
      <c r="H971" s="4"/>
      <c r="I971" s="4"/>
      <c r="J971" s="4"/>
      <c r="K971" s="4"/>
      <c r="L971" s="4"/>
      <c r="M971" s="4"/>
      <c r="N971" s="4"/>
      <c r="O971" s="4"/>
      <c r="P971" s="4"/>
      <c r="Q971" s="4"/>
      <c r="R971" s="4"/>
      <c r="S971" s="47"/>
      <c r="T971" s="4"/>
      <c r="U971" s="4"/>
      <c r="V971" s="47"/>
      <c r="W971" s="4"/>
      <c r="X971" s="4"/>
      <c r="Y971" s="47"/>
      <c r="Z971" s="4"/>
      <c r="AA971" s="4"/>
    </row>
    <row r="972" spans="1:27" ht="24" customHeight="1" x14ac:dyDescent="0.3">
      <c r="A972" s="4"/>
      <c r="B972" s="4"/>
      <c r="C972" s="4"/>
      <c r="D972" s="4"/>
      <c r="E972" s="4"/>
      <c r="F972" s="4"/>
      <c r="G972" s="4"/>
      <c r="H972" s="4"/>
      <c r="I972" s="4"/>
      <c r="J972" s="4"/>
      <c r="K972" s="4"/>
      <c r="L972" s="4"/>
      <c r="M972" s="4"/>
      <c r="N972" s="4"/>
      <c r="O972" s="4"/>
      <c r="P972" s="4"/>
      <c r="Q972" s="4"/>
      <c r="R972" s="4"/>
      <c r="S972" s="47"/>
      <c r="T972" s="4"/>
      <c r="U972" s="4"/>
      <c r="V972" s="47"/>
      <c r="W972" s="4"/>
      <c r="X972" s="4"/>
      <c r="Y972" s="47"/>
      <c r="Z972" s="4"/>
      <c r="AA972" s="4"/>
    </row>
    <row r="973" spans="1:27" ht="24" customHeight="1" x14ac:dyDescent="0.3">
      <c r="A973" s="4"/>
      <c r="B973" s="4"/>
      <c r="C973" s="4"/>
      <c r="D973" s="4"/>
      <c r="E973" s="4"/>
      <c r="F973" s="4"/>
      <c r="G973" s="4"/>
      <c r="H973" s="4"/>
      <c r="I973" s="4"/>
      <c r="J973" s="4"/>
      <c r="K973" s="4"/>
      <c r="L973" s="4"/>
      <c r="M973" s="4"/>
      <c r="N973" s="4"/>
      <c r="O973" s="4"/>
      <c r="P973" s="4"/>
      <c r="Q973" s="4"/>
      <c r="R973" s="4"/>
      <c r="S973" s="47"/>
      <c r="T973" s="4"/>
      <c r="U973" s="4"/>
      <c r="V973" s="47"/>
      <c r="W973" s="4"/>
      <c r="X973" s="4"/>
      <c r="Y973" s="47"/>
      <c r="Z973" s="4"/>
      <c r="AA973" s="4"/>
    </row>
    <row r="974" spans="1:27" ht="24" customHeight="1" x14ac:dyDescent="0.3">
      <c r="A974" s="4"/>
      <c r="B974" s="4"/>
      <c r="C974" s="4"/>
      <c r="D974" s="4"/>
      <c r="E974" s="4"/>
      <c r="F974" s="4"/>
      <c r="G974" s="4"/>
      <c r="H974" s="4"/>
      <c r="I974" s="4"/>
      <c r="J974" s="4"/>
      <c r="K974" s="4"/>
      <c r="L974" s="4"/>
      <c r="M974" s="4"/>
      <c r="N974" s="4"/>
      <c r="O974" s="4"/>
      <c r="P974" s="4"/>
      <c r="Q974" s="4"/>
      <c r="R974" s="4"/>
      <c r="S974" s="47"/>
      <c r="T974" s="4"/>
      <c r="U974" s="4"/>
      <c r="V974" s="47"/>
      <c r="W974" s="4"/>
      <c r="X974" s="4"/>
      <c r="Y974" s="47"/>
      <c r="Z974" s="4"/>
      <c r="AA974" s="4"/>
    </row>
    <row r="975" spans="1:27" ht="24" customHeight="1" x14ac:dyDescent="0.3">
      <c r="A975" s="4"/>
      <c r="B975" s="4"/>
      <c r="C975" s="4"/>
      <c r="D975" s="4"/>
      <c r="E975" s="4"/>
      <c r="F975" s="4"/>
      <c r="G975" s="4"/>
      <c r="H975" s="4"/>
      <c r="I975" s="4"/>
      <c r="J975" s="4"/>
      <c r="K975" s="4"/>
      <c r="L975" s="4"/>
      <c r="M975" s="4"/>
      <c r="N975" s="4"/>
      <c r="O975" s="4"/>
      <c r="P975" s="4"/>
      <c r="Q975" s="4"/>
      <c r="R975" s="4"/>
      <c r="S975" s="47"/>
      <c r="T975" s="4"/>
      <c r="U975" s="4"/>
      <c r="V975" s="47"/>
      <c r="W975" s="4"/>
      <c r="X975" s="4"/>
      <c r="Y975" s="47"/>
      <c r="Z975" s="4"/>
      <c r="AA975" s="4"/>
    </row>
    <row r="976" spans="1:27" ht="24" customHeight="1" x14ac:dyDescent="0.3">
      <c r="A976" s="4"/>
      <c r="B976" s="4"/>
      <c r="C976" s="4"/>
      <c r="D976" s="4"/>
      <c r="E976" s="4"/>
      <c r="F976" s="4"/>
      <c r="G976" s="4"/>
      <c r="H976" s="4"/>
      <c r="I976" s="4"/>
      <c r="J976" s="4"/>
      <c r="K976" s="4"/>
      <c r="L976" s="4"/>
      <c r="M976" s="4"/>
      <c r="N976" s="4"/>
      <c r="O976" s="4"/>
      <c r="P976" s="4"/>
      <c r="Q976" s="4"/>
      <c r="R976" s="4"/>
      <c r="S976" s="47"/>
      <c r="T976" s="4"/>
      <c r="U976" s="4"/>
      <c r="V976" s="47"/>
      <c r="W976" s="4"/>
      <c r="X976" s="4"/>
      <c r="Y976" s="47"/>
      <c r="Z976" s="4"/>
      <c r="AA976" s="4"/>
    </row>
    <row r="977" spans="1:27" ht="24" customHeight="1" x14ac:dyDescent="0.3">
      <c r="A977" s="4"/>
      <c r="B977" s="4"/>
      <c r="C977" s="4"/>
      <c r="D977" s="4"/>
      <c r="E977" s="4"/>
      <c r="F977" s="4"/>
      <c r="G977" s="4"/>
      <c r="H977" s="4"/>
      <c r="I977" s="4"/>
      <c r="J977" s="4"/>
      <c r="K977" s="4"/>
      <c r="L977" s="4"/>
      <c r="M977" s="4"/>
      <c r="N977" s="4"/>
      <c r="O977" s="4"/>
      <c r="P977" s="4"/>
      <c r="Q977" s="4"/>
      <c r="R977" s="4"/>
      <c r="S977" s="47"/>
      <c r="T977" s="4"/>
      <c r="U977" s="4"/>
      <c r="V977" s="47"/>
      <c r="W977" s="4"/>
      <c r="X977" s="4"/>
      <c r="Y977" s="47"/>
      <c r="Z977" s="4"/>
      <c r="AA977" s="4"/>
    </row>
    <row r="978" spans="1:27" ht="24" customHeight="1" x14ac:dyDescent="0.3">
      <c r="A978" s="4"/>
      <c r="B978" s="4"/>
      <c r="C978" s="4"/>
      <c r="D978" s="4"/>
      <c r="E978" s="4"/>
      <c r="F978" s="4"/>
      <c r="G978" s="4"/>
      <c r="H978" s="4"/>
      <c r="I978" s="4"/>
      <c r="J978" s="4"/>
      <c r="K978" s="4"/>
      <c r="L978" s="4"/>
      <c r="M978" s="4"/>
      <c r="N978" s="4"/>
      <c r="O978" s="4"/>
      <c r="P978" s="4"/>
      <c r="Q978" s="4"/>
      <c r="R978" s="4"/>
      <c r="S978" s="47"/>
      <c r="T978" s="4"/>
      <c r="U978" s="4"/>
      <c r="V978" s="47"/>
      <c r="W978" s="4"/>
      <c r="X978" s="4"/>
      <c r="Y978" s="47"/>
      <c r="Z978" s="4"/>
      <c r="AA978" s="4"/>
    </row>
    <row r="979" spans="1:27" ht="24" customHeight="1" x14ac:dyDescent="0.3">
      <c r="A979" s="4"/>
      <c r="B979" s="4"/>
      <c r="C979" s="4"/>
      <c r="D979" s="4"/>
      <c r="E979" s="4"/>
      <c r="F979" s="4"/>
      <c r="G979" s="4"/>
      <c r="H979" s="4"/>
      <c r="I979" s="4"/>
      <c r="J979" s="4"/>
      <c r="K979" s="4"/>
      <c r="L979" s="4"/>
      <c r="M979" s="4"/>
      <c r="N979" s="4"/>
      <c r="O979" s="4"/>
      <c r="P979" s="4"/>
      <c r="Q979" s="4"/>
      <c r="R979" s="4"/>
      <c r="S979" s="47"/>
      <c r="T979" s="4"/>
      <c r="U979" s="4"/>
      <c r="V979" s="47"/>
      <c r="W979" s="4"/>
      <c r="X979" s="4"/>
      <c r="Y979" s="47"/>
      <c r="Z979" s="4"/>
      <c r="AA979" s="4"/>
    </row>
    <row r="980" spans="1:27" ht="24" customHeight="1" x14ac:dyDescent="0.3">
      <c r="A980" s="4"/>
      <c r="B980" s="4"/>
      <c r="C980" s="4"/>
      <c r="D980" s="4"/>
      <c r="E980" s="4"/>
      <c r="F980" s="4"/>
      <c r="G980" s="4"/>
      <c r="H980" s="4"/>
      <c r="I980" s="4"/>
      <c r="J980" s="4"/>
      <c r="K980" s="4"/>
      <c r="L980" s="4"/>
      <c r="M980" s="4"/>
      <c r="N980" s="4"/>
      <c r="O980" s="4"/>
      <c r="P980" s="4"/>
      <c r="Q980" s="4"/>
      <c r="R980" s="4"/>
      <c r="S980" s="47"/>
      <c r="T980" s="4"/>
      <c r="U980" s="4"/>
      <c r="V980" s="47"/>
      <c r="W980" s="4"/>
      <c r="X980" s="4"/>
      <c r="Y980" s="47"/>
      <c r="Z980" s="4"/>
      <c r="AA980" s="4"/>
    </row>
    <row r="981" spans="1:27" ht="24" customHeight="1" x14ac:dyDescent="0.3">
      <c r="A981" s="4"/>
      <c r="B981" s="4"/>
      <c r="C981" s="4"/>
      <c r="D981" s="4"/>
      <c r="E981" s="4"/>
      <c r="F981" s="4"/>
      <c r="G981" s="4"/>
      <c r="H981" s="4"/>
      <c r="I981" s="4"/>
      <c r="J981" s="4"/>
      <c r="K981" s="4"/>
      <c r="L981" s="4"/>
      <c r="M981" s="4"/>
      <c r="N981" s="4"/>
      <c r="O981" s="4"/>
      <c r="P981" s="4"/>
      <c r="Q981" s="4"/>
      <c r="R981" s="4"/>
      <c r="S981" s="47"/>
      <c r="T981" s="4"/>
      <c r="U981" s="4"/>
      <c r="V981" s="47"/>
      <c r="W981" s="4"/>
      <c r="X981" s="4"/>
      <c r="Y981" s="47"/>
      <c r="Z981" s="4"/>
      <c r="AA981" s="4"/>
    </row>
    <row r="982" spans="1:27" ht="24" customHeight="1" x14ac:dyDescent="0.3">
      <c r="A982" s="4"/>
      <c r="B982" s="4"/>
      <c r="C982" s="4"/>
      <c r="D982" s="4"/>
      <c r="E982" s="4"/>
      <c r="F982" s="4"/>
      <c r="G982" s="4"/>
      <c r="H982" s="4"/>
      <c r="I982" s="4"/>
      <c r="J982" s="4"/>
      <c r="K982" s="4"/>
      <c r="L982" s="4"/>
      <c r="M982" s="4"/>
      <c r="N982" s="4"/>
      <c r="O982" s="4"/>
      <c r="P982" s="4"/>
      <c r="Q982" s="4"/>
      <c r="R982" s="4"/>
      <c r="S982" s="47"/>
      <c r="T982" s="4"/>
      <c r="U982" s="4"/>
      <c r="V982" s="47"/>
      <c r="W982" s="4"/>
      <c r="X982" s="4"/>
      <c r="Y982" s="47"/>
      <c r="Z982" s="4"/>
      <c r="AA982" s="4"/>
    </row>
    <row r="983" spans="1:27" ht="24" customHeight="1" x14ac:dyDescent="0.3">
      <c r="A983" s="4"/>
      <c r="B983" s="4"/>
      <c r="C983" s="4"/>
      <c r="D983" s="4"/>
      <c r="E983" s="4"/>
      <c r="F983" s="4"/>
      <c r="G983" s="4"/>
      <c r="H983" s="4"/>
      <c r="I983" s="4"/>
      <c r="J983" s="4"/>
      <c r="K983" s="4"/>
      <c r="L983" s="4"/>
      <c r="M983" s="4"/>
      <c r="N983" s="4"/>
      <c r="O983" s="4"/>
      <c r="P983" s="4"/>
      <c r="Q983" s="4"/>
      <c r="R983" s="4"/>
      <c r="S983" s="47"/>
      <c r="T983" s="4"/>
      <c r="U983" s="4"/>
      <c r="V983" s="47"/>
      <c r="W983" s="4"/>
      <c r="X983" s="4"/>
      <c r="Y983" s="47"/>
      <c r="Z983" s="4"/>
      <c r="AA983" s="4"/>
    </row>
    <row r="984" spans="1:27" ht="24" customHeight="1" x14ac:dyDescent="0.3">
      <c r="A984" s="4"/>
      <c r="B984" s="4"/>
      <c r="C984" s="4"/>
      <c r="D984" s="4"/>
      <c r="E984" s="4"/>
      <c r="F984" s="4"/>
      <c r="G984" s="4"/>
      <c r="H984" s="4"/>
      <c r="I984" s="4"/>
      <c r="J984" s="4"/>
      <c r="K984" s="4"/>
      <c r="L984" s="4"/>
      <c r="M984" s="4"/>
      <c r="N984" s="4"/>
      <c r="O984" s="4"/>
      <c r="P984" s="4"/>
      <c r="Q984" s="4"/>
      <c r="R984" s="4"/>
      <c r="S984" s="47"/>
      <c r="T984" s="4"/>
      <c r="U984" s="4"/>
      <c r="V984" s="47"/>
      <c r="W984" s="4"/>
      <c r="X984" s="4"/>
      <c r="Y984" s="47"/>
      <c r="Z984" s="4"/>
      <c r="AA984" s="4"/>
    </row>
    <row r="985" spans="1:27" ht="24" customHeight="1" x14ac:dyDescent="0.3">
      <c r="A985" s="4"/>
      <c r="B985" s="4"/>
      <c r="C985" s="4"/>
      <c r="D985" s="4"/>
      <c r="E985" s="4"/>
      <c r="F985" s="4"/>
      <c r="G985" s="4"/>
      <c r="H985" s="4"/>
      <c r="I985" s="4"/>
      <c r="J985" s="4"/>
      <c r="K985" s="4"/>
      <c r="L985" s="4"/>
      <c r="M985" s="4"/>
      <c r="N985" s="4"/>
      <c r="O985" s="4"/>
      <c r="P985" s="4"/>
      <c r="Q985" s="4"/>
      <c r="R985" s="4"/>
      <c r="S985" s="47"/>
      <c r="T985" s="4"/>
      <c r="U985" s="4"/>
      <c r="V985" s="47"/>
      <c r="W985" s="4"/>
      <c r="X985" s="4"/>
      <c r="Y985" s="47"/>
      <c r="Z985" s="4"/>
      <c r="AA985" s="4"/>
    </row>
    <row r="986" spans="1:27" ht="24" customHeight="1" x14ac:dyDescent="0.3">
      <c r="A986" s="4"/>
      <c r="B986" s="4"/>
      <c r="C986" s="4"/>
      <c r="D986" s="4"/>
      <c r="E986" s="4"/>
      <c r="F986" s="4"/>
      <c r="G986" s="4"/>
      <c r="H986" s="4"/>
      <c r="I986" s="4"/>
      <c r="J986" s="4"/>
      <c r="K986" s="4"/>
      <c r="L986" s="4"/>
      <c r="M986" s="4"/>
      <c r="N986" s="4"/>
      <c r="O986" s="4"/>
      <c r="P986" s="4"/>
      <c r="Q986" s="4"/>
      <c r="R986" s="4"/>
      <c r="S986" s="47"/>
      <c r="T986" s="4"/>
      <c r="U986" s="4"/>
      <c r="V986" s="47"/>
      <c r="W986" s="4"/>
      <c r="X986" s="4"/>
      <c r="Y986" s="47"/>
      <c r="Z986" s="4"/>
      <c r="AA986" s="4"/>
    </row>
    <row r="987" spans="1:27" ht="24" customHeight="1" x14ac:dyDescent="0.3">
      <c r="A987" s="4"/>
      <c r="B987" s="4"/>
      <c r="C987" s="4"/>
      <c r="D987" s="4"/>
      <c r="E987" s="4"/>
      <c r="F987" s="4"/>
      <c r="G987" s="4"/>
      <c r="H987" s="4"/>
      <c r="I987" s="4"/>
      <c r="J987" s="4"/>
      <c r="K987" s="4"/>
      <c r="L987" s="4"/>
      <c r="M987" s="4"/>
      <c r="N987" s="4"/>
      <c r="O987" s="4"/>
      <c r="P987" s="4"/>
      <c r="Q987" s="4"/>
      <c r="R987" s="4"/>
      <c r="S987" s="47"/>
      <c r="T987" s="4"/>
      <c r="U987" s="4"/>
      <c r="V987" s="47"/>
      <c r="W987" s="4"/>
      <c r="X987" s="4"/>
      <c r="Y987" s="47"/>
      <c r="Z987" s="4"/>
      <c r="AA987" s="4"/>
    </row>
    <row r="988" spans="1:27" ht="24" customHeight="1" x14ac:dyDescent="0.3">
      <c r="A988" s="4"/>
      <c r="B988" s="4"/>
      <c r="C988" s="4"/>
      <c r="D988" s="4"/>
      <c r="E988" s="4"/>
      <c r="F988" s="4"/>
      <c r="G988" s="4"/>
      <c r="H988" s="4"/>
      <c r="I988" s="4"/>
      <c r="J988" s="4"/>
      <c r="K988" s="4"/>
      <c r="L988" s="4"/>
      <c r="M988" s="4"/>
      <c r="N988" s="4"/>
      <c r="O988" s="4"/>
      <c r="P988" s="4"/>
      <c r="Q988" s="4"/>
      <c r="R988" s="4"/>
      <c r="S988" s="47"/>
      <c r="T988" s="4"/>
      <c r="U988" s="4"/>
      <c r="V988" s="47"/>
      <c r="W988" s="4"/>
      <c r="X988" s="4"/>
      <c r="Y988" s="47"/>
      <c r="Z988" s="4"/>
      <c r="AA988" s="4"/>
    </row>
  </sheetData>
  <customSheetViews>
    <customSheetView guid="{C796C481-2006-4593-96AB-3AAF2BC86DD8}" filter="1" showAutoFilter="1">
      <pageMargins left="0.7" right="0.7" top="0.75" bottom="0.75" header="0.3" footer="0.3"/>
      <autoFilter ref="A12:AA66" xr:uid="{5D42C05E-E110-4585-AD1B-50F577FDFB27}">
        <filterColumn colId="13">
          <filters>
            <filter val="Sprint3"/>
            <filter val="Sprint2"/>
          </filters>
        </filterColumn>
      </autoFilter>
    </customSheetView>
  </customSheetViews>
  <mergeCells count="81">
    <mergeCell ref="O38:Q38"/>
    <mergeCell ref="O39:Q39"/>
    <mergeCell ref="O40:Q40"/>
    <mergeCell ref="O41:Q41"/>
    <mergeCell ref="O42:Q42"/>
    <mergeCell ref="O43:Q43"/>
    <mergeCell ref="O44:Q44"/>
    <mergeCell ref="O45:Q45"/>
    <mergeCell ref="O46:Q46"/>
    <mergeCell ref="O47:Q47"/>
    <mergeCell ref="O48:Q48"/>
    <mergeCell ref="O49:Q49"/>
    <mergeCell ref="O50:Q50"/>
    <mergeCell ref="O51:Q51"/>
    <mergeCell ref="V55:W55"/>
    <mergeCell ref="Y55:Z55"/>
    <mergeCell ref="O52:Q52"/>
    <mergeCell ref="O53:Q53"/>
    <mergeCell ref="O54:Q54"/>
    <mergeCell ref="F55:I55"/>
    <mergeCell ref="J55:M55"/>
    <mergeCell ref="N55:Q55"/>
    <mergeCell ref="S55:T55"/>
    <mergeCell ref="S68:T68"/>
    <mergeCell ref="O56:Q56"/>
    <mergeCell ref="O57:Q57"/>
    <mergeCell ref="O58:Q58"/>
    <mergeCell ref="O59:Q59"/>
    <mergeCell ref="O60:Q60"/>
    <mergeCell ref="O61:Q61"/>
    <mergeCell ref="O62:Q62"/>
    <mergeCell ref="O63:Q63"/>
    <mergeCell ref="O64:Q64"/>
    <mergeCell ref="O65:Q65"/>
    <mergeCell ref="O66:Q66"/>
    <mergeCell ref="S67:W67"/>
    <mergeCell ref="B2:V6"/>
    <mergeCell ref="R10:Z10"/>
    <mergeCell ref="F11:I11"/>
    <mergeCell ref="J11:M11"/>
    <mergeCell ref="R11:T11"/>
    <mergeCell ref="U11:W11"/>
    <mergeCell ref="X11:Z11"/>
    <mergeCell ref="J13:M13"/>
    <mergeCell ref="N13:Q13"/>
    <mergeCell ref="R13:S13"/>
    <mergeCell ref="O15:Q15"/>
    <mergeCell ref="V15:W15"/>
    <mergeCell ref="Y15:Z15"/>
    <mergeCell ref="O16:Q16"/>
    <mergeCell ref="O17:Q17"/>
    <mergeCell ref="F18:I18"/>
    <mergeCell ref="J18:M18"/>
    <mergeCell ref="N18:Q18"/>
    <mergeCell ref="S18:T18"/>
    <mergeCell ref="V18:W18"/>
    <mergeCell ref="Y18:Z18"/>
    <mergeCell ref="O19:Q19"/>
    <mergeCell ref="O20:Q20"/>
    <mergeCell ref="O21:Q21"/>
    <mergeCell ref="O22:Q22"/>
    <mergeCell ref="O23:Q23"/>
    <mergeCell ref="O24:Q24"/>
    <mergeCell ref="O25:Q25"/>
    <mergeCell ref="S30:T30"/>
    <mergeCell ref="V30:W30"/>
    <mergeCell ref="Y30:Z30"/>
    <mergeCell ref="O26:Q26"/>
    <mergeCell ref="O27:Q27"/>
    <mergeCell ref="O28:Q28"/>
    <mergeCell ref="O29:Q29"/>
    <mergeCell ref="F30:I30"/>
    <mergeCell ref="J30:M30"/>
    <mergeCell ref="N30:Q30"/>
    <mergeCell ref="O31:Q31"/>
    <mergeCell ref="O32:Q32"/>
    <mergeCell ref="O33:Q33"/>
    <mergeCell ref="O34:Q34"/>
    <mergeCell ref="O35:Q35"/>
    <mergeCell ref="O36:Q36"/>
    <mergeCell ref="O37:Q37"/>
  </mergeCells>
  <dataValidations count="4">
    <dataValidation type="list" allowBlank="1" showErrorMessage="1" sqref="A14 N15:N17 A18 N19:N29 A30 N31:N54 A55 N56:N66" xr:uid="{00000000-0002-0000-0600-000000000000}">
      <formula1>"Sprint 0,Sprint1,Sprint2,Sprint3,Sprint4,Sprint5,Sprint6,Sprint7,Sprint8,Sprint9,Sprint10,Sprint11"</formula1>
    </dataValidation>
    <dataValidation type="list" allowBlank="1" showErrorMessage="1" sqref="S19:S29 V19:V29 Y19:Y29 S31:S54 V31:V54 Y31:Y54 S56:S66 V56:V66 Y56:Y66" xr:uid="{00000000-0002-0000-0600-000001000000}">
      <formula1>"1. Very Not Good,2. Not Good,3. Normal,4. Good,5. Very Good"</formula1>
    </dataValidation>
    <dataValidation type="list" allowBlank="1" showDropDown="1" sqref="D19:D29 D32:D46 D56:D66" xr:uid="{00000000-0002-0000-0600-000002000000}">
      <formula1>"モバイル9画面①,モバイル6画面②,管理画面8画面①,管理画面5画面②,管理画面6画面③"</formula1>
    </dataValidation>
    <dataValidation type="list" allowBlank="1" showErrorMessage="1" sqref="O15:O17 O19:O29 O31:O54 O56:O66" xr:uid="{00000000-0002-0000-0600-000003000000}">
      <formula1>"1 -  Easy,2 - Normal,3 - Difficult,3 - Large,4 - Very Difficult,4 - Very Large"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FF0000"/>
    <pageSetUpPr fitToPage="1"/>
  </sheetPr>
  <dimension ref="A1:T468"/>
  <sheetViews>
    <sheetView showGridLines="0" workbookViewId="0"/>
  </sheetViews>
  <sheetFormatPr defaultColWidth="14.44140625" defaultRowHeight="15" customHeight="1" x14ac:dyDescent="0.3"/>
  <cols>
    <col min="1" max="2" width="3.44140625" customWidth="1"/>
    <col min="3" max="3" width="6.33203125" customWidth="1"/>
    <col min="4" max="4" width="23.6640625" customWidth="1"/>
    <col min="5" max="6" width="26.5546875" customWidth="1"/>
    <col min="7" max="7" width="31.44140625" customWidth="1"/>
    <col min="8" max="8" width="47.88671875" customWidth="1"/>
    <col min="9" max="9" width="56.44140625" customWidth="1"/>
    <col min="10" max="14" width="13.44140625" customWidth="1"/>
    <col min="15" max="15" width="25.44140625" customWidth="1"/>
    <col min="16" max="16" width="20.5546875" customWidth="1"/>
    <col min="17" max="19" width="13.44140625" customWidth="1"/>
    <col min="20" max="20" width="28.6640625" customWidth="1"/>
  </cols>
  <sheetData>
    <row r="1" spans="1:20" ht="14.4" x14ac:dyDescent="0.3">
      <c r="A1" s="65"/>
      <c r="B1" s="66"/>
      <c r="C1" s="66"/>
      <c r="D1" s="134"/>
      <c r="E1" s="134"/>
      <c r="F1" s="269"/>
      <c r="G1" s="667"/>
      <c r="H1" s="601"/>
      <c r="I1" s="601"/>
      <c r="J1" s="90"/>
      <c r="K1" s="67"/>
      <c r="L1" s="67"/>
      <c r="M1" s="67"/>
      <c r="N1" s="67"/>
      <c r="O1" s="343"/>
      <c r="P1" s="343"/>
      <c r="Q1" s="67"/>
      <c r="R1" s="67"/>
      <c r="S1" s="67"/>
      <c r="T1" s="377"/>
    </row>
    <row r="2" spans="1:20" ht="14.4" x14ac:dyDescent="0.3">
      <c r="A2" s="65"/>
      <c r="B2" s="66"/>
      <c r="C2" s="66"/>
      <c r="D2" s="134"/>
      <c r="E2" s="134"/>
      <c r="F2" s="269"/>
      <c r="G2" s="601"/>
      <c r="H2" s="601"/>
      <c r="I2" s="601"/>
      <c r="J2" s="90"/>
      <c r="K2" s="67"/>
      <c r="L2" s="67"/>
      <c r="M2" s="67"/>
      <c r="N2" s="67"/>
      <c r="O2" s="343"/>
      <c r="P2" s="343"/>
      <c r="Q2" s="67"/>
      <c r="R2" s="67"/>
      <c r="S2" s="67"/>
      <c r="T2" s="377"/>
    </row>
    <row r="3" spans="1:20" ht="14.4" x14ac:dyDescent="0.3">
      <c r="A3" s="65"/>
      <c r="B3" s="66"/>
      <c r="C3" s="66"/>
      <c r="D3" s="134"/>
      <c r="E3" s="134"/>
      <c r="F3" s="269"/>
      <c r="G3" s="601"/>
      <c r="H3" s="601"/>
      <c r="I3" s="601"/>
      <c r="J3" s="90"/>
      <c r="K3" s="67"/>
      <c r="L3" s="67"/>
      <c r="M3" s="67"/>
      <c r="N3" s="67"/>
      <c r="O3" s="343"/>
      <c r="P3" s="343"/>
      <c r="Q3" s="67"/>
      <c r="R3" s="67"/>
      <c r="S3" s="67"/>
      <c r="T3" s="377"/>
    </row>
    <row r="4" spans="1:20" ht="12" customHeight="1" x14ac:dyDescent="0.3">
      <c r="A4" s="69"/>
      <c r="B4" s="70"/>
      <c r="C4" s="70"/>
      <c r="D4" s="135"/>
      <c r="E4" s="135"/>
      <c r="F4" s="234"/>
      <c r="G4" s="234"/>
      <c r="H4" s="234"/>
      <c r="I4" s="234"/>
      <c r="J4" s="92"/>
      <c r="K4" s="70"/>
      <c r="L4" s="70"/>
      <c r="M4" s="70"/>
      <c r="N4" s="70"/>
      <c r="O4" s="344"/>
      <c r="P4" s="344"/>
      <c r="Q4" s="70"/>
      <c r="R4" s="70"/>
      <c r="S4" s="70"/>
      <c r="T4" s="92"/>
    </row>
    <row r="5" spans="1:20" ht="16.5" customHeight="1" x14ac:dyDescent="0.3">
      <c r="A5" s="71"/>
      <c r="B5" s="39"/>
      <c r="C5" s="39"/>
      <c r="D5" s="1"/>
      <c r="E5" s="1"/>
      <c r="F5" s="235"/>
      <c r="G5" s="270"/>
      <c r="H5" s="235"/>
      <c r="I5" s="271" t="s">
        <v>169</v>
      </c>
      <c r="J5" s="455">
        <v>428</v>
      </c>
      <c r="K5" s="455">
        <v>428</v>
      </c>
      <c r="L5" s="17"/>
      <c r="M5" s="17"/>
      <c r="N5" s="17"/>
      <c r="O5" s="456"/>
      <c r="P5" s="456"/>
      <c r="Q5" s="17"/>
      <c r="R5" s="17"/>
      <c r="S5" s="17"/>
      <c r="T5" s="370"/>
    </row>
    <row r="6" spans="1:20" ht="16.5" customHeight="1" x14ac:dyDescent="0.3">
      <c r="A6" s="94"/>
      <c r="B6" s="646" t="s">
        <v>170</v>
      </c>
      <c r="C6" s="602"/>
      <c r="D6" s="602"/>
      <c r="E6" s="138" t="s">
        <v>478</v>
      </c>
      <c r="F6" s="139" t="s">
        <v>171</v>
      </c>
      <c r="G6" s="140"/>
      <c r="H6" s="1"/>
      <c r="I6" s="141" t="s">
        <v>15</v>
      </c>
      <c r="J6" s="97">
        <f t="shared" ref="J6:J9" si="0">COUNTIF(J$16:J468,I6)</f>
        <v>428</v>
      </c>
      <c r="K6" s="97">
        <f t="shared" ref="K6:K9" si="1">COUNTIF(P$16:P468,I6)</f>
        <v>428</v>
      </c>
      <c r="L6" s="17"/>
      <c r="M6" s="17"/>
      <c r="N6" s="17"/>
      <c r="O6" s="456"/>
      <c r="P6" s="456"/>
      <c r="Q6" s="17"/>
      <c r="R6" s="17"/>
      <c r="S6" s="17"/>
      <c r="T6" s="370"/>
    </row>
    <row r="7" spans="1:20" ht="16.5" customHeight="1" x14ac:dyDescent="0.3">
      <c r="A7" s="94"/>
      <c r="B7" s="646" t="s">
        <v>172</v>
      </c>
      <c r="C7" s="602"/>
      <c r="D7" s="602"/>
      <c r="E7" s="138" t="s">
        <v>479</v>
      </c>
      <c r="F7" s="139" t="s">
        <v>173</v>
      </c>
      <c r="G7" s="140">
        <v>45992</v>
      </c>
      <c r="H7" s="1"/>
      <c r="I7" s="141" t="s">
        <v>158</v>
      </c>
      <c r="J7" s="97">
        <f t="shared" si="0"/>
        <v>0</v>
      </c>
      <c r="K7" s="97">
        <f t="shared" si="1"/>
        <v>0</v>
      </c>
      <c r="L7" s="17"/>
      <c r="M7" s="17"/>
      <c r="N7" s="17"/>
      <c r="O7" s="456"/>
      <c r="P7" s="456"/>
      <c r="Q7" s="17"/>
      <c r="R7" s="17"/>
      <c r="S7" s="17"/>
      <c r="T7" s="370"/>
    </row>
    <row r="8" spans="1:20" ht="16.5" customHeight="1" x14ac:dyDescent="0.3">
      <c r="A8" s="94"/>
      <c r="B8" s="646" t="s">
        <v>174</v>
      </c>
      <c r="C8" s="602"/>
      <c r="D8" s="602"/>
      <c r="E8" s="138" t="s">
        <v>480</v>
      </c>
      <c r="F8" s="139" t="s">
        <v>175</v>
      </c>
      <c r="G8" s="142" t="s">
        <v>4</v>
      </c>
      <c r="H8" s="1"/>
      <c r="I8" s="141" t="s">
        <v>46</v>
      </c>
      <c r="J8" s="97">
        <f t="shared" si="0"/>
        <v>0</v>
      </c>
      <c r="K8" s="97">
        <f t="shared" si="1"/>
        <v>0</v>
      </c>
      <c r="L8" s="17"/>
      <c r="M8" s="17"/>
      <c r="N8" s="17"/>
      <c r="O8" s="456"/>
      <c r="P8" s="456"/>
      <c r="Q8" s="17"/>
      <c r="R8" s="17"/>
      <c r="S8" s="17"/>
      <c r="T8" s="370"/>
    </row>
    <row r="9" spans="1:20" ht="16.5" customHeight="1" x14ac:dyDescent="0.3">
      <c r="A9" s="94"/>
      <c r="B9" s="646" t="s">
        <v>176</v>
      </c>
      <c r="C9" s="602"/>
      <c r="D9" s="602"/>
      <c r="E9" s="143"/>
      <c r="F9" s="144"/>
      <c r="G9" s="142"/>
      <c r="H9" s="1"/>
      <c r="I9" s="141" t="s">
        <v>47</v>
      </c>
      <c r="J9" s="97">
        <f t="shared" si="0"/>
        <v>0</v>
      </c>
      <c r="K9" s="97">
        <f t="shared" si="1"/>
        <v>0</v>
      </c>
      <c r="L9" s="17"/>
      <c r="M9" s="17"/>
      <c r="N9" s="17"/>
      <c r="O9" s="456"/>
      <c r="P9" s="456"/>
      <c r="Q9" s="17"/>
      <c r="R9" s="17"/>
      <c r="S9" s="17"/>
      <c r="T9" s="370"/>
    </row>
    <row r="10" spans="1:20" ht="16.5" customHeight="1" x14ac:dyDescent="0.3">
      <c r="A10" s="76"/>
      <c r="B10" s="77"/>
      <c r="C10" s="77"/>
      <c r="D10" s="145"/>
      <c r="E10" s="146"/>
      <c r="F10" s="147"/>
      <c r="G10" s="146"/>
      <c r="H10" s="1"/>
      <c r="I10" s="148" t="s">
        <v>177</v>
      </c>
      <c r="J10" s="101">
        <f t="shared" ref="J10:K10" si="2">SUM(J6,J7)/J5</f>
        <v>1</v>
      </c>
      <c r="K10" s="101">
        <f t="shared" si="2"/>
        <v>1</v>
      </c>
      <c r="L10" s="39"/>
      <c r="M10" s="39"/>
      <c r="N10" s="39"/>
      <c r="O10" s="346"/>
      <c r="P10" s="456"/>
      <c r="Q10" s="39"/>
      <c r="R10" s="39"/>
      <c r="S10" s="39"/>
      <c r="T10" s="363"/>
    </row>
    <row r="11" spans="1:20" ht="16.5" customHeight="1" x14ac:dyDescent="0.3">
      <c r="A11" s="76"/>
      <c r="B11" s="102"/>
      <c r="C11" s="102"/>
      <c r="D11" s="149"/>
      <c r="E11" s="146"/>
      <c r="F11" s="147"/>
      <c r="G11" s="146"/>
      <c r="H11" s="1"/>
      <c r="I11" s="1"/>
      <c r="J11" s="87" t="s">
        <v>1</v>
      </c>
      <c r="K11" s="457" t="s">
        <v>49</v>
      </c>
      <c r="L11" s="39"/>
      <c r="M11" s="39"/>
      <c r="N11" s="39"/>
      <c r="O11" s="346"/>
      <c r="P11" s="456"/>
      <c r="Q11" s="39"/>
      <c r="R11" s="39"/>
      <c r="S11" s="39"/>
      <c r="T11" s="363"/>
    </row>
    <row r="12" spans="1:20" ht="14.4" x14ac:dyDescent="0.3">
      <c r="A12" s="71"/>
      <c r="B12" s="644" t="s">
        <v>178</v>
      </c>
      <c r="C12" s="605"/>
      <c r="D12" s="649" t="s">
        <v>179</v>
      </c>
      <c r="E12" s="649" t="s">
        <v>180</v>
      </c>
      <c r="F12" s="648" t="s">
        <v>181</v>
      </c>
      <c r="G12" s="647" t="s">
        <v>182</v>
      </c>
      <c r="H12" s="648" t="s">
        <v>183</v>
      </c>
      <c r="I12" s="648" t="s">
        <v>184</v>
      </c>
      <c r="J12" s="643" t="s">
        <v>229</v>
      </c>
      <c r="K12" s="643" t="s">
        <v>185</v>
      </c>
      <c r="L12" s="643" t="s">
        <v>3</v>
      </c>
      <c r="M12" s="643" t="s">
        <v>481</v>
      </c>
      <c r="N12" s="643" t="s">
        <v>482</v>
      </c>
      <c r="O12" s="643" t="s">
        <v>186</v>
      </c>
      <c r="P12" s="641" t="s">
        <v>204</v>
      </c>
      <c r="Q12" s="641" t="s">
        <v>188</v>
      </c>
      <c r="R12" s="641" t="s">
        <v>185</v>
      </c>
      <c r="S12" s="641" t="s">
        <v>189</v>
      </c>
      <c r="T12" s="642" t="s">
        <v>205</v>
      </c>
    </row>
    <row r="13" spans="1:20" ht="14.4" x14ac:dyDescent="0.3">
      <c r="A13" s="71"/>
      <c r="B13" s="608"/>
      <c r="C13" s="610"/>
      <c r="D13" s="635"/>
      <c r="E13" s="635"/>
      <c r="F13" s="608"/>
      <c r="G13" s="635"/>
      <c r="H13" s="608"/>
      <c r="I13" s="608"/>
      <c r="J13" s="635"/>
      <c r="K13" s="635"/>
      <c r="L13" s="635"/>
      <c r="M13" s="635"/>
      <c r="N13" s="635"/>
      <c r="O13" s="635"/>
      <c r="P13" s="635"/>
      <c r="Q13" s="635"/>
      <c r="R13" s="635"/>
      <c r="S13" s="635"/>
      <c r="T13" s="635"/>
    </row>
    <row r="14" spans="1:20" ht="21.75" customHeight="1" x14ac:dyDescent="0.3">
      <c r="A14" s="104"/>
      <c r="B14" s="105" t="s">
        <v>479</v>
      </c>
      <c r="C14" s="106"/>
      <c r="D14" s="106"/>
      <c r="E14" s="106"/>
      <c r="F14" s="107"/>
      <c r="G14" s="107"/>
      <c r="H14" s="107"/>
      <c r="I14" s="107"/>
      <c r="J14" s="108"/>
      <c r="K14" s="106"/>
      <c r="L14" s="106"/>
      <c r="M14" s="106"/>
      <c r="N14" s="106"/>
      <c r="O14" s="106"/>
      <c r="P14" s="106"/>
      <c r="Q14" s="106"/>
      <c r="R14" s="106"/>
      <c r="S14" s="106"/>
      <c r="T14" s="331"/>
    </row>
    <row r="15" spans="1:20" ht="15.75" customHeight="1" x14ac:dyDescent="0.3">
      <c r="A15" s="104"/>
      <c r="B15" s="640" t="s">
        <v>191</v>
      </c>
      <c r="C15" s="602"/>
      <c r="D15" s="602"/>
      <c r="E15" s="602"/>
      <c r="F15" s="602"/>
      <c r="G15" s="602"/>
      <c r="H15" s="602"/>
      <c r="I15" s="602"/>
      <c r="J15" s="602"/>
      <c r="K15" s="602"/>
      <c r="L15" s="602"/>
      <c r="M15" s="602"/>
      <c r="N15" s="602"/>
      <c r="O15" s="602"/>
      <c r="P15" s="602"/>
      <c r="Q15" s="602"/>
      <c r="R15" s="602"/>
      <c r="S15" s="602"/>
      <c r="T15" s="602"/>
    </row>
    <row r="16" spans="1:20" ht="15.75" customHeight="1" x14ac:dyDescent="0.3">
      <c r="A16" s="104"/>
      <c r="B16" s="104"/>
      <c r="C16" s="110" t="s">
        <v>192</v>
      </c>
      <c r="D16" s="150"/>
      <c r="E16" s="150"/>
      <c r="F16" s="122"/>
      <c r="G16" s="122"/>
      <c r="H16" s="122"/>
      <c r="I16" s="122"/>
      <c r="J16" s="113"/>
      <c r="K16" s="111"/>
      <c r="L16" s="111"/>
      <c r="M16" s="113">
        <f t="shared" ref="M16:N16" si="3">COUNTIF(M17:M468, "o")</f>
        <v>270</v>
      </c>
      <c r="N16" s="113">
        <f t="shared" si="3"/>
        <v>158</v>
      </c>
      <c r="O16" s="111"/>
      <c r="P16" s="111"/>
      <c r="Q16" s="113">
        <f>COUNTIF(Q17:Q468, "Done")</f>
        <v>85</v>
      </c>
      <c r="R16" s="111"/>
      <c r="S16" s="111"/>
      <c r="T16" s="334"/>
    </row>
    <row r="17" spans="1:20" ht="15.75" customHeight="1" x14ac:dyDescent="0.3">
      <c r="A17" s="104" t="s">
        <v>208</v>
      </c>
      <c r="B17" s="104"/>
      <c r="C17" s="130">
        <f t="shared" ref="C17:C20" ca="1" si="4">1+COUNT(INDIRECT("A1:"&amp;(ADDRESS(ROW()-1,COLUMN()))))</f>
        <v>1</v>
      </c>
      <c r="D17" s="181" t="s">
        <v>193</v>
      </c>
      <c r="E17" s="416"/>
      <c r="F17" s="154" t="s">
        <v>483</v>
      </c>
      <c r="G17" s="152" t="s">
        <v>209</v>
      </c>
      <c r="H17" s="238" t="s">
        <v>484</v>
      </c>
      <c r="I17" s="156" t="s">
        <v>485</v>
      </c>
      <c r="J17" s="75" t="s">
        <v>15</v>
      </c>
      <c r="K17" s="407">
        <v>46062</v>
      </c>
      <c r="L17" s="40" t="s">
        <v>4</v>
      </c>
      <c r="M17" s="40" t="s">
        <v>208</v>
      </c>
      <c r="N17" s="40"/>
      <c r="O17" s="349" t="s">
        <v>486</v>
      </c>
      <c r="P17" s="75" t="s">
        <v>15</v>
      </c>
      <c r="Q17" s="117"/>
      <c r="R17" s="407"/>
      <c r="S17" s="40" t="s">
        <v>487</v>
      </c>
      <c r="T17" s="83"/>
    </row>
    <row r="18" spans="1:20" ht="15.75" customHeight="1" x14ac:dyDescent="0.3">
      <c r="A18" s="104"/>
      <c r="B18" s="104"/>
      <c r="C18" s="130">
        <f t="shared" ca="1" si="4"/>
        <v>2</v>
      </c>
      <c r="D18" s="458"/>
      <c r="E18" s="416"/>
      <c r="F18" s="158" t="s">
        <v>207</v>
      </c>
      <c r="G18" s="152" t="s">
        <v>209</v>
      </c>
      <c r="H18" s="238" t="s">
        <v>488</v>
      </c>
      <c r="I18" s="156" t="s">
        <v>489</v>
      </c>
      <c r="J18" s="75" t="s">
        <v>15</v>
      </c>
      <c r="K18" s="407">
        <v>46062</v>
      </c>
      <c r="L18" s="40" t="s">
        <v>4</v>
      </c>
      <c r="M18" s="40" t="s">
        <v>208</v>
      </c>
      <c r="N18" s="40"/>
      <c r="O18" s="349" t="s">
        <v>490</v>
      </c>
      <c r="P18" s="75" t="s">
        <v>15</v>
      </c>
      <c r="Q18" s="117"/>
      <c r="R18" s="407"/>
      <c r="S18" s="40" t="s">
        <v>487</v>
      </c>
      <c r="T18" s="83"/>
    </row>
    <row r="19" spans="1:20" ht="15.75" customHeight="1" x14ac:dyDescent="0.3">
      <c r="A19" s="104"/>
      <c r="B19" s="104"/>
      <c r="C19" s="130">
        <f t="shared" ca="1" si="4"/>
        <v>3</v>
      </c>
      <c r="D19" s="458"/>
      <c r="E19" s="416"/>
      <c r="F19" s="158" t="s">
        <v>207</v>
      </c>
      <c r="G19" s="152" t="s">
        <v>209</v>
      </c>
      <c r="H19" s="238" t="s">
        <v>491</v>
      </c>
      <c r="I19" s="156" t="s">
        <v>492</v>
      </c>
      <c r="J19" s="75" t="s">
        <v>15</v>
      </c>
      <c r="K19" s="407">
        <v>46062</v>
      </c>
      <c r="L19" s="40" t="s">
        <v>4</v>
      </c>
      <c r="M19" s="40" t="s">
        <v>208</v>
      </c>
      <c r="N19" s="40"/>
      <c r="O19" s="349" t="s">
        <v>493</v>
      </c>
      <c r="P19" s="75" t="s">
        <v>15</v>
      </c>
      <c r="Q19" s="117"/>
      <c r="R19" s="407"/>
      <c r="S19" s="40" t="s">
        <v>487</v>
      </c>
      <c r="T19" s="83"/>
    </row>
    <row r="20" spans="1:20" ht="15.75" customHeight="1" x14ac:dyDescent="0.3">
      <c r="A20" s="104"/>
      <c r="B20" s="104"/>
      <c r="C20" s="130">
        <f t="shared" ca="1" si="4"/>
        <v>4</v>
      </c>
      <c r="D20" s="180" t="s">
        <v>212</v>
      </c>
      <c r="E20" s="431"/>
      <c r="F20" s="158" t="s">
        <v>207</v>
      </c>
      <c r="G20" s="154" t="s">
        <v>213</v>
      </c>
      <c r="H20" s="152" t="s">
        <v>494</v>
      </c>
      <c r="I20" s="443" t="s">
        <v>495</v>
      </c>
      <c r="J20" s="75" t="s">
        <v>15</v>
      </c>
      <c r="K20" s="407">
        <v>46089</v>
      </c>
      <c r="L20" s="40" t="s">
        <v>4</v>
      </c>
      <c r="M20" s="40" t="s">
        <v>208</v>
      </c>
      <c r="N20" s="40"/>
      <c r="O20" s="349" t="s">
        <v>496</v>
      </c>
      <c r="P20" s="75" t="s">
        <v>15</v>
      </c>
      <c r="Q20" s="117"/>
      <c r="R20" s="407"/>
      <c r="S20" s="40"/>
      <c r="T20" s="83"/>
    </row>
    <row r="21" spans="1:20" ht="15.75" customHeight="1" x14ac:dyDescent="0.3">
      <c r="A21" s="104"/>
      <c r="B21" s="640" t="s">
        <v>194</v>
      </c>
      <c r="C21" s="602"/>
      <c r="D21" s="602"/>
      <c r="E21" s="602"/>
      <c r="F21" s="602"/>
      <c r="G21" s="602"/>
      <c r="H21" s="602"/>
      <c r="I21" s="602"/>
      <c r="J21" s="602"/>
      <c r="K21" s="602"/>
      <c r="L21" s="602"/>
      <c r="M21" s="602"/>
      <c r="N21" s="602"/>
      <c r="O21" s="602"/>
      <c r="P21" s="602"/>
      <c r="Q21" s="602"/>
      <c r="R21" s="602"/>
      <c r="S21" s="602"/>
      <c r="T21" s="602"/>
    </row>
    <row r="22" spans="1:20" ht="15.75" customHeight="1" x14ac:dyDescent="0.3">
      <c r="A22" s="104"/>
      <c r="B22" s="104"/>
      <c r="C22" s="130"/>
      <c r="D22" s="659" t="s">
        <v>497</v>
      </c>
      <c r="E22" s="602"/>
      <c r="F22" s="602"/>
      <c r="G22" s="602"/>
      <c r="H22" s="602"/>
      <c r="I22" s="602"/>
      <c r="J22" s="602"/>
      <c r="K22" s="602"/>
      <c r="L22" s="602"/>
      <c r="M22" s="602"/>
      <c r="N22" s="602"/>
      <c r="O22" s="602"/>
      <c r="P22" s="602"/>
      <c r="Q22" s="602"/>
      <c r="R22" s="602"/>
      <c r="S22" s="602"/>
      <c r="T22" s="602"/>
    </row>
    <row r="23" spans="1:20" ht="15.75" customHeight="1" x14ac:dyDescent="0.3">
      <c r="A23" s="104"/>
      <c r="B23" s="104"/>
      <c r="C23" s="74">
        <f t="shared" ref="C23:C55" ca="1" si="5">1+COUNT(INDIRECT("A1:"&amp;(ADDRESS(ROW()-1,COLUMN()))))</f>
        <v>5</v>
      </c>
      <c r="D23" s="181" t="s">
        <v>498</v>
      </c>
      <c r="E23" s="416" t="s">
        <v>198</v>
      </c>
      <c r="F23" s="154"/>
      <c r="G23" s="162"/>
      <c r="H23" s="152" t="s">
        <v>499</v>
      </c>
      <c r="I23" s="156" t="s">
        <v>500</v>
      </c>
      <c r="J23" s="75" t="s">
        <v>15</v>
      </c>
      <c r="K23" s="407">
        <v>46062</v>
      </c>
      <c r="L23" s="40" t="s">
        <v>4</v>
      </c>
      <c r="M23" s="40"/>
      <c r="N23" s="40" t="s">
        <v>208</v>
      </c>
      <c r="O23" s="349" t="s">
        <v>501</v>
      </c>
      <c r="P23" s="75" t="s">
        <v>15</v>
      </c>
      <c r="Q23" s="222"/>
      <c r="R23" s="407"/>
      <c r="S23" s="40"/>
      <c r="T23" s="83"/>
    </row>
    <row r="24" spans="1:20" ht="15.75" customHeight="1" x14ac:dyDescent="0.3">
      <c r="A24" s="104"/>
      <c r="B24" s="104"/>
      <c r="C24" s="130">
        <f t="shared" ca="1" si="5"/>
        <v>6</v>
      </c>
      <c r="D24" s="181"/>
      <c r="E24" s="306" t="s">
        <v>216</v>
      </c>
      <c r="F24" s="158" t="s">
        <v>207</v>
      </c>
      <c r="G24" s="154" t="s">
        <v>502</v>
      </c>
      <c r="H24" s="154" t="s">
        <v>503</v>
      </c>
      <c r="I24" s="154" t="s">
        <v>504</v>
      </c>
      <c r="J24" s="75" t="s">
        <v>15</v>
      </c>
      <c r="K24" s="407">
        <v>46089</v>
      </c>
      <c r="L24" s="40" t="s">
        <v>4</v>
      </c>
      <c r="M24" s="40" t="s">
        <v>208</v>
      </c>
      <c r="N24" s="40"/>
      <c r="O24" s="349" t="s">
        <v>505</v>
      </c>
      <c r="P24" s="75" t="s">
        <v>15</v>
      </c>
      <c r="Q24" s="222"/>
      <c r="R24" s="407"/>
      <c r="S24" s="40" t="s">
        <v>428</v>
      </c>
      <c r="T24" s="263" t="s">
        <v>506</v>
      </c>
    </row>
    <row r="25" spans="1:20" ht="15.75" customHeight="1" x14ac:dyDescent="0.3">
      <c r="A25" s="104"/>
      <c r="B25" s="104"/>
      <c r="C25" s="130">
        <f t="shared" ca="1" si="5"/>
        <v>7</v>
      </c>
      <c r="D25" s="181"/>
      <c r="E25" s="306" t="s">
        <v>216</v>
      </c>
      <c r="F25" s="158" t="s">
        <v>207</v>
      </c>
      <c r="G25" s="154" t="s">
        <v>507</v>
      </c>
      <c r="H25" s="154" t="s">
        <v>508</v>
      </c>
      <c r="I25" s="154" t="s">
        <v>509</v>
      </c>
      <c r="J25" s="75" t="s">
        <v>15</v>
      </c>
      <c r="K25" s="407">
        <v>46089</v>
      </c>
      <c r="L25" s="40" t="s">
        <v>4</v>
      </c>
      <c r="M25" s="40" t="s">
        <v>208</v>
      </c>
      <c r="N25" s="40"/>
      <c r="O25" s="349" t="s">
        <v>510</v>
      </c>
      <c r="P25" s="75" t="s">
        <v>15</v>
      </c>
      <c r="Q25" s="222"/>
      <c r="R25" s="407"/>
      <c r="S25" s="40" t="s">
        <v>428</v>
      </c>
      <c r="T25" s="263" t="s">
        <v>511</v>
      </c>
    </row>
    <row r="26" spans="1:20" ht="15.75" customHeight="1" x14ac:dyDescent="0.3">
      <c r="A26" s="104"/>
      <c r="B26" s="104"/>
      <c r="C26" s="130">
        <f t="shared" ca="1" si="5"/>
        <v>8</v>
      </c>
      <c r="D26" s="181"/>
      <c r="E26" s="306" t="s">
        <v>216</v>
      </c>
      <c r="F26" s="158" t="s">
        <v>207</v>
      </c>
      <c r="G26" s="154" t="s">
        <v>512</v>
      </c>
      <c r="H26" s="154" t="s">
        <v>513</v>
      </c>
      <c r="I26" s="154" t="s">
        <v>514</v>
      </c>
      <c r="J26" s="75" t="s">
        <v>15</v>
      </c>
      <c r="K26" s="407">
        <v>46089</v>
      </c>
      <c r="L26" s="40" t="s">
        <v>4</v>
      </c>
      <c r="M26" s="40" t="s">
        <v>208</v>
      </c>
      <c r="N26" s="40"/>
      <c r="O26" s="349" t="s">
        <v>515</v>
      </c>
      <c r="P26" s="75" t="s">
        <v>15</v>
      </c>
      <c r="Q26" s="222"/>
      <c r="R26" s="407"/>
      <c r="S26" s="40" t="s">
        <v>428</v>
      </c>
      <c r="T26" s="263" t="s">
        <v>516</v>
      </c>
    </row>
    <row r="27" spans="1:20" ht="15.75" customHeight="1" x14ac:dyDescent="0.3">
      <c r="A27" s="104"/>
      <c r="B27" s="104"/>
      <c r="C27" s="130">
        <f t="shared" ca="1" si="5"/>
        <v>9</v>
      </c>
      <c r="D27" s="198" t="s">
        <v>463</v>
      </c>
      <c r="E27" s="209" t="s">
        <v>200</v>
      </c>
      <c r="F27" s="170" t="s">
        <v>207</v>
      </c>
      <c r="G27" s="294"/>
      <c r="H27" s="175" t="s">
        <v>517</v>
      </c>
      <c r="I27" s="231" t="s">
        <v>474</v>
      </c>
      <c r="J27" s="75" t="s">
        <v>15</v>
      </c>
      <c r="K27" s="407">
        <v>46062</v>
      </c>
      <c r="L27" s="40" t="s">
        <v>4</v>
      </c>
      <c r="M27" s="40" t="s">
        <v>208</v>
      </c>
      <c r="N27" s="40"/>
      <c r="O27" s="349" t="s">
        <v>518</v>
      </c>
      <c r="P27" s="75" t="s">
        <v>15</v>
      </c>
      <c r="Q27" s="222"/>
      <c r="R27" s="407"/>
      <c r="S27" s="40" t="s">
        <v>487</v>
      </c>
      <c r="T27" s="83"/>
    </row>
    <row r="28" spans="1:20" ht="15.75" customHeight="1" x14ac:dyDescent="0.3">
      <c r="A28" s="104"/>
      <c r="B28" s="104"/>
      <c r="C28" s="130">
        <f t="shared" ca="1" si="5"/>
        <v>10</v>
      </c>
      <c r="D28" s="181" t="s">
        <v>464</v>
      </c>
      <c r="E28" s="306" t="s">
        <v>200</v>
      </c>
      <c r="F28" s="158" t="s">
        <v>207</v>
      </c>
      <c r="G28" s="163"/>
      <c r="H28" s="152" t="s">
        <v>219</v>
      </c>
      <c r="I28" s="156" t="s">
        <v>519</v>
      </c>
      <c r="J28" s="75" t="s">
        <v>15</v>
      </c>
      <c r="K28" s="407">
        <v>46062</v>
      </c>
      <c r="L28" s="40" t="s">
        <v>4</v>
      </c>
      <c r="M28" s="40" t="s">
        <v>208</v>
      </c>
      <c r="N28" s="40"/>
      <c r="O28" s="349" t="s">
        <v>520</v>
      </c>
      <c r="P28" s="75" t="s">
        <v>15</v>
      </c>
      <c r="Q28" s="117"/>
      <c r="R28" s="407"/>
      <c r="S28" s="40" t="s">
        <v>487</v>
      </c>
      <c r="T28" s="83"/>
    </row>
    <row r="29" spans="1:20" ht="15.75" customHeight="1" x14ac:dyDescent="0.3">
      <c r="A29" s="104"/>
      <c r="B29" s="104"/>
      <c r="C29" s="130">
        <f t="shared" ca="1" si="5"/>
        <v>11</v>
      </c>
      <c r="D29" s="181" t="s">
        <v>521</v>
      </c>
      <c r="E29" s="450" t="s">
        <v>200</v>
      </c>
      <c r="F29" s="158" t="s">
        <v>207</v>
      </c>
      <c r="G29" s="152" t="s">
        <v>522</v>
      </c>
      <c r="H29" s="153" t="s">
        <v>207</v>
      </c>
      <c r="I29" s="164" t="s">
        <v>523</v>
      </c>
      <c r="J29" s="75" t="s">
        <v>15</v>
      </c>
      <c r="K29" s="407">
        <v>46062</v>
      </c>
      <c r="L29" s="40" t="s">
        <v>4</v>
      </c>
      <c r="M29" s="40" t="s">
        <v>208</v>
      </c>
      <c r="N29" s="40"/>
      <c r="O29" s="349" t="s">
        <v>524</v>
      </c>
      <c r="P29" s="75" t="s">
        <v>15</v>
      </c>
      <c r="Q29" s="117"/>
      <c r="R29" s="407"/>
      <c r="S29" s="40" t="s">
        <v>487</v>
      </c>
      <c r="T29" s="83"/>
    </row>
    <row r="30" spans="1:20" ht="15.75" customHeight="1" x14ac:dyDescent="0.3">
      <c r="A30" s="104"/>
      <c r="B30" s="104"/>
      <c r="C30" s="130">
        <f t="shared" ca="1" si="5"/>
        <v>12</v>
      </c>
      <c r="D30" s="449"/>
      <c r="E30" s="450" t="s">
        <v>200</v>
      </c>
      <c r="F30" s="158" t="s">
        <v>207</v>
      </c>
      <c r="G30" s="152" t="s">
        <v>525</v>
      </c>
      <c r="H30" s="152" t="s">
        <v>230</v>
      </c>
      <c r="I30" s="164" t="s">
        <v>526</v>
      </c>
      <c r="J30" s="75" t="s">
        <v>15</v>
      </c>
      <c r="K30" s="407">
        <v>46062</v>
      </c>
      <c r="L30" s="40" t="s">
        <v>4</v>
      </c>
      <c r="M30" s="40" t="s">
        <v>208</v>
      </c>
      <c r="N30" s="40"/>
      <c r="O30" s="349" t="s">
        <v>527</v>
      </c>
      <c r="P30" s="75" t="s">
        <v>15</v>
      </c>
      <c r="Q30" s="117"/>
      <c r="R30" s="407"/>
      <c r="S30" s="40" t="s">
        <v>487</v>
      </c>
      <c r="T30" s="83"/>
    </row>
    <row r="31" spans="1:20" ht="15.75" customHeight="1" x14ac:dyDescent="0.3">
      <c r="A31" s="104"/>
      <c r="B31" s="104"/>
      <c r="C31" s="130">
        <f t="shared" ca="1" si="5"/>
        <v>13</v>
      </c>
      <c r="D31" s="181" t="s">
        <v>528</v>
      </c>
      <c r="E31" s="306" t="s">
        <v>200</v>
      </c>
      <c r="F31" s="152" t="s">
        <v>226</v>
      </c>
      <c r="G31" s="163"/>
      <c r="H31" s="152" t="s">
        <v>219</v>
      </c>
      <c r="I31" s="156" t="s">
        <v>529</v>
      </c>
      <c r="J31" s="75" t="s">
        <v>15</v>
      </c>
      <c r="K31" s="407">
        <v>46062</v>
      </c>
      <c r="L31" s="40" t="s">
        <v>4</v>
      </c>
      <c r="M31" s="40" t="s">
        <v>208</v>
      </c>
      <c r="N31" s="40"/>
      <c r="O31" s="349" t="s">
        <v>530</v>
      </c>
      <c r="P31" s="75" t="s">
        <v>15</v>
      </c>
      <c r="Q31" s="117"/>
      <c r="R31" s="407"/>
      <c r="S31" s="40" t="s">
        <v>487</v>
      </c>
      <c r="T31" s="83"/>
    </row>
    <row r="32" spans="1:20" ht="15.75" customHeight="1" x14ac:dyDescent="0.3">
      <c r="A32" s="104"/>
      <c r="B32" s="104"/>
      <c r="C32" s="130">
        <f t="shared" ca="1" si="5"/>
        <v>14</v>
      </c>
      <c r="D32" s="181" t="s">
        <v>531</v>
      </c>
      <c r="E32" s="306" t="s">
        <v>200</v>
      </c>
      <c r="F32" s="152" t="s">
        <v>226</v>
      </c>
      <c r="G32" s="152" t="s">
        <v>532</v>
      </c>
      <c r="H32" s="152" t="s">
        <v>219</v>
      </c>
      <c r="I32" s="459" t="s">
        <v>533</v>
      </c>
      <c r="J32" s="75" t="s">
        <v>15</v>
      </c>
      <c r="K32" s="407">
        <v>46062</v>
      </c>
      <c r="L32" s="40" t="s">
        <v>4</v>
      </c>
      <c r="M32" s="40" t="s">
        <v>208</v>
      </c>
      <c r="N32" s="40"/>
      <c r="O32" s="349" t="s">
        <v>534</v>
      </c>
      <c r="P32" s="75" t="s">
        <v>15</v>
      </c>
      <c r="Q32" s="117"/>
      <c r="R32" s="407"/>
      <c r="S32" s="40" t="s">
        <v>487</v>
      </c>
      <c r="T32" s="83"/>
    </row>
    <row r="33" spans="1:20" ht="15.75" customHeight="1" x14ac:dyDescent="0.3">
      <c r="A33" s="104"/>
      <c r="B33" s="104"/>
      <c r="C33" s="130">
        <f t="shared" ca="1" si="5"/>
        <v>15</v>
      </c>
      <c r="D33" s="181" t="s">
        <v>535</v>
      </c>
      <c r="E33" s="306" t="s">
        <v>200</v>
      </c>
      <c r="F33" s="158" t="s">
        <v>207</v>
      </c>
      <c r="G33" s="163"/>
      <c r="H33" s="153" t="s">
        <v>207</v>
      </c>
      <c r="I33" s="459" t="s">
        <v>536</v>
      </c>
      <c r="J33" s="75" t="s">
        <v>15</v>
      </c>
      <c r="K33" s="407">
        <v>46062</v>
      </c>
      <c r="L33" s="40" t="s">
        <v>4</v>
      </c>
      <c r="M33" s="40"/>
      <c r="N33" s="40" t="s">
        <v>208</v>
      </c>
      <c r="O33" s="349" t="s">
        <v>537</v>
      </c>
      <c r="P33" s="75" t="s">
        <v>15</v>
      </c>
      <c r="Q33" s="117"/>
      <c r="R33" s="407"/>
      <c r="S33" s="40" t="s">
        <v>487</v>
      </c>
      <c r="T33" s="129"/>
    </row>
    <row r="34" spans="1:20" ht="15.75" customHeight="1" x14ac:dyDescent="0.3">
      <c r="A34" s="104"/>
      <c r="B34" s="104"/>
      <c r="C34" s="130">
        <f t="shared" ca="1" si="5"/>
        <v>16</v>
      </c>
      <c r="D34" s="181" t="s">
        <v>538</v>
      </c>
      <c r="E34" s="450" t="s">
        <v>200</v>
      </c>
      <c r="F34" s="158" t="s">
        <v>207</v>
      </c>
      <c r="G34" s="175" t="s">
        <v>539</v>
      </c>
      <c r="H34" s="152" t="s">
        <v>219</v>
      </c>
      <c r="I34" s="156" t="s">
        <v>540</v>
      </c>
      <c r="J34" s="75" t="s">
        <v>15</v>
      </c>
      <c r="K34" s="407">
        <v>46062</v>
      </c>
      <c r="L34" s="40" t="s">
        <v>4</v>
      </c>
      <c r="M34" s="40"/>
      <c r="N34" s="40" t="s">
        <v>208</v>
      </c>
      <c r="O34" s="349" t="s">
        <v>541</v>
      </c>
      <c r="P34" s="75" t="s">
        <v>15</v>
      </c>
      <c r="Q34" s="117"/>
      <c r="R34" s="407"/>
      <c r="S34" s="40" t="s">
        <v>487</v>
      </c>
      <c r="T34" s="83"/>
    </row>
    <row r="35" spans="1:20" ht="15.75" customHeight="1" x14ac:dyDescent="0.3">
      <c r="A35" s="104"/>
      <c r="B35" s="104"/>
      <c r="C35" s="130">
        <f t="shared" ca="1" si="5"/>
        <v>17</v>
      </c>
      <c r="D35" s="460"/>
      <c r="E35" s="306"/>
      <c r="F35" s="170"/>
      <c r="G35" s="175" t="s">
        <v>542</v>
      </c>
      <c r="H35" s="152" t="s">
        <v>219</v>
      </c>
      <c r="I35" s="372" t="s">
        <v>543</v>
      </c>
      <c r="J35" s="75" t="s">
        <v>15</v>
      </c>
      <c r="K35" s="407">
        <v>46062</v>
      </c>
      <c r="L35" s="40" t="s">
        <v>4</v>
      </c>
      <c r="M35" s="40"/>
      <c r="N35" s="40" t="s">
        <v>208</v>
      </c>
      <c r="O35" s="349" t="s">
        <v>544</v>
      </c>
      <c r="P35" s="75" t="s">
        <v>15</v>
      </c>
      <c r="Q35" s="117"/>
      <c r="R35" s="407"/>
      <c r="S35" s="40" t="s">
        <v>487</v>
      </c>
      <c r="T35" s="83"/>
    </row>
    <row r="36" spans="1:20" ht="15.75" customHeight="1" x14ac:dyDescent="0.3">
      <c r="A36" s="104"/>
      <c r="B36" s="104"/>
      <c r="C36" s="130">
        <f t="shared" ca="1" si="5"/>
        <v>18</v>
      </c>
      <c r="D36" s="124" t="s">
        <v>545</v>
      </c>
      <c r="E36" s="230" t="s">
        <v>546</v>
      </c>
      <c r="F36" s="171"/>
      <c r="G36" s="171"/>
      <c r="H36" s="174" t="s">
        <v>547</v>
      </c>
      <c r="I36" s="417" t="s">
        <v>548</v>
      </c>
      <c r="J36" s="75" t="s">
        <v>15</v>
      </c>
      <c r="K36" s="407">
        <v>46081</v>
      </c>
      <c r="L36" s="40" t="s">
        <v>4</v>
      </c>
      <c r="M36" s="40" t="s">
        <v>208</v>
      </c>
      <c r="N36" s="40"/>
      <c r="O36" s="349" t="s">
        <v>549</v>
      </c>
      <c r="P36" s="75" t="s">
        <v>15</v>
      </c>
      <c r="Q36" s="117"/>
      <c r="R36" s="407"/>
      <c r="S36" s="40" t="s">
        <v>487</v>
      </c>
      <c r="T36" s="83"/>
    </row>
    <row r="37" spans="1:20" ht="15.75" customHeight="1" x14ac:dyDescent="0.3">
      <c r="A37" s="104"/>
      <c r="B37" s="104"/>
      <c r="C37" s="130">
        <f t="shared" ca="1" si="5"/>
        <v>19</v>
      </c>
      <c r="D37" s="401"/>
      <c r="E37" s="306" t="s">
        <v>200</v>
      </c>
      <c r="F37" s="153" t="s">
        <v>207</v>
      </c>
      <c r="G37" s="163"/>
      <c r="H37" s="153" t="s">
        <v>207</v>
      </c>
      <c r="I37" s="461" t="s">
        <v>550</v>
      </c>
      <c r="J37" s="75" t="s">
        <v>15</v>
      </c>
      <c r="K37" s="407">
        <v>46062</v>
      </c>
      <c r="L37" s="40" t="s">
        <v>4</v>
      </c>
      <c r="M37" s="40"/>
      <c r="N37" s="40" t="s">
        <v>208</v>
      </c>
      <c r="O37" s="349" t="s">
        <v>551</v>
      </c>
      <c r="P37" s="75" t="s">
        <v>15</v>
      </c>
      <c r="Q37" s="117"/>
      <c r="R37" s="407"/>
      <c r="S37" s="40" t="s">
        <v>487</v>
      </c>
      <c r="T37" s="83"/>
    </row>
    <row r="38" spans="1:20" ht="15.75" customHeight="1" x14ac:dyDescent="0.3">
      <c r="A38" s="104"/>
      <c r="B38" s="104"/>
      <c r="C38" s="130">
        <f t="shared" ca="1" si="5"/>
        <v>20</v>
      </c>
      <c r="D38" s="124" t="s">
        <v>552</v>
      </c>
      <c r="E38" s="306" t="s">
        <v>200</v>
      </c>
      <c r="F38" s="153" t="s">
        <v>207</v>
      </c>
      <c r="G38" s="163"/>
      <c r="H38" s="152" t="s">
        <v>553</v>
      </c>
      <c r="I38" s="459" t="s">
        <v>554</v>
      </c>
      <c r="J38" s="75" t="s">
        <v>15</v>
      </c>
      <c r="K38" s="407">
        <v>46062</v>
      </c>
      <c r="L38" s="40" t="s">
        <v>4</v>
      </c>
      <c r="M38" s="40"/>
      <c r="N38" s="40" t="s">
        <v>208</v>
      </c>
      <c r="O38" s="349" t="s">
        <v>555</v>
      </c>
      <c r="P38" s="75" t="s">
        <v>15</v>
      </c>
      <c r="Q38" s="117"/>
      <c r="R38" s="407"/>
      <c r="S38" s="40" t="s">
        <v>487</v>
      </c>
      <c r="T38" s="83"/>
    </row>
    <row r="39" spans="1:20" ht="15.75" customHeight="1" x14ac:dyDescent="0.3">
      <c r="A39" s="104"/>
      <c r="B39" s="104"/>
      <c r="C39" s="130">
        <f t="shared" ca="1" si="5"/>
        <v>21</v>
      </c>
      <c r="D39" s="124" t="s">
        <v>556</v>
      </c>
      <c r="E39" s="306" t="s">
        <v>198</v>
      </c>
      <c r="F39" s="153" t="s">
        <v>207</v>
      </c>
      <c r="G39" s="165"/>
      <c r="H39" s="152" t="s">
        <v>557</v>
      </c>
      <c r="I39" s="152" t="s">
        <v>558</v>
      </c>
      <c r="J39" s="75" t="s">
        <v>15</v>
      </c>
      <c r="K39" s="407">
        <v>46062</v>
      </c>
      <c r="L39" s="40" t="s">
        <v>4</v>
      </c>
      <c r="M39" s="40"/>
      <c r="N39" s="40" t="s">
        <v>208</v>
      </c>
      <c r="O39" s="356"/>
      <c r="P39" s="75" t="s">
        <v>15</v>
      </c>
      <c r="Q39" s="117"/>
      <c r="R39" s="407"/>
      <c r="S39" s="40" t="s">
        <v>487</v>
      </c>
      <c r="T39" s="83"/>
    </row>
    <row r="40" spans="1:20" ht="15.75" customHeight="1" x14ac:dyDescent="0.3">
      <c r="A40" s="104"/>
      <c r="B40" s="104"/>
      <c r="C40" s="130">
        <f t="shared" ca="1" si="5"/>
        <v>22</v>
      </c>
      <c r="D40" s="124" t="s">
        <v>559</v>
      </c>
      <c r="E40" s="306" t="s">
        <v>198</v>
      </c>
      <c r="F40" s="153" t="s">
        <v>207</v>
      </c>
      <c r="G40" s="165"/>
      <c r="H40" s="152" t="s">
        <v>557</v>
      </c>
      <c r="I40" s="152" t="s">
        <v>560</v>
      </c>
      <c r="J40" s="75" t="s">
        <v>15</v>
      </c>
      <c r="K40" s="407">
        <v>46062</v>
      </c>
      <c r="L40" s="40" t="s">
        <v>4</v>
      </c>
      <c r="M40" s="40"/>
      <c r="N40" s="40" t="s">
        <v>208</v>
      </c>
      <c r="O40" s="356"/>
      <c r="P40" s="75" t="s">
        <v>15</v>
      </c>
      <c r="Q40" s="117"/>
      <c r="R40" s="407"/>
      <c r="S40" s="40" t="s">
        <v>487</v>
      </c>
      <c r="T40" s="83"/>
    </row>
    <row r="41" spans="1:20" ht="15.75" customHeight="1" x14ac:dyDescent="0.3">
      <c r="A41" s="104"/>
      <c r="B41" s="104"/>
      <c r="C41" s="130">
        <f t="shared" ca="1" si="5"/>
        <v>23</v>
      </c>
      <c r="D41" s="124" t="s">
        <v>561</v>
      </c>
      <c r="E41" s="306" t="s">
        <v>198</v>
      </c>
      <c r="F41" s="153" t="s">
        <v>207</v>
      </c>
      <c r="G41" s="165"/>
      <c r="H41" s="152" t="s">
        <v>562</v>
      </c>
      <c r="I41" s="152" t="s">
        <v>563</v>
      </c>
      <c r="J41" s="75" t="s">
        <v>15</v>
      </c>
      <c r="K41" s="407">
        <v>46062</v>
      </c>
      <c r="L41" s="40" t="s">
        <v>4</v>
      </c>
      <c r="M41" s="40"/>
      <c r="N41" s="40" t="s">
        <v>208</v>
      </c>
      <c r="O41" s="356"/>
      <c r="P41" s="75" t="s">
        <v>15</v>
      </c>
      <c r="Q41" s="117"/>
      <c r="R41" s="407"/>
      <c r="S41" s="40" t="s">
        <v>487</v>
      </c>
      <c r="T41" s="83"/>
    </row>
    <row r="42" spans="1:20" ht="15.75" customHeight="1" x14ac:dyDescent="0.3">
      <c r="A42" s="104"/>
      <c r="B42" s="104"/>
      <c r="C42" s="130">
        <f t="shared" ca="1" si="5"/>
        <v>24</v>
      </c>
      <c r="D42" s="124" t="s">
        <v>564</v>
      </c>
      <c r="E42" s="306" t="s">
        <v>198</v>
      </c>
      <c r="F42" s="153" t="s">
        <v>207</v>
      </c>
      <c r="G42" s="165"/>
      <c r="H42" s="152" t="s">
        <v>565</v>
      </c>
      <c r="I42" s="152" t="s">
        <v>566</v>
      </c>
      <c r="J42" s="75" t="s">
        <v>15</v>
      </c>
      <c r="K42" s="407">
        <v>46062</v>
      </c>
      <c r="L42" s="40" t="s">
        <v>4</v>
      </c>
      <c r="M42" s="40"/>
      <c r="N42" s="40" t="s">
        <v>208</v>
      </c>
      <c r="O42" s="356"/>
      <c r="P42" s="75" t="s">
        <v>15</v>
      </c>
      <c r="Q42" s="117"/>
      <c r="R42" s="407"/>
      <c r="S42" s="40" t="s">
        <v>487</v>
      </c>
      <c r="T42" s="83"/>
    </row>
    <row r="43" spans="1:20" ht="15.75" customHeight="1" x14ac:dyDescent="0.3">
      <c r="A43" s="104"/>
      <c r="B43" s="104"/>
      <c r="C43" s="130">
        <f t="shared" ca="1" si="5"/>
        <v>25</v>
      </c>
      <c r="D43" s="124" t="s">
        <v>567</v>
      </c>
      <c r="E43" s="306" t="s">
        <v>198</v>
      </c>
      <c r="F43" s="153" t="s">
        <v>207</v>
      </c>
      <c r="G43" s="165"/>
      <c r="H43" s="153" t="s">
        <v>218</v>
      </c>
      <c r="I43" s="152" t="s">
        <v>568</v>
      </c>
      <c r="J43" s="75" t="s">
        <v>15</v>
      </c>
      <c r="K43" s="407">
        <v>46062</v>
      </c>
      <c r="L43" s="40" t="s">
        <v>4</v>
      </c>
      <c r="M43" s="40"/>
      <c r="N43" s="40" t="s">
        <v>208</v>
      </c>
      <c r="O43" s="356"/>
      <c r="P43" s="75" t="s">
        <v>15</v>
      </c>
      <c r="Q43" s="117"/>
      <c r="R43" s="407"/>
      <c r="S43" s="40" t="s">
        <v>487</v>
      </c>
      <c r="T43" s="83"/>
    </row>
    <row r="44" spans="1:20" ht="15.75" customHeight="1" x14ac:dyDescent="0.3">
      <c r="A44" s="104"/>
      <c r="B44" s="104"/>
      <c r="C44" s="130">
        <f t="shared" ca="1" si="5"/>
        <v>26</v>
      </c>
      <c r="D44" s="124" t="s">
        <v>569</v>
      </c>
      <c r="E44" s="306" t="s">
        <v>198</v>
      </c>
      <c r="F44" s="153" t="s">
        <v>207</v>
      </c>
      <c r="G44" s="165"/>
      <c r="H44" s="152" t="s">
        <v>570</v>
      </c>
      <c r="I44" s="361" t="s">
        <v>571</v>
      </c>
      <c r="J44" s="75" t="s">
        <v>15</v>
      </c>
      <c r="K44" s="407">
        <v>46089</v>
      </c>
      <c r="L44" s="40" t="s">
        <v>4</v>
      </c>
      <c r="M44" s="40" t="s">
        <v>208</v>
      </c>
      <c r="N44" s="40"/>
      <c r="O44" s="349" t="s">
        <v>572</v>
      </c>
      <c r="P44" s="75" t="s">
        <v>15</v>
      </c>
      <c r="Q44" s="117"/>
      <c r="R44" s="407"/>
      <c r="S44" s="40" t="s">
        <v>487</v>
      </c>
      <c r="T44" s="83"/>
    </row>
    <row r="45" spans="1:20" ht="15.75" customHeight="1" x14ac:dyDescent="0.3">
      <c r="A45" s="104"/>
      <c r="B45" s="104"/>
      <c r="C45" s="130">
        <f t="shared" ca="1" si="5"/>
        <v>27</v>
      </c>
      <c r="D45" s="124" t="s">
        <v>573</v>
      </c>
      <c r="E45" s="306" t="s">
        <v>198</v>
      </c>
      <c r="F45" s="153" t="s">
        <v>207</v>
      </c>
      <c r="G45" s="165"/>
      <c r="H45" s="152" t="s">
        <v>570</v>
      </c>
      <c r="I45" s="361" t="s">
        <v>574</v>
      </c>
      <c r="J45" s="75" t="s">
        <v>15</v>
      </c>
      <c r="K45" s="407">
        <v>46089</v>
      </c>
      <c r="L45" s="40" t="s">
        <v>4</v>
      </c>
      <c r="M45" s="40" t="s">
        <v>208</v>
      </c>
      <c r="N45" s="40"/>
      <c r="O45" s="349" t="s">
        <v>572</v>
      </c>
      <c r="P45" s="75" t="s">
        <v>15</v>
      </c>
      <c r="Q45" s="117"/>
      <c r="R45" s="407"/>
      <c r="S45" s="40" t="s">
        <v>487</v>
      </c>
      <c r="T45" s="83"/>
    </row>
    <row r="46" spans="1:20" ht="15.75" customHeight="1" x14ac:dyDescent="0.3">
      <c r="A46" s="104"/>
      <c r="B46" s="104"/>
      <c r="C46" s="130">
        <f t="shared" ca="1" si="5"/>
        <v>28</v>
      </c>
      <c r="D46" s="124" t="s">
        <v>575</v>
      </c>
      <c r="E46" s="306" t="s">
        <v>198</v>
      </c>
      <c r="F46" s="153" t="s">
        <v>207</v>
      </c>
      <c r="G46" s="165"/>
      <c r="H46" s="152" t="s">
        <v>576</v>
      </c>
      <c r="I46" s="152" t="s">
        <v>577</v>
      </c>
      <c r="J46" s="75" t="s">
        <v>15</v>
      </c>
      <c r="K46" s="407">
        <v>46062</v>
      </c>
      <c r="L46" s="40" t="s">
        <v>4</v>
      </c>
      <c r="M46" s="40"/>
      <c r="N46" s="40" t="s">
        <v>208</v>
      </c>
      <c r="O46" s="349" t="s">
        <v>572</v>
      </c>
      <c r="P46" s="75" t="s">
        <v>15</v>
      </c>
      <c r="Q46" s="222"/>
      <c r="R46" s="407"/>
      <c r="S46" s="40" t="s">
        <v>487</v>
      </c>
      <c r="T46" s="83"/>
    </row>
    <row r="47" spans="1:20" ht="15.75" customHeight="1" x14ac:dyDescent="0.3">
      <c r="A47" s="104"/>
      <c r="B47" s="104"/>
      <c r="C47" s="130">
        <f t="shared" ca="1" si="5"/>
        <v>29</v>
      </c>
      <c r="D47" s="124" t="s">
        <v>578</v>
      </c>
      <c r="E47" s="306" t="s">
        <v>198</v>
      </c>
      <c r="F47" s="153" t="s">
        <v>207</v>
      </c>
      <c r="G47" s="165"/>
      <c r="H47" s="152" t="s">
        <v>579</v>
      </c>
      <c r="I47" s="152" t="s">
        <v>580</v>
      </c>
      <c r="J47" s="75" t="s">
        <v>15</v>
      </c>
      <c r="K47" s="407">
        <v>46062</v>
      </c>
      <c r="L47" s="40" t="s">
        <v>4</v>
      </c>
      <c r="M47" s="40"/>
      <c r="N47" s="40" t="s">
        <v>208</v>
      </c>
      <c r="O47" s="349" t="s">
        <v>572</v>
      </c>
      <c r="P47" s="75" t="s">
        <v>15</v>
      </c>
      <c r="Q47" s="222"/>
      <c r="R47" s="407"/>
      <c r="S47" s="40" t="s">
        <v>487</v>
      </c>
      <c r="T47" s="83"/>
    </row>
    <row r="48" spans="1:20" ht="15.75" customHeight="1" x14ac:dyDescent="0.3">
      <c r="A48" s="104"/>
      <c r="B48" s="104"/>
      <c r="C48" s="74">
        <f t="shared" ca="1" si="5"/>
        <v>30</v>
      </c>
      <c r="D48" s="124" t="s">
        <v>581</v>
      </c>
      <c r="E48" s="306" t="s">
        <v>198</v>
      </c>
      <c r="F48" s="153" t="s">
        <v>207</v>
      </c>
      <c r="G48" s="165"/>
      <c r="H48" s="152" t="s">
        <v>582</v>
      </c>
      <c r="I48" s="152" t="s">
        <v>583</v>
      </c>
      <c r="J48" s="182" t="s">
        <v>15</v>
      </c>
      <c r="K48" s="407">
        <v>46062</v>
      </c>
      <c r="L48" s="40" t="s">
        <v>4</v>
      </c>
      <c r="M48" s="40" t="s">
        <v>208</v>
      </c>
      <c r="N48" s="40"/>
      <c r="O48" s="349" t="s">
        <v>584</v>
      </c>
      <c r="P48" s="75" t="s">
        <v>15</v>
      </c>
      <c r="Q48" s="222"/>
      <c r="R48" s="407"/>
      <c r="S48" s="40" t="s">
        <v>487</v>
      </c>
      <c r="T48" s="83"/>
    </row>
    <row r="49" spans="1:20" ht="15.75" customHeight="1" x14ac:dyDescent="0.3">
      <c r="A49" s="104"/>
      <c r="B49" s="104"/>
      <c r="C49" s="74">
        <f t="shared" ca="1" si="5"/>
        <v>31</v>
      </c>
      <c r="D49" s="124"/>
      <c r="E49" s="307"/>
      <c r="F49" s="152"/>
      <c r="G49" s="152"/>
      <c r="H49" s="152" t="s">
        <v>585</v>
      </c>
      <c r="I49" s="152" t="s">
        <v>586</v>
      </c>
      <c r="J49" s="182" t="s">
        <v>15</v>
      </c>
      <c r="K49" s="407">
        <v>46062</v>
      </c>
      <c r="L49" s="40" t="s">
        <v>4</v>
      </c>
      <c r="M49" s="40" t="s">
        <v>208</v>
      </c>
      <c r="N49" s="41"/>
      <c r="O49" s="267" t="s">
        <v>587</v>
      </c>
      <c r="P49" s="182" t="s">
        <v>15</v>
      </c>
      <c r="Q49" s="222"/>
      <c r="R49" s="407"/>
      <c r="S49" s="40" t="s">
        <v>487</v>
      </c>
      <c r="T49" s="83"/>
    </row>
    <row r="50" spans="1:20" ht="15.75" customHeight="1" x14ac:dyDescent="0.3">
      <c r="A50" s="104"/>
      <c r="B50" s="104"/>
      <c r="C50" s="74">
        <f t="shared" ca="1" si="5"/>
        <v>32</v>
      </c>
      <c r="D50" s="124" t="s">
        <v>588</v>
      </c>
      <c r="E50" s="306" t="s">
        <v>198</v>
      </c>
      <c r="F50" s="153" t="s">
        <v>207</v>
      </c>
      <c r="G50" s="165"/>
      <c r="H50" s="152" t="s">
        <v>589</v>
      </c>
      <c r="I50" s="152" t="s">
        <v>590</v>
      </c>
      <c r="J50" s="182" t="s">
        <v>15</v>
      </c>
      <c r="K50" s="407">
        <v>46062</v>
      </c>
      <c r="L50" s="40" t="s">
        <v>4</v>
      </c>
      <c r="M50" s="40" t="s">
        <v>208</v>
      </c>
      <c r="N50" s="40"/>
      <c r="O50" s="349" t="s">
        <v>591</v>
      </c>
      <c r="P50" s="75" t="s">
        <v>15</v>
      </c>
      <c r="Q50" s="222"/>
      <c r="R50" s="407"/>
      <c r="S50" s="40" t="s">
        <v>487</v>
      </c>
      <c r="T50" s="83"/>
    </row>
    <row r="51" spans="1:20" ht="15.75" customHeight="1" x14ac:dyDescent="0.3">
      <c r="A51" s="104"/>
      <c r="B51" s="104"/>
      <c r="C51" s="74">
        <f t="shared" ca="1" si="5"/>
        <v>33</v>
      </c>
      <c r="D51" s="124"/>
      <c r="E51" s="307"/>
      <c r="F51" s="152"/>
      <c r="G51" s="152"/>
      <c r="H51" s="152" t="s">
        <v>592</v>
      </c>
      <c r="I51" s="152" t="s">
        <v>593</v>
      </c>
      <c r="J51" s="182" t="s">
        <v>15</v>
      </c>
      <c r="K51" s="407">
        <v>46062</v>
      </c>
      <c r="L51" s="40" t="s">
        <v>4</v>
      </c>
      <c r="M51" s="40" t="s">
        <v>208</v>
      </c>
      <c r="N51" s="41"/>
      <c r="O51" s="267" t="s">
        <v>594</v>
      </c>
      <c r="P51" s="182" t="s">
        <v>15</v>
      </c>
      <c r="Q51" s="222"/>
      <c r="R51" s="407"/>
      <c r="S51" s="40" t="s">
        <v>487</v>
      </c>
      <c r="T51" s="83"/>
    </row>
    <row r="52" spans="1:20" ht="15.75" customHeight="1" x14ac:dyDescent="0.3">
      <c r="A52" s="104"/>
      <c r="B52" s="104"/>
      <c r="C52" s="74">
        <f t="shared" ca="1" si="5"/>
        <v>34</v>
      </c>
      <c r="D52" s="124" t="s">
        <v>595</v>
      </c>
      <c r="E52" s="333" t="s">
        <v>198</v>
      </c>
      <c r="F52" s="158" t="s">
        <v>207</v>
      </c>
      <c r="G52" s="162"/>
      <c r="H52" s="154" t="s">
        <v>596</v>
      </c>
      <c r="I52" s="154" t="s">
        <v>597</v>
      </c>
      <c r="J52" s="182" t="s">
        <v>15</v>
      </c>
      <c r="K52" s="407">
        <v>46062</v>
      </c>
      <c r="L52" s="40" t="s">
        <v>4</v>
      </c>
      <c r="M52" s="40" t="s">
        <v>208</v>
      </c>
      <c r="N52" s="41"/>
      <c r="O52" s="267" t="s">
        <v>598</v>
      </c>
      <c r="P52" s="75" t="s">
        <v>15</v>
      </c>
      <c r="Q52" s="222" t="s">
        <v>211</v>
      </c>
      <c r="R52" s="407"/>
      <c r="S52" s="40" t="s">
        <v>599</v>
      </c>
      <c r="T52" s="83"/>
    </row>
    <row r="53" spans="1:20" ht="15.75" customHeight="1" x14ac:dyDescent="0.3">
      <c r="A53" s="104"/>
      <c r="B53" s="104"/>
      <c r="C53" s="74">
        <f t="shared" ca="1" si="5"/>
        <v>35</v>
      </c>
      <c r="D53" s="379" t="s">
        <v>600</v>
      </c>
      <c r="E53" s="332" t="s">
        <v>198</v>
      </c>
      <c r="F53" s="174" t="s">
        <v>207</v>
      </c>
      <c r="G53" s="451" t="s">
        <v>601</v>
      </c>
      <c r="H53" s="175" t="s">
        <v>602</v>
      </c>
      <c r="I53" s="322" t="s">
        <v>603</v>
      </c>
      <c r="J53" s="75" t="s">
        <v>15</v>
      </c>
      <c r="K53" s="407">
        <v>46083</v>
      </c>
      <c r="L53" s="40" t="s">
        <v>4</v>
      </c>
      <c r="M53" s="40" t="s">
        <v>208</v>
      </c>
      <c r="N53" s="41"/>
      <c r="O53" s="267" t="s">
        <v>604</v>
      </c>
      <c r="P53" s="182" t="s">
        <v>15</v>
      </c>
      <c r="Q53" s="222"/>
      <c r="R53" s="407"/>
      <c r="S53" s="40" t="s">
        <v>487</v>
      </c>
      <c r="T53" s="83"/>
    </row>
    <row r="54" spans="1:20" ht="15.75" customHeight="1" x14ac:dyDescent="0.3">
      <c r="A54" s="104"/>
      <c r="B54" s="104"/>
      <c r="C54" s="74">
        <f t="shared" ca="1" si="5"/>
        <v>36</v>
      </c>
      <c r="D54" s="385"/>
      <c r="E54" s="332"/>
      <c r="F54" s="170" t="s">
        <v>207</v>
      </c>
      <c r="G54" s="265" t="s">
        <v>605</v>
      </c>
      <c r="H54" s="170" t="s">
        <v>225</v>
      </c>
      <c r="I54" s="172" t="s">
        <v>477</v>
      </c>
      <c r="J54" s="75" t="s">
        <v>15</v>
      </c>
      <c r="K54" s="407">
        <v>46062</v>
      </c>
      <c r="L54" s="40" t="s">
        <v>4</v>
      </c>
      <c r="M54" s="40" t="s">
        <v>208</v>
      </c>
      <c r="N54" s="41"/>
      <c r="O54" s="267" t="s">
        <v>606</v>
      </c>
      <c r="P54" s="182" t="s">
        <v>15</v>
      </c>
      <c r="Q54" s="222"/>
      <c r="R54" s="407"/>
      <c r="S54" s="40" t="s">
        <v>487</v>
      </c>
      <c r="T54" s="83"/>
    </row>
    <row r="55" spans="1:20" ht="15.75" customHeight="1" x14ac:dyDescent="0.3">
      <c r="A55" s="104"/>
      <c r="B55" s="104"/>
      <c r="C55" s="74">
        <f t="shared" ca="1" si="5"/>
        <v>37</v>
      </c>
      <c r="D55" s="385"/>
      <c r="E55" s="300"/>
      <c r="F55" s="171"/>
      <c r="G55" s="298"/>
      <c r="H55" s="371" t="s">
        <v>227</v>
      </c>
      <c r="I55" s="462" t="s">
        <v>607</v>
      </c>
      <c r="J55" s="75" t="s">
        <v>15</v>
      </c>
      <c r="K55" s="407">
        <v>46083</v>
      </c>
      <c r="L55" s="40" t="s">
        <v>4</v>
      </c>
      <c r="M55" s="40" t="s">
        <v>208</v>
      </c>
      <c r="N55" s="41"/>
      <c r="O55" s="267" t="s">
        <v>608</v>
      </c>
      <c r="P55" s="75" t="s">
        <v>15</v>
      </c>
      <c r="Q55" s="222" t="s">
        <v>211</v>
      </c>
      <c r="R55" s="407"/>
      <c r="S55" s="40"/>
      <c r="T55" s="83"/>
    </row>
    <row r="56" spans="1:20" ht="15.75" customHeight="1" x14ac:dyDescent="0.3">
      <c r="A56" s="104"/>
      <c r="B56" s="104"/>
      <c r="C56" s="666" t="s">
        <v>609</v>
      </c>
      <c r="D56" s="602"/>
      <c r="E56" s="602"/>
      <c r="F56" s="602"/>
      <c r="G56" s="602"/>
      <c r="H56" s="602"/>
      <c r="I56" s="602"/>
      <c r="J56" s="602"/>
      <c r="K56" s="602"/>
      <c r="L56" s="602"/>
      <c r="M56" s="602"/>
      <c r="N56" s="602"/>
      <c r="O56" s="602"/>
      <c r="P56" s="602"/>
      <c r="Q56" s="602"/>
      <c r="R56" s="602"/>
      <c r="S56" s="602"/>
      <c r="T56" s="602"/>
    </row>
    <row r="57" spans="1:20" ht="15.75" customHeight="1" x14ac:dyDescent="0.3">
      <c r="A57" s="104"/>
      <c r="B57" s="104"/>
      <c r="C57" s="130">
        <f t="shared" ref="C57:C88" ca="1" si="6">1+COUNT(INDIRECT("A1:"&amp;(ADDRESS(ROW()-1,COLUMN()))))</f>
        <v>38</v>
      </c>
      <c r="D57" s="124" t="s">
        <v>610</v>
      </c>
      <c r="E57" s="199" t="s">
        <v>200</v>
      </c>
      <c r="F57" s="154" t="s">
        <v>611</v>
      </c>
      <c r="G57" s="154"/>
      <c r="H57" s="238" t="s">
        <v>484</v>
      </c>
      <c r="I57" s="128" t="s">
        <v>612</v>
      </c>
      <c r="J57" s="75" t="s">
        <v>15</v>
      </c>
      <c r="K57" s="407">
        <v>46063</v>
      </c>
      <c r="L57" s="40" t="s">
        <v>4</v>
      </c>
      <c r="M57" s="40"/>
      <c r="N57" s="40" t="s">
        <v>208</v>
      </c>
      <c r="O57" s="349" t="s">
        <v>613</v>
      </c>
      <c r="P57" s="75" t="s">
        <v>15</v>
      </c>
      <c r="Q57" s="222"/>
      <c r="R57" s="407"/>
      <c r="S57" s="40" t="s">
        <v>487</v>
      </c>
      <c r="T57" s="129"/>
    </row>
    <row r="58" spans="1:20" ht="15.75" customHeight="1" x14ac:dyDescent="0.3">
      <c r="A58" s="104"/>
      <c r="B58" s="104"/>
      <c r="C58" s="130">
        <f t="shared" ca="1" si="6"/>
        <v>39</v>
      </c>
      <c r="D58" s="181" t="s">
        <v>195</v>
      </c>
      <c r="E58" s="199" t="s">
        <v>196</v>
      </c>
      <c r="F58" s="154" t="s">
        <v>215</v>
      </c>
      <c r="G58" s="162"/>
      <c r="H58" s="133" t="s">
        <v>231</v>
      </c>
      <c r="I58" s="125" t="s">
        <v>614</v>
      </c>
      <c r="J58" s="75" t="s">
        <v>15</v>
      </c>
      <c r="K58" s="407">
        <v>46063</v>
      </c>
      <c r="L58" s="40" t="s">
        <v>4</v>
      </c>
      <c r="M58" s="40"/>
      <c r="N58" s="40" t="s">
        <v>208</v>
      </c>
      <c r="O58" s="356"/>
      <c r="P58" s="75" t="s">
        <v>15</v>
      </c>
      <c r="Q58" s="222"/>
      <c r="R58" s="407"/>
      <c r="S58" s="40" t="s">
        <v>487</v>
      </c>
      <c r="T58" s="83"/>
    </row>
    <row r="59" spans="1:20" ht="15.75" customHeight="1" x14ac:dyDescent="0.3">
      <c r="A59" s="104"/>
      <c r="B59" s="104"/>
      <c r="C59" s="130">
        <f t="shared" ca="1" si="6"/>
        <v>40</v>
      </c>
      <c r="D59" s="124" t="s">
        <v>615</v>
      </c>
      <c r="E59" s="306" t="s">
        <v>198</v>
      </c>
      <c r="F59" s="153" t="s">
        <v>207</v>
      </c>
      <c r="G59" s="165"/>
      <c r="H59" s="153" t="s">
        <v>218</v>
      </c>
      <c r="I59" s="152" t="s">
        <v>616</v>
      </c>
      <c r="J59" s="75" t="s">
        <v>15</v>
      </c>
      <c r="K59" s="407">
        <v>46063</v>
      </c>
      <c r="L59" s="40" t="s">
        <v>4</v>
      </c>
      <c r="M59" s="40"/>
      <c r="N59" s="40" t="s">
        <v>208</v>
      </c>
      <c r="O59" s="356"/>
      <c r="P59" s="75" t="s">
        <v>15</v>
      </c>
      <c r="Q59" s="117"/>
      <c r="R59" s="407"/>
      <c r="S59" s="40" t="s">
        <v>487</v>
      </c>
      <c r="T59" s="83"/>
    </row>
    <row r="60" spans="1:20" ht="15.75" customHeight="1" x14ac:dyDescent="0.3">
      <c r="A60" s="104"/>
      <c r="B60" s="104"/>
      <c r="C60" s="130">
        <f t="shared" ca="1" si="6"/>
        <v>41</v>
      </c>
      <c r="D60" s="124"/>
      <c r="E60" s="431"/>
      <c r="F60" s="154"/>
      <c r="G60" s="168" t="s">
        <v>617</v>
      </c>
      <c r="H60" s="164" t="s">
        <v>618</v>
      </c>
      <c r="I60" s="164" t="s">
        <v>619</v>
      </c>
      <c r="J60" s="75" t="s">
        <v>15</v>
      </c>
      <c r="K60" s="407">
        <v>46063</v>
      </c>
      <c r="L60" s="40" t="s">
        <v>4</v>
      </c>
      <c r="M60" s="40"/>
      <c r="N60" s="40" t="s">
        <v>208</v>
      </c>
      <c r="O60" s="356"/>
      <c r="P60" s="75" t="s">
        <v>15</v>
      </c>
      <c r="Q60" s="117"/>
      <c r="R60" s="407"/>
      <c r="S60" s="40" t="s">
        <v>487</v>
      </c>
      <c r="T60" s="83"/>
    </row>
    <row r="61" spans="1:20" ht="15.75" customHeight="1" x14ac:dyDescent="0.3">
      <c r="A61" s="104"/>
      <c r="B61" s="104"/>
      <c r="C61" s="130">
        <f t="shared" ca="1" si="6"/>
        <v>42</v>
      </c>
      <c r="D61" s="124" t="s">
        <v>620</v>
      </c>
      <c r="E61" s="306" t="s">
        <v>198</v>
      </c>
      <c r="F61" s="153" t="s">
        <v>207</v>
      </c>
      <c r="G61" s="165"/>
      <c r="H61" s="153" t="s">
        <v>218</v>
      </c>
      <c r="I61" s="152" t="s">
        <v>621</v>
      </c>
      <c r="J61" s="75" t="s">
        <v>15</v>
      </c>
      <c r="K61" s="407">
        <v>46063</v>
      </c>
      <c r="L61" s="40" t="s">
        <v>4</v>
      </c>
      <c r="M61" s="40"/>
      <c r="N61" s="40" t="s">
        <v>208</v>
      </c>
      <c r="O61" s="356"/>
      <c r="P61" s="75" t="s">
        <v>15</v>
      </c>
      <c r="Q61" s="117"/>
      <c r="R61" s="407"/>
      <c r="S61" s="40" t="s">
        <v>487</v>
      </c>
      <c r="T61" s="83"/>
    </row>
    <row r="62" spans="1:20" ht="15.75" customHeight="1" x14ac:dyDescent="0.3">
      <c r="A62" s="104"/>
      <c r="B62" s="104"/>
      <c r="C62" s="130">
        <f t="shared" ca="1" si="6"/>
        <v>43</v>
      </c>
      <c r="D62" s="124"/>
      <c r="E62" s="431"/>
      <c r="F62" s="154"/>
      <c r="G62" s="168" t="s">
        <v>622</v>
      </c>
      <c r="H62" s="164" t="s">
        <v>623</v>
      </c>
      <c r="I62" s="164" t="s">
        <v>624</v>
      </c>
      <c r="J62" s="75" t="s">
        <v>15</v>
      </c>
      <c r="K62" s="407">
        <v>46063</v>
      </c>
      <c r="L62" s="40" t="s">
        <v>4</v>
      </c>
      <c r="M62" s="40"/>
      <c r="N62" s="40" t="s">
        <v>208</v>
      </c>
      <c r="O62" s="356"/>
      <c r="P62" s="75" t="s">
        <v>15</v>
      </c>
      <c r="Q62" s="117"/>
      <c r="R62" s="407"/>
      <c r="S62" s="40" t="s">
        <v>487</v>
      </c>
      <c r="T62" s="83"/>
    </row>
    <row r="63" spans="1:20" ht="15.75" customHeight="1" x14ac:dyDescent="0.3">
      <c r="A63" s="104"/>
      <c r="B63" s="104"/>
      <c r="C63" s="130">
        <f t="shared" ca="1" si="6"/>
        <v>44</v>
      </c>
      <c r="D63" s="181" t="s">
        <v>625</v>
      </c>
      <c r="E63" s="306" t="s">
        <v>200</v>
      </c>
      <c r="F63" s="115"/>
      <c r="G63" s="154"/>
      <c r="H63" s="152" t="s">
        <v>461</v>
      </c>
      <c r="I63" s="128" t="s">
        <v>462</v>
      </c>
      <c r="J63" s="75" t="s">
        <v>15</v>
      </c>
      <c r="K63" s="407">
        <v>46063</v>
      </c>
      <c r="L63" s="40" t="s">
        <v>4</v>
      </c>
      <c r="M63" s="40" t="s">
        <v>208</v>
      </c>
      <c r="N63" s="40"/>
      <c r="O63" s="349" t="s">
        <v>626</v>
      </c>
      <c r="P63" s="75" t="s">
        <v>15</v>
      </c>
      <c r="Q63" s="117"/>
      <c r="R63" s="407"/>
      <c r="S63" s="40" t="s">
        <v>487</v>
      </c>
      <c r="T63" s="83"/>
    </row>
    <row r="64" spans="1:20" ht="15.75" customHeight="1" x14ac:dyDescent="0.3">
      <c r="A64" s="104"/>
      <c r="B64" s="104"/>
      <c r="C64" s="130">
        <f t="shared" ca="1" si="6"/>
        <v>45</v>
      </c>
      <c r="D64" s="124" t="s">
        <v>627</v>
      </c>
      <c r="E64" s="306" t="s">
        <v>198</v>
      </c>
      <c r="F64" s="153" t="s">
        <v>207</v>
      </c>
      <c r="G64" s="165"/>
      <c r="H64" s="153" t="s">
        <v>218</v>
      </c>
      <c r="I64" s="152" t="s">
        <v>628</v>
      </c>
      <c r="J64" s="75" t="s">
        <v>15</v>
      </c>
      <c r="K64" s="407">
        <v>46063</v>
      </c>
      <c r="L64" s="40" t="s">
        <v>4</v>
      </c>
      <c r="M64" s="40" t="s">
        <v>208</v>
      </c>
      <c r="N64" s="40"/>
      <c r="O64" s="349" t="s">
        <v>629</v>
      </c>
      <c r="P64" s="75" t="s">
        <v>15</v>
      </c>
      <c r="Q64" s="117"/>
      <c r="R64" s="407"/>
      <c r="S64" s="40" t="s">
        <v>487</v>
      </c>
      <c r="T64" s="83"/>
    </row>
    <row r="65" spans="1:20" ht="15.75" customHeight="1" x14ac:dyDescent="0.3">
      <c r="A65" s="104"/>
      <c r="B65" s="104"/>
      <c r="C65" s="130">
        <f t="shared" ca="1" si="6"/>
        <v>46</v>
      </c>
      <c r="D65" s="124"/>
      <c r="E65" s="431"/>
      <c r="F65" s="154"/>
      <c r="G65" s="168" t="s">
        <v>630</v>
      </c>
      <c r="H65" s="164" t="s">
        <v>227</v>
      </c>
      <c r="I65" s="164" t="s">
        <v>631</v>
      </c>
      <c r="J65" s="75" t="s">
        <v>15</v>
      </c>
      <c r="K65" s="407">
        <v>46063</v>
      </c>
      <c r="L65" s="40" t="s">
        <v>4</v>
      </c>
      <c r="M65" s="40" t="s">
        <v>208</v>
      </c>
      <c r="N65" s="40"/>
      <c r="O65" s="349" t="s">
        <v>629</v>
      </c>
      <c r="P65" s="75" t="s">
        <v>15</v>
      </c>
      <c r="Q65" s="117"/>
      <c r="R65" s="407"/>
      <c r="S65" s="40" t="s">
        <v>487</v>
      </c>
      <c r="T65" s="83"/>
    </row>
    <row r="66" spans="1:20" ht="15.75" customHeight="1" x14ac:dyDescent="0.3">
      <c r="A66" s="104"/>
      <c r="B66" s="104"/>
      <c r="C66" s="130">
        <f t="shared" ca="1" si="6"/>
        <v>47</v>
      </c>
      <c r="D66" s="124"/>
      <c r="E66" s="431"/>
      <c r="F66" s="154"/>
      <c r="G66" s="168" t="s">
        <v>632</v>
      </c>
      <c r="H66" s="164" t="s">
        <v>224</v>
      </c>
      <c r="I66" s="164" t="s">
        <v>633</v>
      </c>
      <c r="J66" s="75" t="s">
        <v>15</v>
      </c>
      <c r="K66" s="407">
        <v>46063</v>
      </c>
      <c r="L66" s="40" t="s">
        <v>4</v>
      </c>
      <c r="M66" s="40" t="s">
        <v>208</v>
      </c>
      <c r="N66" s="40"/>
      <c r="O66" s="349" t="s">
        <v>629</v>
      </c>
      <c r="P66" s="75" t="s">
        <v>15</v>
      </c>
      <c r="Q66" s="117"/>
      <c r="R66" s="407"/>
      <c r="S66" s="40" t="s">
        <v>487</v>
      </c>
      <c r="T66" s="83"/>
    </row>
    <row r="67" spans="1:20" ht="15.75" customHeight="1" x14ac:dyDescent="0.3">
      <c r="A67" s="104"/>
      <c r="B67" s="104"/>
      <c r="C67" s="130">
        <f t="shared" ca="1" si="6"/>
        <v>48</v>
      </c>
      <c r="D67" s="124"/>
      <c r="E67" s="431"/>
      <c r="F67" s="154"/>
      <c r="G67" s="168" t="s">
        <v>634</v>
      </c>
      <c r="H67" s="164" t="s">
        <v>227</v>
      </c>
      <c r="I67" s="463" t="s">
        <v>635</v>
      </c>
      <c r="J67" s="75" t="s">
        <v>15</v>
      </c>
      <c r="K67" s="407">
        <v>46063</v>
      </c>
      <c r="L67" s="40" t="s">
        <v>4</v>
      </c>
      <c r="M67" s="40" t="s">
        <v>208</v>
      </c>
      <c r="N67" s="40"/>
      <c r="O67" s="349" t="s">
        <v>629</v>
      </c>
      <c r="P67" s="75" t="s">
        <v>15</v>
      </c>
      <c r="Q67" s="117"/>
      <c r="R67" s="407"/>
      <c r="S67" s="40" t="s">
        <v>487</v>
      </c>
      <c r="T67" s="129"/>
    </row>
    <row r="68" spans="1:20" ht="15.75" customHeight="1" x14ac:dyDescent="0.3">
      <c r="A68" s="104"/>
      <c r="B68" s="104"/>
      <c r="C68" s="130">
        <f t="shared" ca="1" si="6"/>
        <v>49</v>
      </c>
      <c r="D68" s="124"/>
      <c r="E68" s="431"/>
      <c r="F68" s="154"/>
      <c r="G68" s="168" t="s">
        <v>636</v>
      </c>
      <c r="H68" s="164" t="s">
        <v>637</v>
      </c>
      <c r="I68" s="164" t="s">
        <v>638</v>
      </c>
      <c r="J68" s="75" t="s">
        <v>15</v>
      </c>
      <c r="K68" s="407">
        <v>46063</v>
      </c>
      <c r="L68" s="40" t="s">
        <v>4</v>
      </c>
      <c r="M68" s="40" t="s">
        <v>208</v>
      </c>
      <c r="N68" s="40"/>
      <c r="O68" s="336" t="s">
        <v>639</v>
      </c>
      <c r="P68" s="75" t="s">
        <v>15</v>
      </c>
      <c r="Q68" s="117"/>
      <c r="R68" s="407"/>
      <c r="S68" s="40" t="s">
        <v>234</v>
      </c>
      <c r="T68" s="83"/>
    </row>
    <row r="69" spans="1:20" ht="15.75" customHeight="1" x14ac:dyDescent="0.3">
      <c r="A69" s="104"/>
      <c r="B69" s="104"/>
      <c r="C69" s="130">
        <f t="shared" ca="1" si="6"/>
        <v>50</v>
      </c>
      <c r="D69" s="124" t="s">
        <v>640</v>
      </c>
      <c r="E69" s="306" t="s">
        <v>198</v>
      </c>
      <c r="F69" s="153" t="s">
        <v>207</v>
      </c>
      <c r="G69" s="165"/>
      <c r="H69" s="153" t="s">
        <v>218</v>
      </c>
      <c r="I69" s="152" t="s">
        <v>641</v>
      </c>
      <c r="J69" s="75" t="s">
        <v>15</v>
      </c>
      <c r="K69" s="407">
        <v>46063</v>
      </c>
      <c r="L69" s="40" t="s">
        <v>4</v>
      </c>
      <c r="M69" s="40" t="s">
        <v>208</v>
      </c>
      <c r="N69" s="40"/>
      <c r="O69" s="349" t="s">
        <v>642</v>
      </c>
      <c r="P69" s="75" t="s">
        <v>15</v>
      </c>
      <c r="Q69" s="117"/>
      <c r="R69" s="407"/>
      <c r="S69" s="40" t="s">
        <v>234</v>
      </c>
      <c r="T69" s="83"/>
    </row>
    <row r="70" spans="1:20" ht="15.75" customHeight="1" x14ac:dyDescent="0.3">
      <c r="A70" s="104"/>
      <c r="B70" s="104"/>
      <c r="C70" s="130">
        <f t="shared" ca="1" si="6"/>
        <v>51</v>
      </c>
      <c r="D70" s="124"/>
      <c r="E70" s="431"/>
      <c r="F70" s="154"/>
      <c r="G70" s="168" t="s">
        <v>643</v>
      </c>
      <c r="H70" s="164" t="s">
        <v>227</v>
      </c>
      <c r="I70" s="164" t="s">
        <v>644</v>
      </c>
      <c r="J70" s="75" t="s">
        <v>15</v>
      </c>
      <c r="K70" s="407">
        <v>46063</v>
      </c>
      <c r="L70" s="40" t="s">
        <v>4</v>
      </c>
      <c r="M70" s="40" t="s">
        <v>208</v>
      </c>
      <c r="N70" s="40"/>
      <c r="O70" s="349" t="s">
        <v>645</v>
      </c>
      <c r="P70" s="75" t="s">
        <v>15</v>
      </c>
      <c r="Q70" s="117"/>
      <c r="R70" s="407"/>
      <c r="S70" s="40" t="s">
        <v>234</v>
      </c>
      <c r="T70" s="83"/>
    </row>
    <row r="71" spans="1:20" ht="15.75" customHeight="1" x14ac:dyDescent="0.3">
      <c r="A71" s="104"/>
      <c r="B71" s="104"/>
      <c r="C71" s="130">
        <f t="shared" ca="1" si="6"/>
        <v>52</v>
      </c>
      <c r="D71" s="124"/>
      <c r="E71" s="431"/>
      <c r="F71" s="154"/>
      <c r="G71" s="168" t="s">
        <v>646</v>
      </c>
      <c r="H71" s="164" t="s">
        <v>224</v>
      </c>
      <c r="I71" s="164" t="s">
        <v>647</v>
      </c>
      <c r="J71" s="75" t="s">
        <v>15</v>
      </c>
      <c r="K71" s="407">
        <v>46063</v>
      </c>
      <c r="L71" s="40" t="s">
        <v>4</v>
      </c>
      <c r="M71" s="40" t="s">
        <v>208</v>
      </c>
      <c r="N71" s="40"/>
      <c r="O71" s="349" t="s">
        <v>648</v>
      </c>
      <c r="P71" s="75" t="s">
        <v>15</v>
      </c>
      <c r="Q71" s="117"/>
      <c r="R71" s="407"/>
      <c r="S71" s="40" t="s">
        <v>234</v>
      </c>
      <c r="T71" s="83"/>
    </row>
    <row r="72" spans="1:20" ht="15.75" customHeight="1" x14ac:dyDescent="0.3">
      <c r="A72" s="104"/>
      <c r="B72" s="104"/>
      <c r="C72" s="130">
        <f t="shared" ca="1" si="6"/>
        <v>53</v>
      </c>
      <c r="D72" s="295"/>
      <c r="E72" s="464"/>
      <c r="F72" s="154"/>
      <c r="G72" s="168" t="s">
        <v>649</v>
      </c>
      <c r="H72" s="164" t="s">
        <v>227</v>
      </c>
      <c r="I72" s="463" t="s">
        <v>644</v>
      </c>
      <c r="J72" s="75" t="s">
        <v>15</v>
      </c>
      <c r="K72" s="407">
        <v>46063</v>
      </c>
      <c r="L72" s="40" t="s">
        <v>4</v>
      </c>
      <c r="M72" s="40" t="s">
        <v>208</v>
      </c>
      <c r="N72" s="40"/>
      <c r="O72" s="349" t="s">
        <v>650</v>
      </c>
      <c r="P72" s="75" t="s">
        <v>15</v>
      </c>
      <c r="Q72" s="117"/>
      <c r="R72" s="407"/>
      <c r="S72" s="40"/>
      <c r="T72" s="129"/>
    </row>
    <row r="73" spans="1:20" ht="15.75" customHeight="1" x14ac:dyDescent="0.3">
      <c r="A73" s="104"/>
      <c r="B73" s="104"/>
      <c r="C73" s="130">
        <f t="shared" ca="1" si="6"/>
        <v>54</v>
      </c>
      <c r="D73" s="449"/>
      <c r="E73" s="450"/>
      <c r="F73" s="154"/>
      <c r="G73" s="168" t="s">
        <v>636</v>
      </c>
      <c r="H73" s="164" t="s">
        <v>637</v>
      </c>
      <c r="I73" s="164" t="s">
        <v>651</v>
      </c>
      <c r="J73" s="75" t="s">
        <v>15</v>
      </c>
      <c r="K73" s="407">
        <v>46063</v>
      </c>
      <c r="L73" s="40" t="s">
        <v>4</v>
      </c>
      <c r="M73" s="40" t="s">
        <v>208</v>
      </c>
      <c r="N73" s="40"/>
      <c r="O73" s="349" t="s">
        <v>652</v>
      </c>
      <c r="P73" s="75" t="s">
        <v>15</v>
      </c>
      <c r="Q73" s="117"/>
      <c r="R73" s="407"/>
      <c r="S73" s="40" t="s">
        <v>234</v>
      </c>
      <c r="T73" s="83"/>
    </row>
    <row r="74" spans="1:20" ht="15.75" customHeight="1" x14ac:dyDescent="0.3">
      <c r="A74" s="104"/>
      <c r="B74" s="104"/>
      <c r="C74" s="130">
        <f t="shared" ca="1" si="6"/>
        <v>55</v>
      </c>
      <c r="D74" s="418" t="s">
        <v>475</v>
      </c>
      <c r="E74" s="299"/>
      <c r="F74" s="158"/>
      <c r="G74" s="152"/>
      <c r="H74" s="152" t="s">
        <v>653</v>
      </c>
      <c r="I74" s="128" t="s">
        <v>654</v>
      </c>
      <c r="J74" s="75" t="s">
        <v>15</v>
      </c>
      <c r="K74" s="407">
        <v>46063</v>
      </c>
      <c r="L74" s="40" t="s">
        <v>4</v>
      </c>
      <c r="M74" s="40" t="s">
        <v>208</v>
      </c>
      <c r="N74" s="40"/>
      <c r="O74" s="349" t="s">
        <v>655</v>
      </c>
      <c r="P74" s="75" t="s">
        <v>15</v>
      </c>
      <c r="Q74" s="222"/>
      <c r="R74" s="40"/>
      <c r="S74" s="40" t="s">
        <v>487</v>
      </c>
      <c r="T74" s="83"/>
    </row>
    <row r="75" spans="1:20" ht="15.75" customHeight="1" x14ac:dyDescent="0.3">
      <c r="A75" s="104"/>
      <c r="B75" s="104"/>
      <c r="C75" s="130">
        <f t="shared" ca="1" si="6"/>
        <v>56</v>
      </c>
      <c r="D75" s="289"/>
      <c r="E75" s="299"/>
      <c r="F75" s="158"/>
      <c r="G75" s="152"/>
      <c r="H75" s="152" t="s">
        <v>656</v>
      </c>
      <c r="I75" s="128" t="s">
        <v>654</v>
      </c>
      <c r="J75" s="75" t="s">
        <v>15</v>
      </c>
      <c r="K75" s="407">
        <v>46063</v>
      </c>
      <c r="L75" s="40" t="s">
        <v>4</v>
      </c>
      <c r="M75" s="40" t="s">
        <v>208</v>
      </c>
      <c r="N75" s="40"/>
      <c r="O75" s="349" t="s">
        <v>657</v>
      </c>
      <c r="P75" s="75" t="s">
        <v>15</v>
      </c>
      <c r="Q75" s="222"/>
      <c r="R75" s="40"/>
      <c r="S75" s="40" t="s">
        <v>487</v>
      </c>
      <c r="T75" s="83"/>
    </row>
    <row r="76" spans="1:20" ht="15.75" customHeight="1" x14ac:dyDescent="0.3">
      <c r="A76" s="104"/>
      <c r="B76" s="104"/>
      <c r="C76" s="130">
        <f t="shared" ca="1" si="6"/>
        <v>57</v>
      </c>
      <c r="D76" s="289"/>
      <c r="E76" s="299"/>
      <c r="F76" s="158"/>
      <c r="G76" s="152"/>
      <c r="H76" s="152" t="s">
        <v>658</v>
      </c>
      <c r="I76" s="128" t="s">
        <v>659</v>
      </c>
      <c r="J76" s="75" t="s">
        <v>15</v>
      </c>
      <c r="K76" s="407">
        <v>46063</v>
      </c>
      <c r="L76" s="40" t="s">
        <v>4</v>
      </c>
      <c r="M76" s="40" t="s">
        <v>208</v>
      </c>
      <c r="N76" s="40"/>
      <c r="O76" s="349" t="s">
        <v>660</v>
      </c>
      <c r="P76" s="75" t="s">
        <v>15</v>
      </c>
      <c r="Q76" s="222"/>
      <c r="R76" s="40"/>
      <c r="S76" s="40" t="s">
        <v>487</v>
      </c>
      <c r="T76" s="83"/>
    </row>
    <row r="77" spans="1:20" ht="336" customHeight="1" x14ac:dyDescent="0.3">
      <c r="A77" s="104"/>
      <c r="B77" s="104"/>
      <c r="C77" s="130">
        <f t="shared" ca="1" si="6"/>
        <v>58</v>
      </c>
      <c r="D77" s="289" t="s">
        <v>546</v>
      </c>
      <c r="E77" s="299"/>
      <c r="F77" s="158"/>
      <c r="G77" s="154"/>
      <c r="H77" s="152" t="s">
        <v>661</v>
      </c>
      <c r="I77" s="131" t="s">
        <v>662</v>
      </c>
      <c r="J77" s="75" t="s">
        <v>15</v>
      </c>
      <c r="K77" s="407">
        <v>46084</v>
      </c>
      <c r="L77" s="40" t="s">
        <v>4</v>
      </c>
      <c r="M77" s="40" t="s">
        <v>208</v>
      </c>
      <c r="N77" s="40"/>
      <c r="O77" s="349" t="s">
        <v>663</v>
      </c>
      <c r="P77" s="75" t="s">
        <v>15</v>
      </c>
      <c r="Q77" s="222"/>
      <c r="R77" s="407"/>
      <c r="S77" s="40" t="s">
        <v>487</v>
      </c>
      <c r="T77" s="83"/>
    </row>
    <row r="78" spans="1:20" ht="15.75" customHeight="1" x14ac:dyDescent="0.3">
      <c r="A78" s="104"/>
      <c r="B78" s="104"/>
      <c r="C78" s="130">
        <f t="shared" ca="1" si="6"/>
        <v>59</v>
      </c>
      <c r="D78" s="289" t="s">
        <v>546</v>
      </c>
      <c r="E78" s="299"/>
      <c r="F78" s="158"/>
      <c r="G78" s="154"/>
      <c r="H78" s="152" t="s">
        <v>664</v>
      </c>
      <c r="I78" s="131" t="s">
        <v>665</v>
      </c>
      <c r="J78" s="75" t="s">
        <v>15</v>
      </c>
      <c r="K78" s="407">
        <v>46081</v>
      </c>
      <c r="L78" s="40" t="s">
        <v>4</v>
      </c>
      <c r="M78" s="40" t="s">
        <v>208</v>
      </c>
      <c r="N78" s="40"/>
      <c r="O78" s="349" t="s">
        <v>666</v>
      </c>
      <c r="P78" s="75" t="s">
        <v>15</v>
      </c>
      <c r="Q78" s="222"/>
      <c r="R78" s="407"/>
      <c r="S78" s="40" t="s">
        <v>487</v>
      </c>
      <c r="T78" s="83"/>
    </row>
    <row r="79" spans="1:20" ht="15.75" customHeight="1" x14ac:dyDescent="0.3">
      <c r="A79" s="104"/>
      <c r="B79" s="104"/>
      <c r="C79" s="130">
        <f t="shared" ca="1" si="6"/>
        <v>60</v>
      </c>
      <c r="D79" s="181" t="s">
        <v>667</v>
      </c>
      <c r="E79" s="242"/>
      <c r="F79" s="243"/>
      <c r="G79" s="213"/>
      <c r="H79" s="172" t="s">
        <v>668</v>
      </c>
      <c r="I79" s="245" t="s">
        <v>669</v>
      </c>
      <c r="J79" s="75" t="s">
        <v>15</v>
      </c>
      <c r="K79" s="407">
        <v>46063</v>
      </c>
      <c r="L79" s="40" t="s">
        <v>4</v>
      </c>
      <c r="M79" s="41"/>
      <c r="N79" s="40" t="s">
        <v>208</v>
      </c>
      <c r="O79" s="356"/>
      <c r="P79" s="75" t="s">
        <v>15</v>
      </c>
      <c r="Q79" s="275"/>
      <c r="R79" s="465"/>
      <c r="S79" s="40" t="s">
        <v>487</v>
      </c>
      <c r="T79" s="367"/>
    </row>
    <row r="80" spans="1:20" ht="15.75" customHeight="1" x14ac:dyDescent="0.3">
      <c r="A80" s="104"/>
      <c r="B80" s="104"/>
      <c r="C80" s="130">
        <f t="shared" ca="1" si="6"/>
        <v>61</v>
      </c>
      <c r="D80" s="181" t="s">
        <v>667</v>
      </c>
      <c r="E80" s="306"/>
      <c r="F80" s="158"/>
      <c r="G80" s="216"/>
      <c r="H80" s="152" t="s">
        <v>670</v>
      </c>
      <c r="I80" s="164" t="s">
        <v>671</v>
      </c>
      <c r="J80" s="75" t="s">
        <v>15</v>
      </c>
      <c r="K80" s="407">
        <v>46081</v>
      </c>
      <c r="L80" s="40" t="s">
        <v>4</v>
      </c>
      <c r="M80" s="40" t="s">
        <v>208</v>
      </c>
      <c r="N80" s="41"/>
      <c r="O80" s="267" t="s">
        <v>672</v>
      </c>
      <c r="P80" s="75" t="s">
        <v>15</v>
      </c>
      <c r="Q80" s="275"/>
      <c r="R80" s="465"/>
      <c r="S80" s="40" t="s">
        <v>487</v>
      </c>
      <c r="T80" s="367"/>
    </row>
    <row r="81" spans="1:20" ht="15.75" customHeight="1" x14ac:dyDescent="0.3">
      <c r="A81" s="104"/>
      <c r="B81" s="104"/>
      <c r="C81" s="130">
        <f t="shared" ca="1" si="6"/>
        <v>62</v>
      </c>
      <c r="D81" s="181" t="s">
        <v>667</v>
      </c>
      <c r="E81" s="306"/>
      <c r="F81" s="158"/>
      <c r="G81" s="216"/>
      <c r="H81" s="361" t="s">
        <v>673</v>
      </c>
      <c r="I81" s="466" t="s">
        <v>674</v>
      </c>
      <c r="J81" s="75" t="s">
        <v>15</v>
      </c>
      <c r="K81" s="407">
        <v>46081</v>
      </c>
      <c r="L81" s="40" t="s">
        <v>4</v>
      </c>
      <c r="M81" s="41"/>
      <c r="N81" s="40" t="s">
        <v>208</v>
      </c>
      <c r="O81" s="42"/>
      <c r="P81" s="75" t="s">
        <v>15</v>
      </c>
      <c r="Q81" s="275"/>
      <c r="R81" s="465"/>
      <c r="S81" s="40" t="s">
        <v>487</v>
      </c>
      <c r="T81" s="367"/>
    </row>
    <row r="82" spans="1:20" ht="15.75" customHeight="1" x14ac:dyDescent="0.3">
      <c r="A82" s="104"/>
      <c r="B82" s="104"/>
      <c r="C82" s="130">
        <f t="shared" ca="1" si="6"/>
        <v>63</v>
      </c>
      <c r="D82" s="181" t="s">
        <v>667</v>
      </c>
      <c r="E82" s="306"/>
      <c r="F82" s="158"/>
      <c r="G82" s="216"/>
      <c r="H82" s="361" t="s">
        <v>675</v>
      </c>
      <c r="I82" s="466" t="s">
        <v>676</v>
      </c>
      <c r="J82" s="75" t="s">
        <v>15</v>
      </c>
      <c r="K82" s="407">
        <v>46081</v>
      </c>
      <c r="L82" s="40" t="s">
        <v>4</v>
      </c>
      <c r="M82" s="41"/>
      <c r="N82" s="40" t="s">
        <v>208</v>
      </c>
      <c r="O82" s="42"/>
      <c r="P82" s="75" t="s">
        <v>15</v>
      </c>
      <c r="Q82" s="275"/>
      <c r="R82" s="465"/>
      <c r="S82" s="40" t="s">
        <v>487</v>
      </c>
      <c r="T82" s="367"/>
    </row>
    <row r="83" spans="1:20" ht="15.75" customHeight="1" x14ac:dyDescent="0.3">
      <c r="A83" s="104"/>
      <c r="B83" s="104"/>
      <c r="C83" s="130">
        <f t="shared" ca="1" si="6"/>
        <v>64</v>
      </c>
      <c r="D83" s="181" t="s">
        <v>667</v>
      </c>
      <c r="E83" s="306"/>
      <c r="F83" s="158"/>
      <c r="G83" s="216"/>
      <c r="H83" s="361" t="s">
        <v>677</v>
      </c>
      <c r="I83" s="466" t="s">
        <v>678</v>
      </c>
      <c r="J83" s="75" t="s">
        <v>15</v>
      </c>
      <c r="K83" s="407">
        <v>46081</v>
      </c>
      <c r="L83" s="40" t="s">
        <v>4</v>
      </c>
      <c r="M83" s="41"/>
      <c r="N83" s="40" t="s">
        <v>208</v>
      </c>
      <c r="O83" s="42"/>
      <c r="P83" s="75" t="s">
        <v>15</v>
      </c>
      <c r="Q83" s="275"/>
      <c r="R83" s="465"/>
      <c r="S83" s="40" t="s">
        <v>487</v>
      </c>
      <c r="T83" s="367"/>
    </row>
    <row r="84" spans="1:20" ht="15.75" customHeight="1" x14ac:dyDescent="0.3">
      <c r="A84" s="104"/>
      <c r="B84" s="104"/>
      <c r="C84" s="130">
        <f t="shared" ca="1" si="6"/>
        <v>65</v>
      </c>
      <c r="D84" s="181" t="s">
        <v>667</v>
      </c>
      <c r="E84" s="306"/>
      <c r="F84" s="158"/>
      <c r="G84" s="216"/>
      <c r="H84" s="361" t="s">
        <v>679</v>
      </c>
      <c r="I84" s="466" t="s">
        <v>678</v>
      </c>
      <c r="J84" s="75" t="s">
        <v>15</v>
      </c>
      <c r="K84" s="407">
        <v>46081</v>
      </c>
      <c r="L84" s="40" t="s">
        <v>4</v>
      </c>
      <c r="M84" s="41"/>
      <c r="N84" s="40" t="s">
        <v>208</v>
      </c>
      <c r="O84" s="42"/>
      <c r="P84" s="75" t="s">
        <v>15</v>
      </c>
      <c r="Q84" s="275"/>
      <c r="R84" s="465"/>
      <c r="S84" s="40" t="s">
        <v>487</v>
      </c>
      <c r="T84" s="367"/>
    </row>
    <row r="85" spans="1:20" ht="15.75" customHeight="1" x14ac:dyDescent="0.3">
      <c r="A85" s="104"/>
      <c r="B85" s="104"/>
      <c r="C85" s="130">
        <f t="shared" ca="1" si="6"/>
        <v>66</v>
      </c>
      <c r="D85" s="181" t="s">
        <v>680</v>
      </c>
      <c r="E85" s="306"/>
      <c r="F85" s="158"/>
      <c r="G85" s="152" t="s">
        <v>681</v>
      </c>
      <c r="H85" s="152" t="s">
        <v>682</v>
      </c>
      <c r="I85" s="164" t="s">
        <v>683</v>
      </c>
      <c r="J85" s="182" t="s">
        <v>15</v>
      </c>
      <c r="K85" s="407">
        <v>46063</v>
      </c>
      <c r="L85" s="40" t="s">
        <v>4</v>
      </c>
      <c r="M85" s="40" t="s">
        <v>208</v>
      </c>
      <c r="N85" s="41"/>
      <c r="O85" s="267" t="s">
        <v>684</v>
      </c>
      <c r="P85" s="75" t="s">
        <v>15</v>
      </c>
      <c r="Q85" s="275"/>
      <c r="R85" s="465"/>
      <c r="S85" s="40" t="s">
        <v>487</v>
      </c>
      <c r="T85" s="367"/>
    </row>
    <row r="86" spans="1:20" ht="15.75" customHeight="1" x14ac:dyDescent="0.3">
      <c r="A86" s="104"/>
      <c r="B86" s="104"/>
      <c r="C86" s="130">
        <f t="shared" ca="1" si="6"/>
        <v>67</v>
      </c>
      <c r="D86" s="181"/>
      <c r="E86" s="306"/>
      <c r="F86" s="158"/>
      <c r="G86" s="152" t="s">
        <v>681</v>
      </c>
      <c r="H86" s="152" t="s">
        <v>685</v>
      </c>
      <c r="I86" s="466" t="s">
        <v>686</v>
      </c>
      <c r="J86" s="182" t="s">
        <v>15</v>
      </c>
      <c r="K86" s="407">
        <v>46063</v>
      </c>
      <c r="L86" s="40" t="s">
        <v>4</v>
      </c>
      <c r="M86" s="40" t="s">
        <v>208</v>
      </c>
      <c r="N86" s="41"/>
      <c r="O86" s="267" t="s">
        <v>684</v>
      </c>
      <c r="P86" s="75" t="s">
        <v>15</v>
      </c>
      <c r="Q86" s="275"/>
      <c r="R86" s="465"/>
      <c r="S86" s="40" t="s">
        <v>487</v>
      </c>
      <c r="T86" s="367"/>
    </row>
    <row r="87" spans="1:20" ht="15.75" customHeight="1" x14ac:dyDescent="0.3">
      <c r="A87" s="104"/>
      <c r="B87" s="104"/>
      <c r="C87" s="130">
        <f t="shared" ca="1" si="6"/>
        <v>68</v>
      </c>
      <c r="D87" s="181" t="s">
        <v>687</v>
      </c>
      <c r="E87" s="152" t="s">
        <v>222</v>
      </c>
      <c r="F87" s="158"/>
      <c r="G87" s="176"/>
      <c r="H87" s="152" t="s">
        <v>688</v>
      </c>
      <c r="I87" s="164" t="s">
        <v>689</v>
      </c>
      <c r="J87" s="182" t="s">
        <v>15</v>
      </c>
      <c r="K87" s="407">
        <v>46063</v>
      </c>
      <c r="L87" s="40" t="s">
        <v>4</v>
      </c>
      <c r="M87" s="40" t="s">
        <v>208</v>
      </c>
      <c r="N87" s="41"/>
      <c r="O87" s="267" t="s">
        <v>690</v>
      </c>
      <c r="P87" s="75" t="s">
        <v>15</v>
      </c>
      <c r="Q87" s="275"/>
      <c r="R87" s="465"/>
      <c r="S87" s="40" t="s">
        <v>487</v>
      </c>
      <c r="T87" s="367"/>
    </row>
    <row r="88" spans="1:20" ht="15.75" customHeight="1" x14ac:dyDescent="0.3">
      <c r="A88" s="104"/>
      <c r="B88" s="104"/>
      <c r="C88" s="130">
        <f t="shared" ca="1" si="6"/>
        <v>69</v>
      </c>
      <c r="D88" s="181" t="s">
        <v>691</v>
      </c>
      <c r="E88" s="152"/>
      <c r="F88" s="158"/>
      <c r="G88" s="176"/>
      <c r="H88" s="152" t="s">
        <v>692</v>
      </c>
      <c r="I88" s="164" t="s">
        <v>693</v>
      </c>
      <c r="J88" s="182" t="s">
        <v>15</v>
      </c>
      <c r="K88" s="407">
        <v>46063</v>
      </c>
      <c r="L88" s="40" t="s">
        <v>4</v>
      </c>
      <c r="M88" s="40" t="s">
        <v>208</v>
      </c>
      <c r="N88" s="41"/>
      <c r="O88" s="267" t="s">
        <v>694</v>
      </c>
      <c r="P88" s="182" t="s">
        <v>15</v>
      </c>
      <c r="Q88" s="275"/>
      <c r="R88" s="465"/>
      <c r="S88" s="40" t="s">
        <v>487</v>
      </c>
      <c r="T88" s="367"/>
    </row>
    <row r="89" spans="1:20" ht="15.75" customHeight="1" x14ac:dyDescent="0.3">
      <c r="A89" s="104"/>
      <c r="B89" s="104"/>
      <c r="C89" s="130"/>
      <c r="D89" s="659" t="s">
        <v>695</v>
      </c>
      <c r="E89" s="602"/>
      <c r="F89" s="602"/>
      <c r="G89" s="602"/>
      <c r="H89" s="602"/>
      <c r="I89" s="602"/>
      <c r="J89" s="602"/>
      <c r="K89" s="602"/>
      <c r="L89" s="602"/>
      <c r="M89" s="602"/>
      <c r="N89" s="602"/>
      <c r="O89" s="602"/>
      <c r="P89" s="602"/>
      <c r="Q89" s="602"/>
      <c r="R89" s="602"/>
      <c r="S89" s="602"/>
      <c r="T89" s="602"/>
    </row>
    <row r="90" spans="1:20" ht="15.75" customHeight="1" x14ac:dyDescent="0.3">
      <c r="A90" s="104"/>
      <c r="B90" s="104"/>
      <c r="C90" s="130">
        <f t="shared" ref="C90:C128" ca="1" si="7">1+COUNT(INDIRECT("A1:"&amp;(ADDRESS(ROW()-1,COLUMN()))))</f>
        <v>70</v>
      </c>
      <c r="D90" s="181" t="s">
        <v>696</v>
      </c>
      <c r="E90" s="333" t="s">
        <v>198</v>
      </c>
      <c r="F90" s="152" t="s">
        <v>226</v>
      </c>
      <c r="G90" s="163"/>
      <c r="H90" s="152" t="s">
        <v>219</v>
      </c>
      <c r="I90" s="156" t="s">
        <v>697</v>
      </c>
      <c r="J90" s="75" t="s">
        <v>15</v>
      </c>
      <c r="K90" s="407">
        <v>46063</v>
      </c>
      <c r="L90" s="40" t="s">
        <v>4</v>
      </c>
      <c r="M90" s="40"/>
      <c r="N90" s="40" t="s">
        <v>208</v>
      </c>
      <c r="O90" s="349" t="s">
        <v>698</v>
      </c>
      <c r="P90" s="75" t="s">
        <v>15</v>
      </c>
      <c r="Q90" s="117"/>
      <c r="R90" s="407"/>
      <c r="S90" s="40" t="s">
        <v>428</v>
      </c>
      <c r="T90" s="83"/>
    </row>
    <row r="91" spans="1:20" ht="15.75" customHeight="1" x14ac:dyDescent="0.3">
      <c r="A91" s="104"/>
      <c r="B91" s="104"/>
      <c r="C91" s="130">
        <f t="shared" ca="1" si="7"/>
        <v>71</v>
      </c>
      <c r="D91" s="181" t="s">
        <v>699</v>
      </c>
      <c r="E91" s="450" t="s">
        <v>200</v>
      </c>
      <c r="F91" s="158" t="s">
        <v>207</v>
      </c>
      <c r="G91" s="163"/>
      <c r="H91" s="152" t="s">
        <v>700</v>
      </c>
      <c r="I91" s="156" t="s">
        <v>701</v>
      </c>
      <c r="J91" s="75" t="s">
        <v>15</v>
      </c>
      <c r="K91" s="407">
        <v>46063</v>
      </c>
      <c r="L91" s="40" t="s">
        <v>4</v>
      </c>
      <c r="M91" s="40" t="s">
        <v>208</v>
      </c>
      <c r="N91" s="40"/>
      <c r="O91" s="349" t="s">
        <v>702</v>
      </c>
      <c r="P91" s="75" t="s">
        <v>15</v>
      </c>
      <c r="Q91" s="117"/>
      <c r="R91" s="407"/>
      <c r="S91" s="40" t="s">
        <v>428</v>
      </c>
      <c r="T91" s="83"/>
    </row>
    <row r="92" spans="1:20" ht="15.75" customHeight="1" x14ac:dyDescent="0.3">
      <c r="A92" s="104"/>
      <c r="B92" s="104"/>
      <c r="C92" s="130">
        <f t="shared" ca="1" si="7"/>
        <v>72</v>
      </c>
      <c r="D92" s="181" t="s">
        <v>703</v>
      </c>
      <c r="E92" s="450" t="s">
        <v>200</v>
      </c>
      <c r="F92" s="158" t="s">
        <v>207</v>
      </c>
      <c r="G92" s="163"/>
      <c r="H92" s="152" t="s">
        <v>700</v>
      </c>
      <c r="I92" s="156" t="s">
        <v>704</v>
      </c>
      <c r="J92" s="75" t="s">
        <v>15</v>
      </c>
      <c r="K92" s="407">
        <v>46063</v>
      </c>
      <c r="L92" s="40" t="s">
        <v>4</v>
      </c>
      <c r="M92" s="40" t="s">
        <v>208</v>
      </c>
      <c r="N92" s="40"/>
      <c r="O92" s="349" t="s">
        <v>705</v>
      </c>
      <c r="P92" s="75" t="s">
        <v>15</v>
      </c>
      <c r="Q92" s="117"/>
      <c r="R92" s="407"/>
      <c r="S92" s="40"/>
      <c r="T92" s="83"/>
    </row>
    <row r="93" spans="1:20" ht="15.75" customHeight="1" x14ac:dyDescent="0.3">
      <c r="A93" s="104"/>
      <c r="B93" s="104"/>
      <c r="C93" s="130">
        <f t="shared" ca="1" si="7"/>
        <v>73</v>
      </c>
      <c r="D93" s="181" t="s">
        <v>706</v>
      </c>
      <c r="E93" s="306" t="s">
        <v>200</v>
      </c>
      <c r="F93" s="158" t="s">
        <v>207</v>
      </c>
      <c r="G93" s="163"/>
      <c r="H93" s="152" t="s">
        <v>700</v>
      </c>
      <c r="I93" s="156" t="s">
        <v>707</v>
      </c>
      <c r="J93" s="75" t="s">
        <v>15</v>
      </c>
      <c r="K93" s="407">
        <v>46063</v>
      </c>
      <c r="L93" s="40" t="s">
        <v>4</v>
      </c>
      <c r="M93" s="40" t="s">
        <v>208</v>
      </c>
      <c r="N93" s="40"/>
      <c r="O93" s="336" t="s">
        <v>708</v>
      </c>
      <c r="P93" s="75" t="s">
        <v>15</v>
      </c>
      <c r="Q93" s="117"/>
      <c r="R93" s="407"/>
      <c r="S93" s="40" t="s">
        <v>234</v>
      </c>
      <c r="T93" s="83"/>
    </row>
    <row r="94" spans="1:20" ht="15.75" customHeight="1" x14ac:dyDescent="0.3">
      <c r="A94" s="104"/>
      <c r="B94" s="104"/>
      <c r="C94" s="130">
        <f t="shared" ca="1" si="7"/>
        <v>74</v>
      </c>
      <c r="D94" s="181" t="s">
        <v>709</v>
      </c>
      <c r="E94" s="333" t="s">
        <v>198</v>
      </c>
      <c r="F94" s="152" t="s">
        <v>226</v>
      </c>
      <c r="G94" s="163"/>
      <c r="H94" s="152" t="s">
        <v>219</v>
      </c>
      <c r="I94" s="156" t="s">
        <v>710</v>
      </c>
      <c r="J94" s="75" t="s">
        <v>15</v>
      </c>
      <c r="K94" s="407">
        <v>46063</v>
      </c>
      <c r="L94" s="40" t="s">
        <v>4</v>
      </c>
      <c r="M94" s="40"/>
      <c r="N94" s="40" t="s">
        <v>208</v>
      </c>
      <c r="O94" s="356"/>
      <c r="P94" s="75" t="s">
        <v>15</v>
      </c>
      <c r="Q94" s="117"/>
      <c r="R94" s="407"/>
      <c r="S94" s="40" t="s">
        <v>234</v>
      </c>
      <c r="T94" s="83"/>
    </row>
    <row r="95" spans="1:20" ht="15.75" customHeight="1" x14ac:dyDescent="0.3">
      <c r="A95" s="104"/>
      <c r="B95" s="104"/>
      <c r="C95" s="130">
        <f t="shared" ca="1" si="7"/>
        <v>75</v>
      </c>
      <c r="D95" s="181" t="s">
        <v>711</v>
      </c>
      <c r="E95" s="280" t="s">
        <v>712</v>
      </c>
      <c r="F95" s="158"/>
      <c r="G95" s="152" t="s">
        <v>713</v>
      </c>
      <c r="H95" s="152" t="s">
        <v>714</v>
      </c>
      <c r="I95" s="152" t="s">
        <v>715</v>
      </c>
      <c r="J95" s="75" t="s">
        <v>15</v>
      </c>
      <c r="K95" s="407">
        <v>46063</v>
      </c>
      <c r="L95" s="40" t="s">
        <v>4</v>
      </c>
      <c r="M95" s="40" t="s">
        <v>208</v>
      </c>
      <c r="N95" s="40"/>
      <c r="O95" s="349" t="s">
        <v>716</v>
      </c>
      <c r="P95" s="75" t="s">
        <v>15</v>
      </c>
      <c r="Q95" s="117"/>
      <c r="R95" s="407"/>
      <c r="S95" s="40" t="s">
        <v>234</v>
      </c>
      <c r="T95" s="83"/>
    </row>
    <row r="96" spans="1:20" ht="15.75" customHeight="1" x14ac:dyDescent="0.3">
      <c r="A96" s="104"/>
      <c r="B96" s="104"/>
      <c r="C96" s="130">
        <f t="shared" ca="1" si="7"/>
        <v>76</v>
      </c>
      <c r="D96" s="181"/>
      <c r="E96" s="467"/>
      <c r="F96" s="158"/>
      <c r="G96" s="152" t="s">
        <v>717</v>
      </c>
      <c r="H96" s="152" t="s">
        <v>718</v>
      </c>
      <c r="I96" s="152" t="s">
        <v>719</v>
      </c>
      <c r="J96" s="75" t="s">
        <v>15</v>
      </c>
      <c r="K96" s="407">
        <v>46063</v>
      </c>
      <c r="L96" s="40" t="s">
        <v>4</v>
      </c>
      <c r="M96" s="40" t="s">
        <v>208</v>
      </c>
      <c r="N96" s="40"/>
      <c r="O96" s="349" t="s">
        <v>720</v>
      </c>
      <c r="P96" s="75" t="s">
        <v>15</v>
      </c>
      <c r="Q96" s="117"/>
      <c r="R96" s="407"/>
      <c r="S96" s="40" t="s">
        <v>234</v>
      </c>
      <c r="T96" s="83"/>
    </row>
    <row r="97" spans="1:20" ht="15.75" customHeight="1" x14ac:dyDescent="0.3">
      <c r="A97" s="104"/>
      <c r="B97" s="104"/>
      <c r="C97" s="130">
        <f t="shared" ca="1" si="7"/>
        <v>77</v>
      </c>
      <c r="D97" s="181" t="s">
        <v>721</v>
      </c>
      <c r="E97" s="306" t="s">
        <v>200</v>
      </c>
      <c r="F97" s="158" t="s">
        <v>207</v>
      </c>
      <c r="G97" s="163"/>
      <c r="H97" s="152" t="s">
        <v>219</v>
      </c>
      <c r="I97" s="164" t="s">
        <v>722</v>
      </c>
      <c r="J97" s="75" t="s">
        <v>15</v>
      </c>
      <c r="K97" s="407">
        <v>46063</v>
      </c>
      <c r="L97" s="40" t="s">
        <v>4</v>
      </c>
      <c r="M97" s="40" t="s">
        <v>208</v>
      </c>
      <c r="N97" s="40"/>
      <c r="O97" s="349" t="s">
        <v>723</v>
      </c>
      <c r="P97" s="75" t="s">
        <v>15</v>
      </c>
      <c r="Q97" s="117"/>
      <c r="R97" s="407"/>
      <c r="S97" s="40" t="s">
        <v>234</v>
      </c>
      <c r="T97" s="83"/>
    </row>
    <row r="98" spans="1:20" ht="15.75" customHeight="1" x14ac:dyDescent="0.3">
      <c r="A98" s="104"/>
      <c r="B98" s="104"/>
      <c r="C98" s="130">
        <f t="shared" ca="1" si="7"/>
        <v>78</v>
      </c>
      <c r="D98" s="181" t="s">
        <v>724</v>
      </c>
      <c r="E98" s="306" t="s">
        <v>200</v>
      </c>
      <c r="F98" s="158" t="s">
        <v>207</v>
      </c>
      <c r="G98" s="163"/>
      <c r="H98" s="152" t="s">
        <v>700</v>
      </c>
      <c r="I98" s="156" t="s">
        <v>725</v>
      </c>
      <c r="J98" s="75" t="s">
        <v>15</v>
      </c>
      <c r="K98" s="407">
        <v>46063</v>
      </c>
      <c r="L98" s="40" t="s">
        <v>4</v>
      </c>
      <c r="M98" s="40" t="s">
        <v>208</v>
      </c>
      <c r="N98" s="40"/>
      <c r="O98" s="349" t="s">
        <v>726</v>
      </c>
      <c r="P98" s="75" t="s">
        <v>15</v>
      </c>
      <c r="Q98" s="117"/>
      <c r="R98" s="407"/>
      <c r="S98" s="40" t="s">
        <v>234</v>
      </c>
      <c r="T98" s="83" t="s">
        <v>727</v>
      </c>
    </row>
    <row r="99" spans="1:20" ht="15.75" customHeight="1" x14ac:dyDescent="0.3">
      <c r="A99" s="104"/>
      <c r="B99" s="104"/>
      <c r="C99" s="130">
        <f t="shared" ca="1" si="7"/>
        <v>79</v>
      </c>
      <c r="D99" s="181" t="s">
        <v>728</v>
      </c>
      <c r="E99" s="306" t="s">
        <v>200</v>
      </c>
      <c r="F99" s="158" t="s">
        <v>207</v>
      </c>
      <c r="G99" s="163"/>
      <c r="H99" s="152" t="s">
        <v>700</v>
      </c>
      <c r="I99" s="156" t="s">
        <v>729</v>
      </c>
      <c r="J99" s="75" t="s">
        <v>15</v>
      </c>
      <c r="K99" s="407">
        <v>46063</v>
      </c>
      <c r="L99" s="40" t="s">
        <v>4</v>
      </c>
      <c r="M99" s="40" t="s">
        <v>208</v>
      </c>
      <c r="N99" s="40"/>
      <c r="O99" s="349" t="s">
        <v>730</v>
      </c>
      <c r="P99" s="75" t="s">
        <v>15</v>
      </c>
      <c r="Q99" s="117"/>
      <c r="R99" s="407"/>
      <c r="S99" s="40" t="s">
        <v>234</v>
      </c>
      <c r="T99" s="83"/>
    </row>
    <row r="100" spans="1:20" ht="15.75" customHeight="1" x14ac:dyDescent="0.3">
      <c r="A100" s="104"/>
      <c r="B100" s="104"/>
      <c r="C100" s="74">
        <f t="shared" ca="1" si="7"/>
        <v>80</v>
      </c>
      <c r="D100" s="181" t="s">
        <v>731</v>
      </c>
      <c r="E100" s="333" t="s">
        <v>198</v>
      </c>
      <c r="F100" s="152" t="s">
        <v>226</v>
      </c>
      <c r="G100" s="163"/>
      <c r="H100" s="152" t="s">
        <v>219</v>
      </c>
      <c r="I100" s="156" t="s">
        <v>732</v>
      </c>
      <c r="J100" s="75" t="s">
        <v>15</v>
      </c>
      <c r="K100" s="407">
        <v>46063</v>
      </c>
      <c r="L100" s="40" t="s">
        <v>4</v>
      </c>
      <c r="M100" s="40"/>
      <c r="N100" s="40" t="s">
        <v>208</v>
      </c>
      <c r="O100" s="356"/>
      <c r="P100" s="75" t="s">
        <v>15</v>
      </c>
      <c r="Q100" s="117"/>
      <c r="R100" s="407"/>
      <c r="S100" s="40" t="s">
        <v>234</v>
      </c>
      <c r="T100" s="83"/>
    </row>
    <row r="101" spans="1:20" ht="15.75" customHeight="1" x14ac:dyDescent="0.3">
      <c r="A101" s="104"/>
      <c r="B101" s="104"/>
      <c r="C101" s="74">
        <f t="shared" ca="1" si="7"/>
        <v>81</v>
      </c>
      <c r="D101" s="181"/>
      <c r="E101" s="306"/>
      <c r="F101" s="158"/>
      <c r="G101" s="176"/>
      <c r="H101" s="152" t="s">
        <v>733</v>
      </c>
      <c r="I101" s="164" t="s">
        <v>734</v>
      </c>
      <c r="J101" s="75" t="s">
        <v>15</v>
      </c>
      <c r="K101" s="407">
        <v>46063</v>
      </c>
      <c r="L101" s="40" t="s">
        <v>4</v>
      </c>
      <c r="M101" s="40"/>
      <c r="N101" s="40" t="s">
        <v>208</v>
      </c>
      <c r="O101" s="356"/>
      <c r="P101" s="75" t="s">
        <v>15</v>
      </c>
      <c r="Q101" s="117"/>
      <c r="R101" s="407"/>
      <c r="S101" s="40" t="s">
        <v>234</v>
      </c>
      <c r="T101" s="83"/>
    </row>
    <row r="102" spans="1:20" ht="192.75" customHeight="1" x14ac:dyDescent="0.3">
      <c r="A102" s="104"/>
      <c r="B102" s="104"/>
      <c r="C102" s="74">
        <f t="shared" ca="1" si="7"/>
        <v>82</v>
      </c>
      <c r="D102" s="181"/>
      <c r="E102" s="280" t="s">
        <v>735</v>
      </c>
      <c r="F102" s="153"/>
      <c r="G102" s="280" t="s">
        <v>713</v>
      </c>
      <c r="H102" s="152" t="s">
        <v>736</v>
      </c>
      <c r="I102" s="152" t="s">
        <v>737</v>
      </c>
      <c r="J102" s="75" t="s">
        <v>15</v>
      </c>
      <c r="K102" s="407">
        <v>46063</v>
      </c>
      <c r="L102" s="40" t="s">
        <v>4</v>
      </c>
      <c r="M102" s="40" t="s">
        <v>208</v>
      </c>
      <c r="N102" s="40"/>
      <c r="O102" s="349" t="s">
        <v>738</v>
      </c>
      <c r="P102" s="75" t="s">
        <v>15</v>
      </c>
      <c r="Q102" s="117"/>
      <c r="R102" s="407"/>
      <c r="S102" s="40" t="s">
        <v>234</v>
      </c>
      <c r="T102" s="83"/>
    </row>
    <row r="103" spans="1:20" ht="15.75" customHeight="1" x14ac:dyDescent="0.3">
      <c r="A103" s="104"/>
      <c r="B103" s="104"/>
      <c r="C103" s="74">
        <f t="shared" ca="1" si="7"/>
        <v>83</v>
      </c>
      <c r="D103" s="181"/>
      <c r="E103" s="280"/>
      <c r="F103" s="153"/>
      <c r="G103" s="280" t="s">
        <v>717</v>
      </c>
      <c r="H103" s="152" t="s">
        <v>739</v>
      </c>
      <c r="I103" s="164" t="s">
        <v>740</v>
      </c>
      <c r="J103" s="75" t="s">
        <v>15</v>
      </c>
      <c r="K103" s="407">
        <v>46063</v>
      </c>
      <c r="L103" s="40" t="s">
        <v>4</v>
      </c>
      <c r="M103" s="40" t="s">
        <v>208</v>
      </c>
      <c r="N103" s="40"/>
      <c r="O103" s="349" t="s">
        <v>741</v>
      </c>
      <c r="P103" s="75" t="s">
        <v>15</v>
      </c>
      <c r="Q103" s="117"/>
      <c r="R103" s="407"/>
      <c r="S103" s="40" t="s">
        <v>234</v>
      </c>
      <c r="T103" s="83"/>
    </row>
    <row r="104" spans="1:20" ht="15.75" customHeight="1" x14ac:dyDescent="0.3">
      <c r="A104" s="104"/>
      <c r="B104" s="104"/>
      <c r="C104" s="74">
        <f t="shared" ca="1" si="7"/>
        <v>84</v>
      </c>
      <c r="D104" s="181" t="s">
        <v>742</v>
      </c>
      <c r="E104" s="333" t="s">
        <v>198</v>
      </c>
      <c r="F104" s="152" t="s">
        <v>226</v>
      </c>
      <c r="G104" s="163"/>
      <c r="H104" s="152" t="s">
        <v>219</v>
      </c>
      <c r="I104" s="156" t="s">
        <v>743</v>
      </c>
      <c r="J104" s="75" t="s">
        <v>15</v>
      </c>
      <c r="K104" s="407">
        <v>46063</v>
      </c>
      <c r="L104" s="40" t="s">
        <v>4</v>
      </c>
      <c r="M104" s="40"/>
      <c r="N104" s="40" t="s">
        <v>208</v>
      </c>
      <c r="O104" s="356"/>
      <c r="P104" s="75" t="s">
        <v>15</v>
      </c>
      <c r="Q104" s="117"/>
      <c r="R104" s="407"/>
      <c r="S104" s="40" t="s">
        <v>234</v>
      </c>
      <c r="T104" s="129"/>
    </row>
    <row r="105" spans="1:20" ht="15.75" customHeight="1" x14ac:dyDescent="0.3">
      <c r="A105" s="104"/>
      <c r="B105" s="104"/>
      <c r="C105" s="74">
        <f t="shared" ca="1" si="7"/>
        <v>85</v>
      </c>
      <c r="D105" s="181" t="s">
        <v>744</v>
      </c>
      <c r="E105" s="450" t="s">
        <v>200</v>
      </c>
      <c r="F105" s="158" t="s">
        <v>207</v>
      </c>
      <c r="G105" s="163"/>
      <c r="H105" s="153" t="s">
        <v>207</v>
      </c>
      <c r="I105" s="164" t="s">
        <v>745</v>
      </c>
      <c r="J105" s="75" t="s">
        <v>15</v>
      </c>
      <c r="K105" s="407">
        <v>46063</v>
      </c>
      <c r="L105" s="40" t="s">
        <v>4</v>
      </c>
      <c r="M105" s="40" t="s">
        <v>208</v>
      </c>
      <c r="N105" s="40"/>
      <c r="O105" s="349" t="s">
        <v>746</v>
      </c>
      <c r="P105" s="75" t="s">
        <v>15</v>
      </c>
      <c r="Q105" s="117"/>
      <c r="R105" s="407"/>
      <c r="S105" s="40" t="s">
        <v>234</v>
      </c>
      <c r="T105" s="129"/>
    </row>
    <row r="106" spans="1:20" ht="15.75" customHeight="1" x14ac:dyDescent="0.3">
      <c r="A106" s="104"/>
      <c r="B106" s="104"/>
      <c r="C106" s="74">
        <f t="shared" ca="1" si="7"/>
        <v>86</v>
      </c>
      <c r="D106" s="181" t="s">
        <v>747</v>
      </c>
      <c r="E106" s="670"/>
      <c r="F106" s="158"/>
      <c r="G106" s="152" t="s">
        <v>713</v>
      </c>
      <c r="H106" s="152" t="s">
        <v>714</v>
      </c>
      <c r="I106" s="152" t="s">
        <v>748</v>
      </c>
      <c r="J106" s="75" t="s">
        <v>15</v>
      </c>
      <c r="K106" s="407">
        <v>46063</v>
      </c>
      <c r="L106" s="40" t="s">
        <v>4</v>
      </c>
      <c r="M106" s="40" t="s">
        <v>208</v>
      </c>
      <c r="N106" s="40"/>
      <c r="O106" s="349" t="s">
        <v>749</v>
      </c>
      <c r="P106" s="75" t="s">
        <v>15</v>
      </c>
      <c r="Q106" s="117"/>
      <c r="R106" s="407"/>
      <c r="S106" s="40" t="s">
        <v>234</v>
      </c>
      <c r="T106" s="129"/>
    </row>
    <row r="107" spans="1:20" ht="15.75" customHeight="1" x14ac:dyDescent="0.3">
      <c r="A107" s="104"/>
      <c r="B107" s="104"/>
      <c r="C107" s="74">
        <f t="shared" ca="1" si="7"/>
        <v>87</v>
      </c>
      <c r="D107" s="181"/>
      <c r="E107" s="607"/>
      <c r="F107" s="158"/>
      <c r="G107" s="152" t="s">
        <v>717</v>
      </c>
      <c r="H107" s="152" t="s">
        <v>718</v>
      </c>
      <c r="I107" s="152" t="s">
        <v>750</v>
      </c>
      <c r="J107" s="75" t="s">
        <v>15</v>
      </c>
      <c r="K107" s="407">
        <v>46063</v>
      </c>
      <c r="L107" s="40" t="s">
        <v>4</v>
      </c>
      <c r="M107" s="40" t="s">
        <v>208</v>
      </c>
      <c r="N107" s="40"/>
      <c r="O107" s="349" t="s">
        <v>751</v>
      </c>
      <c r="P107" s="75" t="s">
        <v>15</v>
      </c>
      <c r="Q107" s="117"/>
      <c r="R107" s="407"/>
      <c r="S107" s="40" t="s">
        <v>234</v>
      </c>
      <c r="T107" s="129"/>
    </row>
    <row r="108" spans="1:20" ht="15.75" customHeight="1" x14ac:dyDescent="0.3">
      <c r="A108" s="104"/>
      <c r="B108" s="104"/>
      <c r="C108" s="74">
        <f t="shared" ca="1" si="7"/>
        <v>88</v>
      </c>
      <c r="D108" s="181" t="s">
        <v>752</v>
      </c>
      <c r="E108" s="333" t="s">
        <v>198</v>
      </c>
      <c r="F108" s="152" t="s">
        <v>226</v>
      </c>
      <c r="G108" s="163"/>
      <c r="H108" s="152" t="s">
        <v>219</v>
      </c>
      <c r="I108" s="156" t="s">
        <v>753</v>
      </c>
      <c r="J108" s="75" t="s">
        <v>15</v>
      </c>
      <c r="K108" s="407">
        <v>46063</v>
      </c>
      <c r="L108" s="40" t="s">
        <v>4</v>
      </c>
      <c r="M108" s="40"/>
      <c r="N108" s="40" t="s">
        <v>208</v>
      </c>
      <c r="O108" s="356"/>
      <c r="P108" s="75" t="s">
        <v>15</v>
      </c>
      <c r="Q108" s="117"/>
      <c r="R108" s="407"/>
      <c r="S108" s="40" t="s">
        <v>234</v>
      </c>
      <c r="T108" s="129"/>
    </row>
    <row r="109" spans="1:20" ht="15.75" customHeight="1" x14ac:dyDescent="0.3">
      <c r="A109" s="104"/>
      <c r="B109" s="104"/>
      <c r="C109" s="74">
        <f t="shared" ca="1" si="7"/>
        <v>89</v>
      </c>
      <c r="D109" s="181" t="s">
        <v>754</v>
      </c>
      <c r="E109" s="306" t="s">
        <v>200</v>
      </c>
      <c r="F109" s="158" t="s">
        <v>207</v>
      </c>
      <c r="G109" s="163"/>
      <c r="H109" s="153" t="s">
        <v>207</v>
      </c>
      <c r="I109" s="164" t="s">
        <v>755</v>
      </c>
      <c r="J109" s="75" t="s">
        <v>15</v>
      </c>
      <c r="K109" s="407">
        <v>46063</v>
      </c>
      <c r="L109" s="40" t="s">
        <v>4</v>
      </c>
      <c r="M109" s="40" t="s">
        <v>208</v>
      </c>
      <c r="N109" s="40"/>
      <c r="O109" s="349" t="s">
        <v>756</v>
      </c>
      <c r="P109" s="75" t="s">
        <v>15</v>
      </c>
      <c r="Q109" s="117"/>
      <c r="R109" s="407"/>
      <c r="S109" s="40" t="s">
        <v>234</v>
      </c>
      <c r="T109" s="129"/>
    </row>
    <row r="110" spans="1:20" ht="15.75" customHeight="1" x14ac:dyDescent="0.3">
      <c r="A110" s="104"/>
      <c r="B110" s="104"/>
      <c r="C110" s="74">
        <f t="shared" ca="1" si="7"/>
        <v>90</v>
      </c>
      <c r="D110" s="181" t="s">
        <v>757</v>
      </c>
      <c r="E110" s="152" t="s">
        <v>758</v>
      </c>
      <c r="F110" s="158"/>
      <c r="G110" s="152" t="s">
        <v>713</v>
      </c>
      <c r="H110" s="152" t="s">
        <v>714</v>
      </c>
      <c r="I110" s="152" t="s">
        <v>759</v>
      </c>
      <c r="J110" s="75" t="s">
        <v>15</v>
      </c>
      <c r="K110" s="407">
        <v>46063</v>
      </c>
      <c r="L110" s="40" t="s">
        <v>4</v>
      </c>
      <c r="M110" s="40" t="s">
        <v>208</v>
      </c>
      <c r="N110" s="40"/>
      <c r="O110" s="349" t="s">
        <v>760</v>
      </c>
      <c r="P110" s="75" t="s">
        <v>15</v>
      </c>
      <c r="Q110" s="117"/>
      <c r="R110" s="407"/>
      <c r="S110" s="40" t="s">
        <v>234</v>
      </c>
      <c r="T110" s="83"/>
    </row>
    <row r="111" spans="1:20" ht="15.75" customHeight="1" x14ac:dyDescent="0.3">
      <c r="A111" s="104"/>
      <c r="B111" s="104"/>
      <c r="C111" s="74">
        <f t="shared" ca="1" si="7"/>
        <v>91</v>
      </c>
      <c r="D111" s="181"/>
      <c r="E111" s="152"/>
      <c r="F111" s="158"/>
      <c r="G111" s="152" t="s">
        <v>717</v>
      </c>
      <c r="H111" s="152" t="s">
        <v>718</v>
      </c>
      <c r="I111" s="152" t="s">
        <v>761</v>
      </c>
      <c r="J111" s="75" t="s">
        <v>15</v>
      </c>
      <c r="K111" s="407">
        <v>46063</v>
      </c>
      <c r="L111" s="40" t="s">
        <v>4</v>
      </c>
      <c r="M111" s="40" t="s">
        <v>208</v>
      </c>
      <c r="N111" s="40"/>
      <c r="O111" s="349" t="s">
        <v>762</v>
      </c>
      <c r="P111" s="75" t="s">
        <v>15</v>
      </c>
      <c r="Q111" s="117"/>
      <c r="R111" s="407"/>
      <c r="S111" s="40" t="s">
        <v>234</v>
      </c>
      <c r="T111" s="83"/>
    </row>
    <row r="112" spans="1:20" ht="15.75" customHeight="1" x14ac:dyDescent="0.3">
      <c r="A112" s="104"/>
      <c r="B112" s="104"/>
      <c r="C112" s="130">
        <f t="shared" ca="1" si="7"/>
        <v>92</v>
      </c>
      <c r="D112" s="181" t="s">
        <v>763</v>
      </c>
      <c r="E112" s="333" t="s">
        <v>198</v>
      </c>
      <c r="F112" s="152" t="s">
        <v>226</v>
      </c>
      <c r="G112" s="163"/>
      <c r="H112" s="152" t="s">
        <v>219</v>
      </c>
      <c r="I112" s="156" t="s">
        <v>764</v>
      </c>
      <c r="J112" s="75" t="s">
        <v>15</v>
      </c>
      <c r="K112" s="407">
        <v>46063</v>
      </c>
      <c r="L112" s="40" t="s">
        <v>4</v>
      </c>
      <c r="M112" s="40"/>
      <c r="N112" s="40" t="s">
        <v>208</v>
      </c>
      <c r="O112" s="356"/>
      <c r="P112" s="75" t="s">
        <v>15</v>
      </c>
      <c r="Q112" s="117"/>
      <c r="R112" s="40"/>
      <c r="S112" s="40" t="s">
        <v>234</v>
      </c>
      <c r="T112" s="83"/>
    </row>
    <row r="113" spans="1:20" ht="15.75" customHeight="1" x14ac:dyDescent="0.3">
      <c r="A113" s="104"/>
      <c r="B113" s="104"/>
      <c r="C113" s="130">
        <f t="shared" ca="1" si="7"/>
        <v>93</v>
      </c>
      <c r="D113" s="181" t="s">
        <v>765</v>
      </c>
      <c r="E113" s="450" t="s">
        <v>200</v>
      </c>
      <c r="F113" s="158" t="s">
        <v>207</v>
      </c>
      <c r="G113" s="163"/>
      <c r="H113" s="153" t="s">
        <v>207</v>
      </c>
      <c r="I113" s="164" t="s">
        <v>766</v>
      </c>
      <c r="J113" s="75" t="s">
        <v>15</v>
      </c>
      <c r="K113" s="407">
        <v>46063</v>
      </c>
      <c r="L113" s="40" t="s">
        <v>4</v>
      </c>
      <c r="M113" s="40" t="s">
        <v>208</v>
      </c>
      <c r="N113" s="40"/>
      <c r="O113" s="349" t="s">
        <v>767</v>
      </c>
      <c r="P113" s="75" t="s">
        <v>15</v>
      </c>
      <c r="Q113" s="117"/>
      <c r="R113" s="407"/>
      <c r="S113" s="40" t="s">
        <v>234</v>
      </c>
      <c r="T113" s="129"/>
    </row>
    <row r="114" spans="1:20" ht="15.75" customHeight="1" x14ac:dyDescent="0.3">
      <c r="A114" s="104"/>
      <c r="B114" s="104"/>
      <c r="C114" s="130">
        <f t="shared" ca="1" si="7"/>
        <v>94</v>
      </c>
      <c r="D114" s="181" t="s">
        <v>768</v>
      </c>
      <c r="E114" s="152" t="s">
        <v>758</v>
      </c>
      <c r="F114" s="158"/>
      <c r="G114" s="152" t="s">
        <v>713</v>
      </c>
      <c r="H114" s="152" t="s">
        <v>714</v>
      </c>
      <c r="I114" s="152" t="s">
        <v>769</v>
      </c>
      <c r="J114" s="75" t="s">
        <v>15</v>
      </c>
      <c r="K114" s="407">
        <v>46063</v>
      </c>
      <c r="L114" s="40" t="s">
        <v>4</v>
      </c>
      <c r="M114" s="40" t="s">
        <v>208</v>
      </c>
      <c r="N114" s="40"/>
      <c r="O114" s="349" t="s">
        <v>770</v>
      </c>
      <c r="P114" s="75" t="s">
        <v>15</v>
      </c>
      <c r="Q114" s="117"/>
      <c r="R114" s="407"/>
      <c r="S114" s="40" t="s">
        <v>234</v>
      </c>
      <c r="T114" s="129"/>
    </row>
    <row r="115" spans="1:20" ht="15.75" customHeight="1" x14ac:dyDescent="0.3">
      <c r="A115" s="104"/>
      <c r="B115" s="104"/>
      <c r="C115" s="130">
        <f t="shared" ca="1" si="7"/>
        <v>95</v>
      </c>
      <c r="D115" s="181"/>
      <c r="E115" s="467"/>
      <c r="F115" s="158"/>
      <c r="G115" s="152" t="s">
        <v>717</v>
      </c>
      <c r="H115" s="152" t="s">
        <v>718</v>
      </c>
      <c r="I115" s="152" t="s">
        <v>771</v>
      </c>
      <c r="J115" s="75" t="s">
        <v>15</v>
      </c>
      <c r="K115" s="407">
        <v>46063</v>
      </c>
      <c r="L115" s="40" t="s">
        <v>4</v>
      </c>
      <c r="M115" s="40" t="s">
        <v>208</v>
      </c>
      <c r="N115" s="40"/>
      <c r="O115" s="349" t="s">
        <v>772</v>
      </c>
      <c r="P115" s="75" t="s">
        <v>15</v>
      </c>
      <c r="Q115" s="117"/>
      <c r="R115" s="407"/>
      <c r="S115" s="40" t="s">
        <v>234</v>
      </c>
      <c r="T115" s="129"/>
    </row>
    <row r="116" spans="1:20" ht="15.75" customHeight="1" x14ac:dyDescent="0.3">
      <c r="A116" s="104"/>
      <c r="B116" s="104"/>
      <c r="C116" s="130">
        <f t="shared" ca="1" si="7"/>
        <v>96</v>
      </c>
      <c r="D116" s="181" t="s">
        <v>773</v>
      </c>
      <c r="E116" s="333" t="s">
        <v>198</v>
      </c>
      <c r="F116" s="152" t="s">
        <v>226</v>
      </c>
      <c r="G116" s="163"/>
      <c r="H116" s="152" t="s">
        <v>219</v>
      </c>
      <c r="I116" s="156" t="s">
        <v>774</v>
      </c>
      <c r="J116" s="75" t="s">
        <v>15</v>
      </c>
      <c r="K116" s="407">
        <v>46063</v>
      </c>
      <c r="L116" s="40" t="s">
        <v>4</v>
      </c>
      <c r="M116" s="40"/>
      <c r="N116" s="40" t="s">
        <v>208</v>
      </c>
      <c r="O116" s="356"/>
      <c r="P116" s="75" t="s">
        <v>15</v>
      </c>
      <c r="Q116" s="117"/>
      <c r="R116" s="407"/>
      <c r="S116" s="40" t="s">
        <v>234</v>
      </c>
      <c r="T116" s="83"/>
    </row>
    <row r="117" spans="1:20" ht="15.75" customHeight="1" x14ac:dyDescent="0.3">
      <c r="A117" s="104"/>
      <c r="B117" s="104"/>
      <c r="C117" s="130">
        <f t="shared" ca="1" si="7"/>
        <v>97</v>
      </c>
      <c r="D117" s="181" t="s">
        <v>775</v>
      </c>
      <c r="E117" s="306" t="s">
        <v>200</v>
      </c>
      <c r="F117" s="158" t="s">
        <v>207</v>
      </c>
      <c r="G117" s="163"/>
      <c r="H117" s="153" t="s">
        <v>207</v>
      </c>
      <c r="I117" s="164" t="s">
        <v>776</v>
      </c>
      <c r="J117" s="75" t="s">
        <v>15</v>
      </c>
      <c r="K117" s="407">
        <v>46063</v>
      </c>
      <c r="L117" s="40" t="s">
        <v>4</v>
      </c>
      <c r="M117" s="40" t="s">
        <v>208</v>
      </c>
      <c r="N117" s="40"/>
      <c r="O117" s="349" t="s">
        <v>777</v>
      </c>
      <c r="P117" s="75" t="s">
        <v>15</v>
      </c>
      <c r="Q117" s="117"/>
      <c r="R117" s="407"/>
      <c r="S117" s="40" t="s">
        <v>234</v>
      </c>
      <c r="T117" s="129"/>
    </row>
    <row r="118" spans="1:20" ht="15.75" customHeight="1" x14ac:dyDescent="0.3">
      <c r="A118" s="104"/>
      <c r="B118" s="104"/>
      <c r="C118" s="130">
        <f t="shared" ca="1" si="7"/>
        <v>98</v>
      </c>
      <c r="D118" s="181" t="s">
        <v>778</v>
      </c>
      <c r="E118" s="152" t="s">
        <v>758</v>
      </c>
      <c r="F118" s="158"/>
      <c r="G118" s="152" t="s">
        <v>713</v>
      </c>
      <c r="H118" s="152" t="s">
        <v>714</v>
      </c>
      <c r="I118" s="152" t="s">
        <v>779</v>
      </c>
      <c r="J118" s="75" t="s">
        <v>15</v>
      </c>
      <c r="K118" s="407">
        <v>46063</v>
      </c>
      <c r="L118" s="40" t="s">
        <v>4</v>
      </c>
      <c r="M118" s="40" t="s">
        <v>208</v>
      </c>
      <c r="N118" s="40"/>
      <c r="O118" s="349" t="s">
        <v>780</v>
      </c>
      <c r="P118" s="75" t="s">
        <v>15</v>
      </c>
      <c r="Q118" s="117"/>
      <c r="R118" s="407"/>
      <c r="S118" s="40" t="s">
        <v>234</v>
      </c>
      <c r="T118" s="83"/>
    </row>
    <row r="119" spans="1:20" ht="15.75" customHeight="1" x14ac:dyDescent="0.3">
      <c r="A119" s="104"/>
      <c r="B119" s="104"/>
      <c r="C119" s="130">
        <f t="shared" ca="1" si="7"/>
        <v>99</v>
      </c>
      <c r="D119" s="181"/>
      <c r="E119" s="467"/>
      <c r="F119" s="158"/>
      <c r="G119" s="152" t="s">
        <v>717</v>
      </c>
      <c r="H119" s="152" t="s">
        <v>718</v>
      </c>
      <c r="I119" s="152" t="s">
        <v>781</v>
      </c>
      <c r="J119" s="75" t="s">
        <v>15</v>
      </c>
      <c r="K119" s="407">
        <v>46063</v>
      </c>
      <c r="L119" s="40" t="s">
        <v>4</v>
      </c>
      <c r="M119" s="40" t="s">
        <v>208</v>
      </c>
      <c r="N119" s="40"/>
      <c r="O119" s="349" t="s">
        <v>782</v>
      </c>
      <c r="P119" s="75" t="s">
        <v>15</v>
      </c>
      <c r="Q119" s="117"/>
      <c r="R119" s="407"/>
      <c r="S119" s="40" t="s">
        <v>234</v>
      </c>
      <c r="T119" s="83"/>
    </row>
    <row r="120" spans="1:20" ht="15.75" customHeight="1" x14ac:dyDescent="0.3">
      <c r="A120" s="104"/>
      <c r="B120" s="104"/>
      <c r="C120" s="130">
        <f t="shared" ca="1" si="7"/>
        <v>100</v>
      </c>
      <c r="D120" s="181" t="s">
        <v>783</v>
      </c>
      <c r="E120" s="333" t="s">
        <v>198</v>
      </c>
      <c r="F120" s="152" t="s">
        <v>226</v>
      </c>
      <c r="G120" s="163"/>
      <c r="H120" s="152" t="s">
        <v>219</v>
      </c>
      <c r="I120" s="156" t="s">
        <v>784</v>
      </c>
      <c r="J120" s="75" t="s">
        <v>15</v>
      </c>
      <c r="K120" s="407">
        <v>46063</v>
      </c>
      <c r="L120" s="40" t="s">
        <v>4</v>
      </c>
      <c r="M120" s="40"/>
      <c r="N120" s="40" t="s">
        <v>208</v>
      </c>
      <c r="O120" s="356"/>
      <c r="P120" s="75" t="s">
        <v>15</v>
      </c>
      <c r="Q120" s="117"/>
      <c r="R120" s="407"/>
      <c r="S120" s="40" t="s">
        <v>234</v>
      </c>
      <c r="T120" s="468"/>
    </row>
    <row r="121" spans="1:20" ht="15.75" customHeight="1" x14ac:dyDescent="0.3">
      <c r="A121" s="104"/>
      <c r="B121" s="104"/>
      <c r="C121" s="130">
        <f t="shared" ca="1" si="7"/>
        <v>101</v>
      </c>
      <c r="D121" s="181" t="s">
        <v>785</v>
      </c>
      <c r="E121" s="306" t="s">
        <v>200</v>
      </c>
      <c r="F121" s="158" t="s">
        <v>207</v>
      </c>
      <c r="G121" s="163"/>
      <c r="H121" s="153" t="s">
        <v>207</v>
      </c>
      <c r="I121" s="164" t="s">
        <v>786</v>
      </c>
      <c r="J121" s="75" t="s">
        <v>15</v>
      </c>
      <c r="K121" s="407">
        <v>46063</v>
      </c>
      <c r="L121" s="40" t="s">
        <v>4</v>
      </c>
      <c r="M121" s="40" t="s">
        <v>208</v>
      </c>
      <c r="N121" s="40"/>
      <c r="O121" s="349" t="s">
        <v>787</v>
      </c>
      <c r="P121" s="75" t="s">
        <v>15</v>
      </c>
      <c r="Q121" s="117"/>
      <c r="R121" s="407"/>
      <c r="S121" s="40" t="s">
        <v>234</v>
      </c>
      <c r="T121" s="129"/>
    </row>
    <row r="122" spans="1:20" ht="15.75" customHeight="1" x14ac:dyDescent="0.3">
      <c r="A122" s="104"/>
      <c r="B122" s="104"/>
      <c r="C122" s="130">
        <f t="shared" ca="1" si="7"/>
        <v>102</v>
      </c>
      <c r="D122" s="181" t="s">
        <v>788</v>
      </c>
      <c r="E122" s="152" t="s">
        <v>758</v>
      </c>
      <c r="F122" s="158"/>
      <c r="G122" s="152" t="s">
        <v>713</v>
      </c>
      <c r="H122" s="152" t="s">
        <v>714</v>
      </c>
      <c r="I122" s="152" t="s">
        <v>789</v>
      </c>
      <c r="J122" s="75" t="s">
        <v>15</v>
      </c>
      <c r="K122" s="407">
        <v>46063</v>
      </c>
      <c r="L122" s="40" t="s">
        <v>4</v>
      </c>
      <c r="M122" s="40" t="s">
        <v>208</v>
      </c>
      <c r="N122" s="40"/>
      <c r="O122" s="349" t="s">
        <v>790</v>
      </c>
      <c r="P122" s="75" t="s">
        <v>15</v>
      </c>
      <c r="Q122" s="117"/>
      <c r="R122" s="407"/>
      <c r="S122" s="40" t="s">
        <v>234</v>
      </c>
      <c r="T122" s="129"/>
    </row>
    <row r="123" spans="1:20" ht="15.75" customHeight="1" x14ac:dyDescent="0.3">
      <c r="A123" s="104"/>
      <c r="B123" s="104"/>
      <c r="C123" s="130">
        <f t="shared" ca="1" si="7"/>
        <v>103</v>
      </c>
      <c r="D123" s="449"/>
      <c r="E123" s="467"/>
      <c r="F123" s="158"/>
      <c r="G123" s="152" t="s">
        <v>717</v>
      </c>
      <c r="H123" s="152" t="s">
        <v>718</v>
      </c>
      <c r="I123" s="152" t="s">
        <v>791</v>
      </c>
      <c r="J123" s="75" t="s">
        <v>15</v>
      </c>
      <c r="K123" s="407">
        <v>46063</v>
      </c>
      <c r="L123" s="40" t="s">
        <v>4</v>
      </c>
      <c r="M123" s="40" t="s">
        <v>208</v>
      </c>
      <c r="N123" s="40"/>
      <c r="O123" s="349" t="s">
        <v>792</v>
      </c>
      <c r="P123" s="75" t="s">
        <v>15</v>
      </c>
      <c r="Q123" s="117"/>
      <c r="R123" s="407"/>
      <c r="S123" s="40" t="s">
        <v>234</v>
      </c>
      <c r="T123" s="129"/>
    </row>
    <row r="124" spans="1:20" ht="15.75" customHeight="1" x14ac:dyDescent="0.3">
      <c r="A124" s="104"/>
      <c r="B124" s="104"/>
      <c r="C124" s="130">
        <f t="shared" ca="1" si="7"/>
        <v>104</v>
      </c>
      <c r="D124" s="181" t="s">
        <v>793</v>
      </c>
      <c r="E124" s="306" t="s">
        <v>198</v>
      </c>
      <c r="F124" s="152" t="s">
        <v>226</v>
      </c>
      <c r="G124" s="163"/>
      <c r="H124" s="152" t="s">
        <v>219</v>
      </c>
      <c r="I124" s="156" t="s">
        <v>794</v>
      </c>
      <c r="J124" s="75" t="s">
        <v>15</v>
      </c>
      <c r="K124" s="407">
        <v>46063</v>
      </c>
      <c r="L124" s="40" t="s">
        <v>4</v>
      </c>
      <c r="M124" s="40"/>
      <c r="N124" s="40" t="s">
        <v>208</v>
      </c>
      <c r="O124" s="356"/>
      <c r="P124" s="75" t="s">
        <v>15</v>
      </c>
      <c r="Q124" s="117"/>
      <c r="R124" s="407"/>
      <c r="S124" s="40" t="s">
        <v>234</v>
      </c>
      <c r="T124" s="83"/>
    </row>
    <row r="125" spans="1:20" ht="15.75" customHeight="1" x14ac:dyDescent="0.3">
      <c r="A125" s="104"/>
      <c r="B125" s="104"/>
      <c r="C125" s="130">
        <f t="shared" ca="1" si="7"/>
        <v>105</v>
      </c>
      <c r="D125" s="181" t="s">
        <v>795</v>
      </c>
      <c r="E125" s="306" t="s">
        <v>200</v>
      </c>
      <c r="F125" s="158" t="s">
        <v>207</v>
      </c>
      <c r="G125" s="152" t="s">
        <v>796</v>
      </c>
      <c r="H125" s="153" t="s">
        <v>207</v>
      </c>
      <c r="I125" s="164" t="s">
        <v>797</v>
      </c>
      <c r="J125" s="75" t="s">
        <v>15</v>
      </c>
      <c r="K125" s="407">
        <v>46063</v>
      </c>
      <c r="L125" s="40" t="s">
        <v>4</v>
      </c>
      <c r="M125" s="40" t="s">
        <v>208</v>
      </c>
      <c r="N125" s="40"/>
      <c r="O125" s="349" t="s">
        <v>798</v>
      </c>
      <c r="P125" s="75" t="s">
        <v>15</v>
      </c>
      <c r="Q125" s="117" t="s">
        <v>211</v>
      </c>
      <c r="R125" s="407"/>
      <c r="S125" s="40" t="s">
        <v>234</v>
      </c>
      <c r="T125" s="129" t="s">
        <v>799</v>
      </c>
    </row>
    <row r="126" spans="1:20" ht="15.75" customHeight="1" x14ac:dyDescent="0.3">
      <c r="A126" s="104"/>
      <c r="B126" s="104"/>
      <c r="C126" s="130">
        <f t="shared" ca="1" si="7"/>
        <v>106</v>
      </c>
      <c r="D126" s="181" t="s">
        <v>795</v>
      </c>
      <c r="E126" s="306" t="s">
        <v>200</v>
      </c>
      <c r="F126" s="158" t="s">
        <v>207</v>
      </c>
      <c r="G126" s="152" t="s">
        <v>800</v>
      </c>
      <c r="H126" s="153" t="s">
        <v>207</v>
      </c>
      <c r="I126" s="164" t="s">
        <v>801</v>
      </c>
      <c r="J126" s="75" t="s">
        <v>15</v>
      </c>
      <c r="K126" s="407">
        <v>46063</v>
      </c>
      <c r="L126" s="40" t="s">
        <v>4</v>
      </c>
      <c r="M126" s="40" t="s">
        <v>208</v>
      </c>
      <c r="N126" s="40"/>
      <c r="O126" s="349" t="s">
        <v>802</v>
      </c>
      <c r="P126" s="75" t="s">
        <v>15</v>
      </c>
      <c r="Q126" s="117"/>
      <c r="R126" s="407"/>
      <c r="S126" s="40" t="s">
        <v>234</v>
      </c>
      <c r="T126" s="83"/>
    </row>
    <row r="127" spans="1:20" ht="15.75" customHeight="1" x14ac:dyDescent="0.3">
      <c r="A127" s="104"/>
      <c r="B127" s="104"/>
      <c r="C127" s="130">
        <f t="shared" ca="1" si="7"/>
        <v>107</v>
      </c>
      <c r="D127" s="181" t="s">
        <v>803</v>
      </c>
      <c r="E127" s="306" t="s">
        <v>200</v>
      </c>
      <c r="F127" s="158" t="s">
        <v>207</v>
      </c>
      <c r="G127" s="152" t="s">
        <v>796</v>
      </c>
      <c r="H127" s="153" t="s">
        <v>207</v>
      </c>
      <c r="I127" s="164" t="s">
        <v>804</v>
      </c>
      <c r="J127" s="75" t="s">
        <v>15</v>
      </c>
      <c r="K127" s="407">
        <v>46063</v>
      </c>
      <c r="L127" s="40" t="s">
        <v>4</v>
      </c>
      <c r="M127" s="40" t="s">
        <v>208</v>
      </c>
      <c r="N127" s="40"/>
      <c r="O127" s="349" t="s">
        <v>805</v>
      </c>
      <c r="P127" s="75" t="s">
        <v>15</v>
      </c>
      <c r="Q127" s="117"/>
      <c r="R127" s="407"/>
      <c r="S127" s="40" t="s">
        <v>234</v>
      </c>
      <c r="T127" s="129"/>
    </row>
    <row r="128" spans="1:20" ht="15.75" customHeight="1" x14ac:dyDescent="0.3">
      <c r="A128" s="104"/>
      <c r="B128" s="104"/>
      <c r="C128" s="130">
        <f t="shared" ca="1" si="7"/>
        <v>108</v>
      </c>
      <c r="D128" s="449"/>
      <c r="E128" s="306" t="s">
        <v>200</v>
      </c>
      <c r="F128" s="469"/>
      <c r="G128" s="152" t="s">
        <v>800</v>
      </c>
      <c r="H128" s="153" t="s">
        <v>207</v>
      </c>
      <c r="I128" s="164" t="s">
        <v>806</v>
      </c>
      <c r="J128" s="75" t="s">
        <v>15</v>
      </c>
      <c r="K128" s="407">
        <v>46063</v>
      </c>
      <c r="L128" s="40" t="s">
        <v>4</v>
      </c>
      <c r="M128" s="40" t="s">
        <v>208</v>
      </c>
      <c r="N128" s="40"/>
      <c r="O128" s="349" t="s">
        <v>807</v>
      </c>
      <c r="P128" s="75" t="s">
        <v>15</v>
      </c>
      <c r="Q128" s="117"/>
      <c r="R128" s="407"/>
      <c r="S128" s="40" t="s">
        <v>234</v>
      </c>
      <c r="T128" s="129"/>
    </row>
    <row r="129" spans="1:20" ht="38.25" customHeight="1" x14ac:dyDescent="0.3">
      <c r="A129" s="104"/>
      <c r="B129" s="104"/>
      <c r="C129" s="130"/>
      <c r="D129" s="659" t="s">
        <v>808</v>
      </c>
      <c r="E129" s="602"/>
      <c r="F129" s="602"/>
      <c r="G129" s="602"/>
      <c r="H129" s="602"/>
      <c r="I129" s="602"/>
      <c r="J129" s="602"/>
      <c r="K129" s="602"/>
      <c r="L129" s="602"/>
      <c r="M129" s="602"/>
      <c r="N129" s="602"/>
      <c r="O129" s="602"/>
      <c r="P129" s="602"/>
      <c r="Q129" s="602"/>
      <c r="R129" s="602"/>
      <c r="S129" s="602"/>
      <c r="T129" s="602"/>
    </row>
    <row r="130" spans="1:20" ht="88.5" customHeight="1" x14ac:dyDescent="0.3">
      <c r="A130" s="104"/>
      <c r="B130" s="104"/>
      <c r="C130" s="130">
        <f t="shared" ref="C130:C154" ca="1" si="8">1+COUNT(INDIRECT("A1:"&amp;(ADDRESS(ROW()-1,COLUMN()))))</f>
        <v>109</v>
      </c>
      <c r="D130" s="181" t="s">
        <v>278</v>
      </c>
      <c r="E130" s="333" t="s">
        <v>198</v>
      </c>
      <c r="F130" s="152" t="s">
        <v>226</v>
      </c>
      <c r="G130" s="163"/>
      <c r="H130" s="152" t="s">
        <v>219</v>
      </c>
      <c r="I130" s="156" t="s">
        <v>809</v>
      </c>
      <c r="J130" s="75" t="s">
        <v>15</v>
      </c>
      <c r="K130" s="407">
        <v>46063</v>
      </c>
      <c r="L130" s="40" t="s">
        <v>4</v>
      </c>
      <c r="M130" s="40"/>
      <c r="N130" s="40" t="s">
        <v>208</v>
      </c>
      <c r="O130" s="356"/>
      <c r="P130" s="75" t="s">
        <v>15</v>
      </c>
      <c r="Q130" s="117"/>
      <c r="R130" s="407"/>
      <c r="S130" s="40" t="s">
        <v>234</v>
      </c>
      <c r="T130" s="129"/>
    </row>
    <row r="131" spans="1:20" ht="59.25" customHeight="1" x14ac:dyDescent="0.3">
      <c r="A131" s="104"/>
      <c r="B131" s="104"/>
      <c r="C131" s="130">
        <f t="shared" ca="1" si="8"/>
        <v>110</v>
      </c>
      <c r="D131" s="181" t="s">
        <v>291</v>
      </c>
      <c r="E131" s="306" t="s">
        <v>198</v>
      </c>
      <c r="F131" s="152" t="s">
        <v>226</v>
      </c>
      <c r="G131" s="163"/>
      <c r="H131" s="152" t="s">
        <v>219</v>
      </c>
      <c r="I131" s="156" t="s">
        <v>810</v>
      </c>
      <c r="J131" s="75" t="s">
        <v>15</v>
      </c>
      <c r="K131" s="407">
        <v>46063</v>
      </c>
      <c r="L131" s="40" t="s">
        <v>4</v>
      </c>
      <c r="M131" s="40"/>
      <c r="N131" s="40" t="s">
        <v>208</v>
      </c>
      <c r="O131" s="356"/>
      <c r="P131" s="75" t="s">
        <v>15</v>
      </c>
      <c r="Q131" s="117"/>
      <c r="R131" s="407"/>
      <c r="S131" s="40" t="s">
        <v>234</v>
      </c>
      <c r="T131" s="129"/>
    </row>
    <row r="132" spans="1:20" ht="15.75" customHeight="1" x14ac:dyDescent="0.3">
      <c r="A132" s="104"/>
      <c r="B132" s="104"/>
      <c r="C132" s="130">
        <f t="shared" ca="1" si="8"/>
        <v>111</v>
      </c>
      <c r="D132" s="181" t="s">
        <v>811</v>
      </c>
      <c r="E132" s="306" t="s">
        <v>200</v>
      </c>
      <c r="F132" s="158" t="s">
        <v>207</v>
      </c>
      <c r="G132" s="163"/>
      <c r="H132" s="153" t="s">
        <v>207</v>
      </c>
      <c r="I132" s="164" t="s">
        <v>812</v>
      </c>
      <c r="J132" s="75" t="s">
        <v>15</v>
      </c>
      <c r="K132" s="407">
        <v>46063</v>
      </c>
      <c r="L132" s="40" t="s">
        <v>4</v>
      </c>
      <c r="M132" s="40" t="s">
        <v>208</v>
      </c>
      <c r="N132" s="40"/>
      <c r="O132" s="349" t="s">
        <v>813</v>
      </c>
      <c r="P132" s="75" t="s">
        <v>15</v>
      </c>
      <c r="Q132" s="117"/>
      <c r="R132" s="407"/>
      <c r="S132" s="40" t="s">
        <v>234</v>
      </c>
      <c r="T132" s="83"/>
    </row>
    <row r="133" spans="1:20" ht="165.75" customHeight="1" x14ac:dyDescent="0.3">
      <c r="A133" s="104"/>
      <c r="B133" s="104"/>
      <c r="C133" s="130">
        <f t="shared" ca="1" si="8"/>
        <v>112</v>
      </c>
      <c r="D133" s="181" t="s">
        <v>814</v>
      </c>
      <c r="E133" s="152" t="s">
        <v>758</v>
      </c>
      <c r="F133" s="158"/>
      <c r="G133" s="152" t="s">
        <v>713</v>
      </c>
      <c r="H133" s="152" t="s">
        <v>714</v>
      </c>
      <c r="I133" s="152" t="s">
        <v>815</v>
      </c>
      <c r="J133" s="75" t="s">
        <v>15</v>
      </c>
      <c r="K133" s="407">
        <v>46063</v>
      </c>
      <c r="L133" s="40" t="s">
        <v>4</v>
      </c>
      <c r="M133" s="40" t="s">
        <v>208</v>
      </c>
      <c r="N133" s="40"/>
      <c r="O133" s="349" t="s">
        <v>816</v>
      </c>
      <c r="P133" s="75" t="s">
        <v>15</v>
      </c>
      <c r="Q133" s="117"/>
      <c r="R133" s="407"/>
      <c r="S133" s="40" t="s">
        <v>234</v>
      </c>
      <c r="T133" s="118" t="s">
        <v>817</v>
      </c>
    </row>
    <row r="134" spans="1:20" ht="15.75" customHeight="1" x14ac:dyDescent="0.3">
      <c r="A134" s="104"/>
      <c r="B134" s="104"/>
      <c r="C134" s="130">
        <f t="shared" ca="1" si="8"/>
        <v>113</v>
      </c>
      <c r="D134" s="449"/>
      <c r="E134" s="467"/>
      <c r="F134" s="158"/>
      <c r="G134" s="152" t="s">
        <v>717</v>
      </c>
      <c r="H134" s="152" t="s">
        <v>718</v>
      </c>
      <c r="I134" s="152" t="s">
        <v>818</v>
      </c>
      <c r="J134" s="75" t="s">
        <v>15</v>
      </c>
      <c r="K134" s="407">
        <v>46063</v>
      </c>
      <c r="L134" s="40" t="s">
        <v>4</v>
      </c>
      <c r="M134" s="40" t="s">
        <v>208</v>
      </c>
      <c r="N134" s="40"/>
      <c r="O134" s="349" t="s">
        <v>819</v>
      </c>
      <c r="P134" s="75" t="s">
        <v>15</v>
      </c>
      <c r="Q134" s="117"/>
      <c r="R134" s="407"/>
      <c r="S134" s="40" t="s">
        <v>234</v>
      </c>
      <c r="T134" s="83"/>
    </row>
    <row r="135" spans="1:20" ht="15.75" customHeight="1" x14ac:dyDescent="0.3">
      <c r="A135" s="16"/>
      <c r="B135" s="16"/>
      <c r="C135" s="130">
        <f t="shared" ca="1" si="8"/>
        <v>114</v>
      </c>
      <c r="D135" s="181" t="s">
        <v>292</v>
      </c>
      <c r="E135" s="333" t="s">
        <v>198</v>
      </c>
      <c r="F135" s="152" t="s">
        <v>226</v>
      </c>
      <c r="G135" s="163"/>
      <c r="H135" s="152" t="s">
        <v>219</v>
      </c>
      <c r="I135" s="156" t="s">
        <v>820</v>
      </c>
      <c r="J135" s="75" t="s">
        <v>15</v>
      </c>
      <c r="K135" s="407"/>
      <c r="L135" s="40"/>
      <c r="M135" s="40"/>
      <c r="N135" s="40" t="s">
        <v>208</v>
      </c>
      <c r="O135" s="356"/>
      <c r="P135" s="75" t="s">
        <v>15</v>
      </c>
      <c r="Q135" s="117"/>
      <c r="R135" s="407"/>
      <c r="S135" s="40" t="s">
        <v>234</v>
      </c>
      <c r="T135" s="255"/>
    </row>
    <row r="136" spans="1:20" ht="15.75" customHeight="1" x14ac:dyDescent="0.3">
      <c r="A136" s="16"/>
      <c r="B136" s="16"/>
      <c r="C136" s="130">
        <f t="shared" ca="1" si="8"/>
        <v>115</v>
      </c>
      <c r="D136" s="181" t="s">
        <v>821</v>
      </c>
      <c r="E136" s="306" t="s">
        <v>200</v>
      </c>
      <c r="F136" s="158" t="s">
        <v>207</v>
      </c>
      <c r="G136" s="163"/>
      <c r="H136" s="153" t="s">
        <v>207</v>
      </c>
      <c r="I136" s="164" t="s">
        <v>822</v>
      </c>
      <c r="J136" s="75" t="s">
        <v>15</v>
      </c>
      <c r="K136" s="407">
        <v>46063</v>
      </c>
      <c r="L136" s="40" t="s">
        <v>4</v>
      </c>
      <c r="M136" s="40" t="s">
        <v>208</v>
      </c>
      <c r="N136" s="40"/>
      <c r="O136" s="349" t="s">
        <v>823</v>
      </c>
      <c r="P136" s="75" t="s">
        <v>15</v>
      </c>
      <c r="Q136" s="117"/>
      <c r="R136" s="407"/>
      <c r="S136" s="40" t="s">
        <v>234</v>
      </c>
      <c r="T136" s="255"/>
    </row>
    <row r="137" spans="1:20" ht="15.75" customHeight="1" x14ac:dyDescent="0.3">
      <c r="A137" s="16"/>
      <c r="B137" s="16"/>
      <c r="C137" s="130">
        <f t="shared" ca="1" si="8"/>
        <v>116</v>
      </c>
      <c r="D137" s="181" t="s">
        <v>824</v>
      </c>
      <c r="E137" s="152" t="s">
        <v>758</v>
      </c>
      <c r="F137" s="158"/>
      <c r="G137" s="152" t="s">
        <v>713</v>
      </c>
      <c r="H137" s="152" t="s">
        <v>714</v>
      </c>
      <c r="I137" s="152" t="s">
        <v>825</v>
      </c>
      <c r="J137" s="75" t="s">
        <v>15</v>
      </c>
      <c r="K137" s="407">
        <v>46063</v>
      </c>
      <c r="L137" s="40" t="s">
        <v>4</v>
      </c>
      <c r="M137" s="40" t="s">
        <v>208</v>
      </c>
      <c r="N137" s="40"/>
      <c r="O137" s="349" t="s">
        <v>826</v>
      </c>
      <c r="P137" s="75" t="s">
        <v>15</v>
      </c>
      <c r="Q137" s="117"/>
      <c r="R137" s="407"/>
      <c r="S137" s="40" t="s">
        <v>234</v>
      </c>
      <c r="T137" s="255"/>
    </row>
    <row r="138" spans="1:20" ht="15.75" customHeight="1" x14ac:dyDescent="0.3">
      <c r="A138" s="16"/>
      <c r="B138" s="16"/>
      <c r="C138" s="130">
        <f t="shared" ca="1" si="8"/>
        <v>117</v>
      </c>
      <c r="D138" s="449"/>
      <c r="E138" s="467"/>
      <c r="F138" s="158"/>
      <c r="G138" s="152" t="s">
        <v>717</v>
      </c>
      <c r="H138" s="152" t="s">
        <v>718</v>
      </c>
      <c r="I138" s="152" t="s">
        <v>827</v>
      </c>
      <c r="J138" s="75" t="s">
        <v>15</v>
      </c>
      <c r="K138" s="407">
        <v>46063</v>
      </c>
      <c r="L138" s="40" t="s">
        <v>4</v>
      </c>
      <c r="M138" s="40" t="s">
        <v>208</v>
      </c>
      <c r="N138" s="40"/>
      <c r="O138" s="349" t="s">
        <v>828</v>
      </c>
      <c r="P138" s="75" t="s">
        <v>15</v>
      </c>
      <c r="Q138" s="117"/>
      <c r="R138" s="407"/>
      <c r="S138" s="40" t="s">
        <v>234</v>
      </c>
      <c r="T138" s="255"/>
    </row>
    <row r="139" spans="1:20" ht="15.75" customHeight="1" x14ac:dyDescent="0.3">
      <c r="A139" s="16"/>
      <c r="B139" s="16"/>
      <c r="C139" s="130">
        <f t="shared" ca="1" si="8"/>
        <v>118</v>
      </c>
      <c r="D139" s="181" t="s">
        <v>293</v>
      </c>
      <c r="E139" s="333" t="s">
        <v>198</v>
      </c>
      <c r="F139" s="152" t="s">
        <v>226</v>
      </c>
      <c r="G139" s="163"/>
      <c r="H139" s="152" t="s">
        <v>219</v>
      </c>
      <c r="I139" s="156" t="s">
        <v>829</v>
      </c>
      <c r="J139" s="75" t="s">
        <v>15</v>
      </c>
      <c r="K139" s="407"/>
      <c r="L139" s="40"/>
      <c r="M139" s="40"/>
      <c r="N139" s="40" t="s">
        <v>208</v>
      </c>
      <c r="O139" s="356"/>
      <c r="P139" s="75" t="s">
        <v>15</v>
      </c>
      <c r="Q139" s="117"/>
      <c r="R139" s="407"/>
      <c r="S139" s="40" t="s">
        <v>234</v>
      </c>
      <c r="T139" s="470"/>
    </row>
    <row r="140" spans="1:20" ht="15.75" customHeight="1" x14ac:dyDescent="0.3">
      <c r="A140" s="16"/>
      <c r="B140" s="16"/>
      <c r="C140" s="130">
        <f t="shared" ca="1" si="8"/>
        <v>119</v>
      </c>
      <c r="D140" s="181" t="s">
        <v>830</v>
      </c>
      <c r="E140" s="306" t="s">
        <v>200</v>
      </c>
      <c r="F140" s="158" t="s">
        <v>207</v>
      </c>
      <c r="G140" s="163"/>
      <c r="H140" s="153" t="s">
        <v>207</v>
      </c>
      <c r="I140" s="164" t="s">
        <v>831</v>
      </c>
      <c r="J140" s="75" t="s">
        <v>15</v>
      </c>
      <c r="K140" s="407">
        <v>46063</v>
      </c>
      <c r="L140" s="40" t="s">
        <v>4</v>
      </c>
      <c r="M140" s="40" t="s">
        <v>208</v>
      </c>
      <c r="N140" s="40"/>
      <c r="O140" s="349" t="s">
        <v>832</v>
      </c>
      <c r="P140" s="75" t="s">
        <v>15</v>
      </c>
      <c r="Q140" s="117"/>
      <c r="R140" s="407"/>
      <c r="S140" s="40" t="s">
        <v>234</v>
      </c>
      <c r="T140" s="335"/>
    </row>
    <row r="141" spans="1:20" ht="15.75" customHeight="1" x14ac:dyDescent="0.3">
      <c r="A141" s="16"/>
      <c r="B141" s="16"/>
      <c r="C141" s="130">
        <f t="shared" ca="1" si="8"/>
        <v>120</v>
      </c>
      <c r="D141" s="181" t="s">
        <v>833</v>
      </c>
      <c r="E141" s="152" t="s">
        <v>758</v>
      </c>
      <c r="F141" s="171"/>
      <c r="G141" s="152" t="s">
        <v>713</v>
      </c>
      <c r="H141" s="152" t="s">
        <v>714</v>
      </c>
      <c r="I141" s="152" t="s">
        <v>834</v>
      </c>
      <c r="J141" s="75" t="s">
        <v>15</v>
      </c>
      <c r="K141" s="407">
        <v>46063</v>
      </c>
      <c r="L141" s="40" t="s">
        <v>4</v>
      </c>
      <c r="M141" s="40" t="s">
        <v>208</v>
      </c>
      <c r="N141" s="40"/>
      <c r="O141" s="349" t="s">
        <v>835</v>
      </c>
      <c r="P141" s="75" t="s">
        <v>15</v>
      </c>
      <c r="Q141" s="117"/>
      <c r="R141" s="407"/>
      <c r="S141" s="40" t="s">
        <v>234</v>
      </c>
      <c r="T141" s="335"/>
    </row>
    <row r="142" spans="1:20" ht="15.75" customHeight="1" x14ac:dyDescent="0.3">
      <c r="A142" s="16"/>
      <c r="B142" s="16"/>
      <c r="C142" s="130">
        <f t="shared" ca="1" si="8"/>
        <v>121</v>
      </c>
      <c r="D142" s="449"/>
      <c r="E142" s="214"/>
      <c r="F142" s="171"/>
      <c r="G142" s="152" t="s">
        <v>717</v>
      </c>
      <c r="H142" s="152" t="s">
        <v>718</v>
      </c>
      <c r="I142" s="152" t="s">
        <v>836</v>
      </c>
      <c r="J142" s="75" t="s">
        <v>15</v>
      </c>
      <c r="K142" s="407">
        <v>46063</v>
      </c>
      <c r="L142" s="40" t="s">
        <v>4</v>
      </c>
      <c r="M142" s="40" t="s">
        <v>208</v>
      </c>
      <c r="N142" s="40"/>
      <c r="O142" s="349" t="s">
        <v>837</v>
      </c>
      <c r="P142" s="75" t="s">
        <v>15</v>
      </c>
      <c r="Q142" s="117"/>
      <c r="R142" s="407"/>
      <c r="S142" s="40" t="s">
        <v>234</v>
      </c>
      <c r="T142" s="335"/>
    </row>
    <row r="143" spans="1:20" ht="15.75" customHeight="1" x14ac:dyDescent="0.3">
      <c r="A143" s="16"/>
      <c r="B143" s="16"/>
      <c r="C143" s="130">
        <f t="shared" ca="1" si="8"/>
        <v>122</v>
      </c>
      <c r="D143" s="181" t="s">
        <v>296</v>
      </c>
      <c r="E143" s="333" t="s">
        <v>198</v>
      </c>
      <c r="F143" s="152" t="s">
        <v>226</v>
      </c>
      <c r="G143" s="163"/>
      <c r="H143" s="152" t="s">
        <v>219</v>
      </c>
      <c r="I143" s="156" t="s">
        <v>838</v>
      </c>
      <c r="J143" s="75" t="s">
        <v>15</v>
      </c>
      <c r="K143" s="407">
        <v>46063</v>
      </c>
      <c r="L143" s="40" t="s">
        <v>4</v>
      </c>
      <c r="M143" s="40"/>
      <c r="N143" s="40" t="s">
        <v>208</v>
      </c>
      <c r="O143" s="356"/>
      <c r="P143" s="75" t="s">
        <v>15</v>
      </c>
      <c r="Q143" s="117"/>
      <c r="R143" s="407"/>
      <c r="S143" s="40" t="s">
        <v>234</v>
      </c>
      <c r="T143" s="255"/>
    </row>
    <row r="144" spans="1:20" ht="15.75" customHeight="1" x14ac:dyDescent="0.3">
      <c r="A144" s="16"/>
      <c r="B144" s="16"/>
      <c r="C144" s="130">
        <f t="shared" ca="1" si="8"/>
        <v>123</v>
      </c>
      <c r="D144" s="124" t="s">
        <v>839</v>
      </c>
      <c r="E144" s="306" t="s">
        <v>200</v>
      </c>
      <c r="F144" s="153" t="s">
        <v>207</v>
      </c>
      <c r="G144" s="163"/>
      <c r="H144" s="153" t="s">
        <v>207</v>
      </c>
      <c r="I144" s="152" t="s">
        <v>840</v>
      </c>
      <c r="J144" s="75" t="s">
        <v>15</v>
      </c>
      <c r="K144" s="407">
        <v>46063</v>
      </c>
      <c r="L144" s="40" t="s">
        <v>4</v>
      </c>
      <c r="M144" s="40" t="s">
        <v>208</v>
      </c>
      <c r="N144" s="40"/>
      <c r="O144" s="349" t="s">
        <v>841</v>
      </c>
      <c r="P144" s="75" t="s">
        <v>15</v>
      </c>
      <c r="Q144" s="117"/>
      <c r="R144" s="407"/>
      <c r="S144" s="40" t="s">
        <v>234</v>
      </c>
      <c r="T144" s="254"/>
    </row>
    <row r="145" spans="1:20" ht="15.75" customHeight="1" x14ac:dyDescent="0.3">
      <c r="A145" s="16"/>
      <c r="B145" s="16"/>
      <c r="C145" s="130">
        <f t="shared" ca="1" si="8"/>
        <v>124</v>
      </c>
      <c r="D145" s="124" t="s">
        <v>842</v>
      </c>
      <c r="E145" s="152" t="s">
        <v>758</v>
      </c>
      <c r="F145" s="171"/>
      <c r="G145" s="152" t="s">
        <v>713</v>
      </c>
      <c r="H145" s="152" t="s">
        <v>714</v>
      </c>
      <c r="I145" s="152" t="s">
        <v>843</v>
      </c>
      <c r="J145" s="75" t="s">
        <v>15</v>
      </c>
      <c r="K145" s="407">
        <v>46063</v>
      </c>
      <c r="L145" s="40" t="s">
        <v>4</v>
      </c>
      <c r="M145" s="40" t="s">
        <v>208</v>
      </c>
      <c r="N145" s="40"/>
      <c r="O145" s="349" t="s">
        <v>844</v>
      </c>
      <c r="P145" s="75" t="s">
        <v>15</v>
      </c>
      <c r="Q145" s="117"/>
      <c r="R145" s="407"/>
      <c r="S145" s="40" t="s">
        <v>234</v>
      </c>
      <c r="T145" s="254"/>
    </row>
    <row r="146" spans="1:20" ht="15.75" customHeight="1" x14ac:dyDescent="0.3">
      <c r="A146" s="16"/>
      <c r="B146" s="16"/>
      <c r="C146" s="130">
        <f t="shared" ca="1" si="8"/>
        <v>125</v>
      </c>
      <c r="D146" s="449"/>
      <c r="E146" s="214"/>
      <c r="F146" s="171"/>
      <c r="G146" s="152" t="s">
        <v>717</v>
      </c>
      <c r="H146" s="152" t="s">
        <v>718</v>
      </c>
      <c r="I146" s="152" t="s">
        <v>845</v>
      </c>
      <c r="J146" s="75" t="s">
        <v>15</v>
      </c>
      <c r="K146" s="407">
        <v>46063</v>
      </c>
      <c r="L146" s="40" t="s">
        <v>4</v>
      </c>
      <c r="M146" s="40" t="s">
        <v>208</v>
      </c>
      <c r="N146" s="40"/>
      <c r="O146" s="349" t="s">
        <v>846</v>
      </c>
      <c r="P146" s="75" t="s">
        <v>15</v>
      </c>
      <c r="Q146" s="117"/>
      <c r="R146" s="407"/>
      <c r="S146" s="40" t="s">
        <v>234</v>
      </c>
      <c r="T146" s="254"/>
    </row>
    <row r="147" spans="1:20" ht="15.75" customHeight="1" x14ac:dyDescent="0.3">
      <c r="A147" s="16"/>
      <c r="B147" s="16"/>
      <c r="C147" s="130">
        <f t="shared" ca="1" si="8"/>
        <v>126</v>
      </c>
      <c r="D147" s="181" t="s">
        <v>297</v>
      </c>
      <c r="E147" s="333" t="s">
        <v>198</v>
      </c>
      <c r="F147" s="152" t="s">
        <v>226</v>
      </c>
      <c r="G147" s="163"/>
      <c r="H147" s="152" t="s">
        <v>219</v>
      </c>
      <c r="I147" s="156" t="s">
        <v>847</v>
      </c>
      <c r="J147" s="75" t="s">
        <v>15</v>
      </c>
      <c r="K147" s="407">
        <v>46063</v>
      </c>
      <c r="L147" s="40" t="s">
        <v>4</v>
      </c>
      <c r="M147" s="40"/>
      <c r="N147" s="40" t="s">
        <v>208</v>
      </c>
      <c r="O147" s="356"/>
      <c r="P147" s="75" t="s">
        <v>15</v>
      </c>
      <c r="Q147" s="117"/>
      <c r="R147" s="407"/>
      <c r="S147" s="40" t="s">
        <v>234</v>
      </c>
      <c r="T147" s="254"/>
    </row>
    <row r="148" spans="1:20" ht="15.75" customHeight="1" x14ac:dyDescent="0.3">
      <c r="A148" s="16"/>
      <c r="B148" s="16"/>
      <c r="C148" s="130">
        <f t="shared" ca="1" si="8"/>
        <v>127</v>
      </c>
      <c r="D148" s="181" t="s">
        <v>848</v>
      </c>
      <c r="E148" s="306" t="s">
        <v>200</v>
      </c>
      <c r="F148" s="158" t="s">
        <v>207</v>
      </c>
      <c r="G148" s="163"/>
      <c r="H148" s="153" t="s">
        <v>207</v>
      </c>
      <c r="I148" s="164" t="s">
        <v>849</v>
      </c>
      <c r="J148" s="75" t="s">
        <v>15</v>
      </c>
      <c r="K148" s="407">
        <v>46063</v>
      </c>
      <c r="L148" s="40" t="s">
        <v>4</v>
      </c>
      <c r="M148" s="40" t="s">
        <v>208</v>
      </c>
      <c r="N148" s="40"/>
      <c r="O148" s="349" t="s">
        <v>850</v>
      </c>
      <c r="P148" s="75" t="s">
        <v>15</v>
      </c>
      <c r="Q148" s="117"/>
      <c r="R148" s="407"/>
      <c r="S148" s="40" t="s">
        <v>234</v>
      </c>
      <c r="T148" s="255"/>
    </row>
    <row r="149" spans="1:20" ht="15.75" customHeight="1" x14ac:dyDescent="0.3">
      <c r="A149" s="16"/>
      <c r="B149" s="16"/>
      <c r="C149" s="130">
        <f t="shared" ca="1" si="8"/>
        <v>128</v>
      </c>
      <c r="D149" s="181" t="s">
        <v>851</v>
      </c>
      <c r="E149" s="152" t="s">
        <v>758</v>
      </c>
      <c r="F149" s="171"/>
      <c r="G149" s="152" t="s">
        <v>713</v>
      </c>
      <c r="H149" s="152" t="s">
        <v>714</v>
      </c>
      <c r="I149" s="152" t="s">
        <v>852</v>
      </c>
      <c r="J149" s="75" t="s">
        <v>15</v>
      </c>
      <c r="K149" s="407">
        <v>46063</v>
      </c>
      <c r="L149" s="40" t="s">
        <v>4</v>
      </c>
      <c r="M149" s="40" t="s">
        <v>208</v>
      </c>
      <c r="N149" s="40"/>
      <c r="O149" s="349" t="s">
        <v>853</v>
      </c>
      <c r="P149" s="75" t="s">
        <v>15</v>
      </c>
      <c r="Q149" s="117"/>
      <c r="R149" s="407"/>
      <c r="S149" s="40" t="s">
        <v>234</v>
      </c>
      <c r="T149" s="255"/>
    </row>
    <row r="150" spans="1:20" ht="15.75" customHeight="1" x14ac:dyDescent="0.3">
      <c r="A150" s="16"/>
      <c r="B150" s="16"/>
      <c r="C150" s="130">
        <f t="shared" ca="1" si="8"/>
        <v>129</v>
      </c>
      <c r="D150" s="449"/>
      <c r="E150" s="214"/>
      <c r="F150" s="171"/>
      <c r="G150" s="152" t="s">
        <v>717</v>
      </c>
      <c r="H150" s="152" t="s">
        <v>718</v>
      </c>
      <c r="I150" s="152" t="s">
        <v>854</v>
      </c>
      <c r="J150" s="75" t="s">
        <v>15</v>
      </c>
      <c r="K150" s="407">
        <v>46063</v>
      </c>
      <c r="L150" s="40" t="s">
        <v>4</v>
      </c>
      <c r="M150" s="40" t="s">
        <v>208</v>
      </c>
      <c r="N150" s="40"/>
      <c r="O150" s="349" t="s">
        <v>855</v>
      </c>
      <c r="P150" s="75" t="s">
        <v>15</v>
      </c>
      <c r="Q150" s="117"/>
      <c r="R150" s="407"/>
      <c r="S150" s="40" t="s">
        <v>234</v>
      </c>
      <c r="T150" s="255"/>
    </row>
    <row r="151" spans="1:20" ht="15.75" customHeight="1" x14ac:dyDescent="0.3">
      <c r="A151" s="16"/>
      <c r="B151" s="16"/>
      <c r="C151" s="130">
        <f t="shared" ca="1" si="8"/>
        <v>130</v>
      </c>
      <c r="D151" s="181" t="s">
        <v>298</v>
      </c>
      <c r="E151" s="333" t="s">
        <v>198</v>
      </c>
      <c r="F151" s="152" t="s">
        <v>226</v>
      </c>
      <c r="G151" s="163"/>
      <c r="H151" s="152" t="s">
        <v>219</v>
      </c>
      <c r="I151" s="156" t="s">
        <v>856</v>
      </c>
      <c r="J151" s="75" t="s">
        <v>15</v>
      </c>
      <c r="K151" s="407">
        <v>46063</v>
      </c>
      <c r="L151" s="40" t="s">
        <v>4</v>
      </c>
      <c r="M151" s="40"/>
      <c r="N151" s="40" t="s">
        <v>208</v>
      </c>
      <c r="O151" s="356"/>
      <c r="P151" s="75" t="s">
        <v>15</v>
      </c>
      <c r="Q151" s="117"/>
      <c r="R151" s="407"/>
      <c r="S151" s="40" t="s">
        <v>234</v>
      </c>
      <c r="T151" s="335"/>
    </row>
    <row r="152" spans="1:20" ht="15.75" customHeight="1" x14ac:dyDescent="0.3">
      <c r="A152" s="16"/>
      <c r="B152" s="16"/>
      <c r="C152" s="130">
        <f t="shared" ca="1" si="8"/>
        <v>131</v>
      </c>
      <c r="D152" s="181" t="s">
        <v>857</v>
      </c>
      <c r="E152" s="306" t="s">
        <v>200</v>
      </c>
      <c r="F152" s="158" t="s">
        <v>207</v>
      </c>
      <c r="G152" s="163"/>
      <c r="H152" s="153" t="s">
        <v>207</v>
      </c>
      <c r="I152" s="164" t="s">
        <v>858</v>
      </c>
      <c r="J152" s="75" t="s">
        <v>15</v>
      </c>
      <c r="K152" s="407">
        <v>46063</v>
      </c>
      <c r="L152" s="40" t="s">
        <v>4</v>
      </c>
      <c r="M152" s="40" t="s">
        <v>208</v>
      </c>
      <c r="N152" s="40"/>
      <c r="O152" s="349" t="s">
        <v>859</v>
      </c>
      <c r="P152" s="75" t="s">
        <v>15</v>
      </c>
      <c r="Q152" s="222"/>
      <c r="R152" s="407"/>
      <c r="S152" s="40" t="s">
        <v>234</v>
      </c>
      <c r="T152" s="255"/>
    </row>
    <row r="153" spans="1:20" ht="15.75" customHeight="1" x14ac:dyDescent="0.3">
      <c r="A153" s="16"/>
      <c r="B153" s="16"/>
      <c r="C153" s="130">
        <f t="shared" ca="1" si="8"/>
        <v>132</v>
      </c>
      <c r="D153" s="181" t="s">
        <v>860</v>
      </c>
      <c r="E153" s="152" t="s">
        <v>758</v>
      </c>
      <c r="F153" s="171"/>
      <c r="G153" s="152" t="s">
        <v>713</v>
      </c>
      <c r="H153" s="152" t="s">
        <v>714</v>
      </c>
      <c r="I153" s="152" t="s">
        <v>861</v>
      </c>
      <c r="J153" s="75" t="s">
        <v>15</v>
      </c>
      <c r="K153" s="407">
        <v>46063</v>
      </c>
      <c r="L153" s="40" t="s">
        <v>4</v>
      </c>
      <c r="M153" s="40" t="s">
        <v>208</v>
      </c>
      <c r="N153" s="40"/>
      <c r="O153" s="349" t="s">
        <v>862</v>
      </c>
      <c r="P153" s="75" t="s">
        <v>15</v>
      </c>
      <c r="Q153" s="222"/>
      <c r="R153" s="407"/>
      <c r="S153" s="40" t="s">
        <v>234</v>
      </c>
      <c r="T153" s="255"/>
    </row>
    <row r="154" spans="1:20" ht="15.75" customHeight="1" x14ac:dyDescent="0.3">
      <c r="A154" s="16"/>
      <c r="B154" s="16"/>
      <c r="C154" s="130">
        <f t="shared" ca="1" si="8"/>
        <v>133</v>
      </c>
      <c r="D154" s="401"/>
      <c r="E154" s="214"/>
      <c r="F154" s="171"/>
      <c r="G154" s="152" t="s">
        <v>717</v>
      </c>
      <c r="H154" s="152" t="s">
        <v>718</v>
      </c>
      <c r="I154" s="152" t="s">
        <v>863</v>
      </c>
      <c r="J154" s="75" t="s">
        <v>15</v>
      </c>
      <c r="K154" s="407">
        <v>46063</v>
      </c>
      <c r="L154" s="40" t="s">
        <v>4</v>
      </c>
      <c r="M154" s="40" t="s">
        <v>208</v>
      </c>
      <c r="N154" s="40"/>
      <c r="O154" s="349" t="s">
        <v>864</v>
      </c>
      <c r="P154" s="75" t="s">
        <v>15</v>
      </c>
      <c r="Q154" s="222"/>
      <c r="R154" s="407"/>
      <c r="S154" s="40" t="s">
        <v>234</v>
      </c>
      <c r="T154" s="255"/>
    </row>
    <row r="155" spans="1:20" ht="15.75" customHeight="1" x14ac:dyDescent="0.3">
      <c r="A155" s="16"/>
      <c r="B155" s="16"/>
      <c r="C155" s="666" t="s">
        <v>865</v>
      </c>
      <c r="D155" s="602"/>
      <c r="E155" s="602"/>
      <c r="F155" s="602"/>
      <c r="G155" s="602"/>
      <c r="H155" s="602"/>
      <c r="I155" s="602"/>
      <c r="J155" s="602"/>
      <c r="K155" s="602"/>
      <c r="L155" s="602"/>
      <c r="M155" s="602"/>
      <c r="N155" s="602"/>
      <c r="O155" s="602"/>
      <c r="P155" s="602"/>
      <c r="Q155" s="602"/>
      <c r="R155" s="602"/>
      <c r="S155" s="602"/>
      <c r="T155" s="602"/>
    </row>
    <row r="156" spans="1:20" ht="15.75" customHeight="1" x14ac:dyDescent="0.3">
      <c r="A156" s="16"/>
      <c r="B156" s="16"/>
      <c r="C156" s="130">
        <f t="shared" ref="C156:C176" ca="1" si="9">1+COUNT(INDIRECT("A1:"&amp;(ADDRESS(ROW()-1,COLUMN()))))</f>
        <v>134</v>
      </c>
      <c r="D156" s="124" t="s">
        <v>866</v>
      </c>
      <c r="E156" s="199" t="s">
        <v>200</v>
      </c>
      <c r="F156" s="154"/>
      <c r="G156" s="154"/>
      <c r="H156" s="238" t="s">
        <v>867</v>
      </c>
      <c r="I156" s="128" t="s">
        <v>868</v>
      </c>
      <c r="J156" s="75" t="s">
        <v>15</v>
      </c>
      <c r="K156" s="407">
        <v>46063</v>
      </c>
      <c r="L156" s="40" t="s">
        <v>4</v>
      </c>
      <c r="M156" s="40"/>
      <c r="N156" s="40" t="s">
        <v>208</v>
      </c>
      <c r="O156" s="349" t="s">
        <v>869</v>
      </c>
      <c r="P156" s="75" t="s">
        <v>15</v>
      </c>
      <c r="Q156" s="222"/>
      <c r="R156" s="407"/>
      <c r="S156" s="40"/>
      <c r="T156" s="255"/>
    </row>
    <row r="157" spans="1:20" ht="15.75" customHeight="1" x14ac:dyDescent="0.3">
      <c r="A157" s="16"/>
      <c r="B157" s="16"/>
      <c r="C157" s="130">
        <f t="shared" ca="1" si="9"/>
        <v>135</v>
      </c>
      <c r="D157" s="181" t="s">
        <v>195</v>
      </c>
      <c r="E157" s="199" t="s">
        <v>196</v>
      </c>
      <c r="F157" s="154" t="s">
        <v>215</v>
      </c>
      <c r="G157" s="162"/>
      <c r="H157" s="133" t="s">
        <v>231</v>
      </c>
      <c r="I157" s="125" t="s">
        <v>870</v>
      </c>
      <c r="J157" s="75" t="s">
        <v>15</v>
      </c>
      <c r="K157" s="407">
        <v>46063</v>
      </c>
      <c r="L157" s="40" t="s">
        <v>4</v>
      </c>
      <c r="M157" s="40"/>
      <c r="N157" s="40" t="s">
        <v>208</v>
      </c>
      <c r="O157" s="349" t="s">
        <v>871</v>
      </c>
      <c r="P157" s="75" t="s">
        <v>15</v>
      </c>
      <c r="Q157" s="222"/>
      <c r="R157" s="407"/>
      <c r="S157" s="40"/>
      <c r="T157" s="255"/>
    </row>
    <row r="158" spans="1:20" ht="15.75" customHeight="1" x14ac:dyDescent="0.3">
      <c r="A158" s="16"/>
      <c r="B158" s="16"/>
      <c r="C158" s="130">
        <f t="shared" ca="1" si="9"/>
        <v>136</v>
      </c>
      <c r="D158" s="124" t="s">
        <v>615</v>
      </c>
      <c r="E158" s="306" t="s">
        <v>198</v>
      </c>
      <c r="F158" s="153" t="s">
        <v>207</v>
      </c>
      <c r="G158" s="152" t="s">
        <v>872</v>
      </c>
      <c r="H158" s="152" t="s">
        <v>873</v>
      </c>
      <c r="I158" s="152" t="s">
        <v>874</v>
      </c>
      <c r="J158" s="75" t="s">
        <v>15</v>
      </c>
      <c r="K158" s="407">
        <v>46063</v>
      </c>
      <c r="L158" s="40" t="s">
        <v>4</v>
      </c>
      <c r="M158" s="40" t="s">
        <v>208</v>
      </c>
      <c r="N158" s="40"/>
      <c r="O158" s="349" t="s">
        <v>875</v>
      </c>
      <c r="P158" s="75" t="s">
        <v>15</v>
      </c>
      <c r="Q158" s="222"/>
      <c r="R158" s="407"/>
      <c r="S158" s="40"/>
      <c r="T158" s="254"/>
    </row>
    <row r="159" spans="1:20" ht="144" customHeight="1" x14ac:dyDescent="0.3">
      <c r="A159" s="16"/>
      <c r="B159" s="16"/>
      <c r="C159" s="130">
        <f t="shared" ca="1" si="9"/>
        <v>137</v>
      </c>
      <c r="D159" s="124" t="s">
        <v>615</v>
      </c>
      <c r="E159" s="306" t="s">
        <v>198</v>
      </c>
      <c r="F159" s="153" t="s">
        <v>207</v>
      </c>
      <c r="G159" s="152" t="s">
        <v>876</v>
      </c>
      <c r="H159" s="152" t="s">
        <v>197</v>
      </c>
      <c r="I159" s="152" t="s">
        <v>877</v>
      </c>
      <c r="J159" s="75" t="s">
        <v>15</v>
      </c>
      <c r="K159" s="407">
        <v>46063</v>
      </c>
      <c r="L159" s="40" t="s">
        <v>4</v>
      </c>
      <c r="M159" s="40" t="s">
        <v>208</v>
      </c>
      <c r="N159" s="40"/>
      <c r="O159" s="349" t="s">
        <v>878</v>
      </c>
      <c r="P159" s="75" t="s">
        <v>15</v>
      </c>
      <c r="Q159" s="222"/>
      <c r="R159" s="407"/>
      <c r="S159" s="40"/>
      <c r="T159" s="335"/>
    </row>
    <row r="160" spans="1:20" ht="15.75" customHeight="1" x14ac:dyDescent="0.3">
      <c r="A160" s="16"/>
      <c r="B160" s="16"/>
      <c r="C160" s="130">
        <f t="shared" ca="1" si="9"/>
        <v>138</v>
      </c>
      <c r="D160" s="124"/>
      <c r="E160" s="431"/>
      <c r="F160" s="154"/>
      <c r="G160" s="168" t="s">
        <v>879</v>
      </c>
      <c r="H160" s="164" t="s">
        <v>880</v>
      </c>
      <c r="I160" s="164" t="s">
        <v>881</v>
      </c>
      <c r="J160" s="75" t="s">
        <v>15</v>
      </c>
      <c r="K160" s="407">
        <v>46063</v>
      </c>
      <c r="L160" s="40" t="s">
        <v>4</v>
      </c>
      <c r="M160" s="40"/>
      <c r="N160" s="40" t="s">
        <v>208</v>
      </c>
      <c r="O160" s="356"/>
      <c r="P160" s="75" t="s">
        <v>15</v>
      </c>
      <c r="Q160" s="222"/>
      <c r="R160" s="407"/>
      <c r="S160" s="40"/>
      <c r="T160" s="255"/>
    </row>
    <row r="161" spans="1:20" ht="15.75" customHeight="1" x14ac:dyDescent="0.3">
      <c r="A161" s="16"/>
      <c r="B161" s="16"/>
      <c r="C161" s="130">
        <f t="shared" ca="1" si="9"/>
        <v>139</v>
      </c>
      <c r="D161" s="124" t="s">
        <v>620</v>
      </c>
      <c r="E161" s="306" t="s">
        <v>198</v>
      </c>
      <c r="F161" s="153" t="s">
        <v>207</v>
      </c>
      <c r="G161" s="155" t="s">
        <v>882</v>
      </c>
      <c r="H161" s="152" t="s">
        <v>197</v>
      </c>
      <c r="I161" s="152" t="s">
        <v>883</v>
      </c>
      <c r="J161" s="75" t="s">
        <v>15</v>
      </c>
      <c r="K161" s="407">
        <v>46063</v>
      </c>
      <c r="L161" s="40" t="s">
        <v>4</v>
      </c>
      <c r="M161" s="40" t="s">
        <v>208</v>
      </c>
      <c r="N161" s="40"/>
      <c r="O161" s="349" t="s">
        <v>884</v>
      </c>
      <c r="P161" s="75" t="s">
        <v>15</v>
      </c>
      <c r="Q161" s="222"/>
      <c r="R161" s="407"/>
      <c r="S161" s="40"/>
      <c r="T161" s="254"/>
    </row>
    <row r="162" spans="1:20" ht="15.75" customHeight="1" x14ac:dyDescent="0.3">
      <c r="A162" s="16"/>
      <c r="B162" s="16"/>
      <c r="C162" s="130">
        <f t="shared" ca="1" si="9"/>
        <v>140</v>
      </c>
      <c r="D162" s="124" t="s">
        <v>620</v>
      </c>
      <c r="E162" s="306" t="s">
        <v>198</v>
      </c>
      <c r="F162" s="153" t="s">
        <v>207</v>
      </c>
      <c r="G162" s="152" t="s">
        <v>885</v>
      </c>
      <c r="H162" s="152" t="s">
        <v>197</v>
      </c>
      <c r="I162" s="152" t="s">
        <v>886</v>
      </c>
      <c r="J162" s="75" t="s">
        <v>15</v>
      </c>
      <c r="K162" s="407">
        <v>46063</v>
      </c>
      <c r="L162" s="40" t="s">
        <v>4</v>
      </c>
      <c r="M162" s="40" t="s">
        <v>208</v>
      </c>
      <c r="N162" s="40"/>
      <c r="O162" s="349" t="s">
        <v>887</v>
      </c>
      <c r="P162" s="75" t="s">
        <v>15</v>
      </c>
      <c r="Q162" s="222"/>
      <c r="R162" s="407"/>
      <c r="S162" s="40"/>
      <c r="T162" s="254"/>
    </row>
    <row r="163" spans="1:20" ht="15.75" customHeight="1" x14ac:dyDescent="0.3">
      <c r="A163" s="16"/>
      <c r="B163" s="16"/>
      <c r="C163" s="130">
        <f t="shared" ca="1" si="9"/>
        <v>141</v>
      </c>
      <c r="D163" s="124"/>
      <c r="E163" s="431"/>
      <c r="F163" s="154"/>
      <c r="G163" s="168" t="s">
        <v>879</v>
      </c>
      <c r="H163" s="164" t="s">
        <v>888</v>
      </c>
      <c r="I163" s="164" t="s">
        <v>889</v>
      </c>
      <c r="J163" s="75" t="s">
        <v>15</v>
      </c>
      <c r="K163" s="407">
        <v>46063</v>
      </c>
      <c r="L163" s="40" t="s">
        <v>4</v>
      </c>
      <c r="M163" s="40"/>
      <c r="N163" s="40" t="s">
        <v>208</v>
      </c>
      <c r="O163" s="356"/>
      <c r="P163" s="75" t="s">
        <v>15</v>
      </c>
      <c r="Q163" s="222" t="s">
        <v>211</v>
      </c>
      <c r="R163" s="407"/>
      <c r="S163" s="40" t="s">
        <v>599</v>
      </c>
      <c r="T163" s="254" t="s">
        <v>890</v>
      </c>
    </row>
    <row r="164" spans="1:20" ht="15.75" customHeight="1" x14ac:dyDescent="0.3">
      <c r="A164" s="16"/>
      <c r="B164" s="16"/>
      <c r="C164" s="130">
        <f t="shared" ca="1" si="9"/>
        <v>142</v>
      </c>
      <c r="D164" s="124" t="s">
        <v>891</v>
      </c>
      <c r="E164" s="306" t="s">
        <v>198</v>
      </c>
      <c r="F164" s="153" t="s">
        <v>207</v>
      </c>
      <c r="G164" s="152" t="s">
        <v>892</v>
      </c>
      <c r="H164" s="152" t="s">
        <v>197</v>
      </c>
      <c r="I164" s="152" t="s">
        <v>893</v>
      </c>
      <c r="J164" s="75" t="s">
        <v>15</v>
      </c>
      <c r="K164" s="407">
        <v>46063</v>
      </c>
      <c r="L164" s="40" t="s">
        <v>4</v>
      </c>
      <c r="M164" s="40" t="s">
        <v>208</v>
      </c>
      <c r="N164" s="40"/>
      <c r="O164" s="349" t="s">
        <v>894</v>
      </c>
      <c r="P164" s="75" t="s">
        <v>15</v>
      </c>
      <c r="Q164" s="222"/>
      <c r="R164" s="407"/>
      <c r="S164" s="40"/>
      <c r="T164" s="255"/>
    </row>
    <row r="165" spans="1:20" ht="15.75" customHeight="1" x14ac:dyDescent="0.3">
      <c r="A165" s="16"/>
      <c r="B165" s="16"/>
      <c r="C165" s="130">
        <f t="shared" ca="1" si="9"/>
        <v>143</v>
      </c>
      <c r="D165" s="124" t="s">
        <v>891</v>
      </c>
      <c r="E165" s="306" t="s">
        <v>198</v>
      </c>
      <c r="F165" s="153" t="s">
        <v>207</v>
      </c>
      <c r="G165" s="152" t="s">
        <v>895</v>
      </c>
      <c r="H165" s="152" t="s">
        <v>197</v>
      </c>
      <c r="I165" s="152" t="s">
        <v>896</v>
      </c>
      <c r="J165" s="75" t="s">
        <v>15</v>
      </c>
      <c r="K165" s="407">
        <v>46063</v>
      </c>
      <c r="L165" s="40" t="s">
        <v>4</v>
      </c>
      <c r="M165" s="40" t="s">
        <v>208</v>
      </c>
      <c r="N165" s="40"/>
      <c r="O165" s="349" t="s">
        <v>897</v>
      </c>
      <c r="P165" s="75" t="s">
        <v>15</v>
      </c>
      <c r="Q165" s="222"/>
      <c r="R165" s="407"/>
      <c r="S165" s="40"/>
      <c r="T165" s="255"/>
    </row>
    <row r="166" spans="1:20" ht="15.75" customHeight="1" x14ac:dyDescent="0.3">
      <c r="A166" s="16"/>
      <c r="B166" s="16"/>
      <c r="C166" s="130">
        <f t="shared" ca="1" si="9"/>
        <v>144</v>
      </c>
      <c r="D166" s="124"/>
      <c r="E166" s="431"/>
      <c r="F166" s="154"/>
      <c r="G166" s="168" t="s">
        <v>879</v>
      </c>
      <c r="H166" s="164" t="s">
        <v>898</v>
      </c>
      <c r="I166" s="164" t="s">
        <v>899</v>
      </c>
      <c r="J166" s="75" t="s">
        <v>15</v>
      </c>
      <c r="K166" s="407">
        <v>46063</v>
      </c>
      <c r="L166" s="40" t="s">
        <v>4</v>
      </c>
      <c r="M166" s="40"/>
      <c r="N166" s="40" t="s">
        <v>208</v>
      </c>
      <c r="O166" s="356"/>
      <c r="P166" s="75" t="s">
        <v>15</v>
      </c>
      <c r="Q166" s="222"/>
      <c r="R166" s="407"/>
      <c r="S166" s="40"/>
      <c r="T166" s="255"/>
    </row>
    <row r="167" spans="1:20" ht="15.75" customHeight="1" x14ac:dyDescent="0.3">
      <c r="A167" s="16"/>
      <c r="B167" s="16"/>
      <c r="C167" s="130">
        <f t="shared" ca="1" si="9"/>
        <v>145</v>
      </c>
      <c r="D167" s="124" t="s">
        <v>900</v>
      </c>
      <c r="E167" s="306" t="s">
        <v>198</v>
      </c>
      <c r="F167" s="153" t="s">
        <v>207</v>
      </c>
      <c r="G167" s="152" t="s">
        <v>901</v>
      </c>
      <c r="H167" s="152" t="s">
        <v>197</v>
      </c>
      <c r="I167" s="152" t="s">
        <v>902</v>
      </c>
      <c r="J167" s="75" t="s">
        <v>15</v>
      </c>
      <c r="K167" s="407">
        <v>46063</v>
      </c>
      <c r="L167" s="40" t="s">
        <v>4</v>
      </c>
      <c r="M167" s="40" t="s">
        <v>208</v>
      </c>
      <c r="N167" s="40"/>
      <c r="O167" s="349" t="s">
        <v>903</v>
      </c>
      <c r="P167" s="75" t="s">
        <v>15</v>
      </c>
      <c r="Q167" s="222"/>
      <c r="R167" s="407"/>
      <c r="S167" s="40"/>
      <c r="T167" s="255"/>
    </row>
    <row r="168" spans="1:20" ht="15.75" customHeight="1" x14ac:dyDescent="0.3">
      <c r="A168" s="16"/>
      <c r="B168" s="16"/>
      <c r="C168" s="130">
        <f t="shared" ca="1" si="9"/>
        <v>146</v>
      </c>
      <c r="D168" s="124" t="s">
        <v>900</v>
      </c>
      <c r="E168" s="306" t="s">
        <v>198</v>
      </c>
      <c r="F168" s="153" t="s">
        <v>207</v>
      </c>
      <c r="G168" s="152" t="s">
        <v>904</v>
      </c>
      <c r="H168" s="152" t="s">
        <v>197</v>
      </c>
      <c r="I168" s="152" t="s">
        <v>905</v>
      </c>
      <c r="J168" s="75" t="s">
        <v>15</v>
      </c>
      <c r="K168" s="407">
        <v>46063</v>
      </c>
      <c r="L168" s="40" t="s">
        <v>4</v>
      </c>
      <c r="M168" s="40" t="s">
        <v>208</v>
      </c>
      <c r="N168" s="40"/>
      <c r="O168" s="349" t="s">
        <v>906</v>
      </c>
      <c r="P168" s="75" t="s">
        <v>15</v>
      </c>
      <c r="Q168" s="222"/>
      <c r="R168" s="407"/>
      <c r="S168" s="40"/>
      <c r="T168" s="255"/>
    </row>
    <row r="169" spans="1:20" ht="15.75" customHeight="1" x14ac:dyDescent="0.3">
      <c r="A169" s="16"/>
      <c r="B169" s="16"/>
      <c r="C169" s="130">
        <f t="shared" ca="1" si="9"/>
        <v>147</v>
      </c>
      <c r="D169" s="124"/>
      <c r="E169" s="431"/>
      <c r="F169" s="154"/>
      <c r="G169" s="168" t="s">
        <v>879</v>
      </c>
      <c r="H169" s="164" t="s">
        <v>907</v>
      </c>
      <c r="I169" s="164" t="s">
        <v>908</v>
      </c>
      <c r="J169" s="75" t="s">
        <v>15</v>
      </c>
      <c r="K169" s="407">
        <v>46063</v>
      </c>
      <c r="L169" s="40" t="s">
        <v>4</v>
      </c>
      <c r="M169" s="40"/>
      <c r="N169" s="40" t="s">
        <v>208</v>
      </c>
      <c r="O169" s="356"/>
      <c r="P169" s="75" t="s">
        <v>15</v>
      </c>
      <c r="Q169" s="222"/>
      <c r="R169" s="407"/>
      <c r="S169" s="40"/>
      <c r="T169" s="255"/>
    </row>
    <row r="170" spans="1:20" ht="15.75" customHeight="1" x14ac:dyDescent="0.3">
      <c r="A170" s="16"/>
      <c r="B170" s="16"/>
      <c r="C170" s="130">
        <f t="shared" ca="1" si="9"/>
        <v>148</v>
      </c>
      <c r="D170" s="124" t="s">
        <v>909</v>
      </c>
      <c r="E170" s="306" t="s">
        <v>198</v>
      </c>
      <c r="F170" s="153" t="s">
        <v>207</v>
      </c>
      <c r="G170" s="152" t="s">
        <v>901</v>
      </c>
      <c r="H170" s="152" t="s">
        <v>197</v>
      </c>
      <c r="I170" s="152" t="s">
        <v>910</v>
      </c>
      <c r="J170" s="75" t="s">
        <v>15</v>
      </c>
      <c r="K170" s="407">
        <v>46063</v>
      </c>
      <c r="L170" s="40" t="s">
        <v>4</v>
      </c>
      <c r="M170" s="40" t="s">
        <v>208</v>
      </c>
      <c r="N170" s="40"/>
      <c r="O170" s="349" t="s">
        <v>911</v>
      </c>
      <c r="P170" s="75" t="s">
        <v>15</v>
      </c>
      <c r="Q170" s="222"/>
      <c r="R170" s="407"/>
      <c r="S170" s="40"/>
      <c r="T170" s="255"/>
    </row>
    <row r="171" spans="1:20" ht="15.75" customHeight="1" x14ac:dyDescent="0.3">
      <c r="A171" s="16"/>
      <c r="B171" s="16"/>
      <c r="C171" s="130">
        <f t="shared" ca="1" si="9"/>
        <v>149</v>
      </c>
      <c r="D171" s="124" t="s">
        <v>909</v>
      </c>
      <c r="E171" s="306" t="s">
        <v>198</v>
      </c>
      <c r="F171" s="153" t="s">
        <v>207</v>
      </c>
      <c r="G171" s="152" t="s">
        <v>912</v>
      </c>
      <c r="H171" s="152" t="s">
        <v>197</v>
      </c>
      <c r="I171" s="152" t="s">
        <v>913</v>
      </c>
      <c r="J171" s="75" t="s">
        <v>15</v>
      </c>
      <c r="K171" s="407">
        <v>46063</v>
      </c>
      <c r="L171" s="40" t="s">
        <v>4</v>
      </c>
      <c r="M171" s="40" t="s">
        <v>208</v>
      </c>
      <c r="N171" s="40"/>
      <c r="O171" s="349" t="s">
        <v>914</v>
      </c>
      <c r="P171" s="75" t="s">
        <v>15</v>
      </c>
      <c r="Q171" s="222"/>
      <c r="R171" s="407"/>
      <c r="S171" s="40"/>
      <c r="T171" s="255"/>
    </row>
    <row r="172" spans="1:20" ht="15.75" customHeight="1" x14ac:dyDescent="0.3">
      <c r="A172" s="16"/>
      <c r="B172" s="16"/>
      <c r="C172" s="130">
        <f t="shared" ca="1" si="9"/>
        <v>150</v>
      </c>
      <c r="D172" s="124"/>
      <c r="E172" s="431"/>
      <c r="F172" s="154"/>
      <c r="G172" s="168" t="s">
        <v>879</v>
      </c>
      <c r="H172" s="164" t="s">
        <v>915</v>
      </c>
      <c r="I172" s="164" t="s">
        <v>916</v>
      </c>
      <c r="J172" s="75" t="s">
        <v>15</v>
      </c>
      <c r="K172" s="407">
        <v>46063</v>
      </c>
      <c r="L172" s="40" t="s">
        <v>4</v>
      </c>
      <c r="M172" s="40"/>
      <c r="N172" s="40" t="s">
        <v>208</v>
      </c>
      <c r="O172" s="356"/>
      <c r="P172" s="75" t="s">
        <v>15</v>
      </c>
      <c r="Q172" s="222"/>
      <c r="R172" s="407"/>
      <c r="S172" s="40"/>
      <c r="T172" s="255"/>
    </row>
    <row r="173" spans="1:20" ht="15.75" customHeight="1" x14ac:dyDescent="0.3">
      <c r="A173" s="16"/>
      <c r="B173" s="16"/>
      <c r="C173" s="130">
        <f t="shared" ca="1" si="9"/>
        <v>151</v>
      </c>
      <c r="D173" s="124" t="s">
        <v>917</v>
      </c>
      <c r="E173" s="306" t="s">
        <v>198</v>
      </c>
      <c r="F173" s="153" t="s">
        <v>207</v>
      </c>
      <c r="G173" s="152" t="s">
        <v>918</v>
      </c>
      <c r="H173" s="152" t="s">
        <v>197</v>
      </c>
      <c r="I173" s="152" t="s">
        <v>919</v>
      </c>
      <c r="J173" s="75" t="s">
        <v>15</v>
      </c>
      <c r="K173" s="407">
        <v>46063</v>
      </c>
      <c r="L173" s="40" t="s">
        <v>4</v>
      </c>
      <c r="M173" s="40" t="s">
        <v>208</v>
      </c>
      <c r="N173" s="40"/>
      <c r="O173" s="349" t="s">
        <v>920</v>
      </c>
      <c r="P173" s="75" t="s">
        <v>15</v>
      </c>
      <c r="Q173" s="222"/>
      <c r="R173" s="407"/>
      <c r="S173" s="40"/>
      <c r="T173" s="255"/>
    </row>
    <row r="174" spans="1:20" ht="15.75" customHeight="1" x14ac:dyDescent="0.3">
      <c r="A174" s="16"/>
      <c r="B174" s="16"/>
      <c r="C174" s="130">
        <f t="shared" ca="1" si="9"/>
        <v>152</v>
      </c>
      <c r="D174" s="124" t="s">
        <v>917</v>
      </c>
      <c r="E174" s="306" t="s">
        <v>198</v>
      </c>
      <c r="F174" s="153" t="s">
        <v>207</v>
      </c>
      <c r="G174" s="152" t="s">
        <v>921</v>
      </c>
      <c r="H174" s="152" t="s">
        <v>197</v>
      </c>
      <c r="I174" s="152" t="s">
        <v>922</v>
      </c>
      <c r="J174" s="75" t="s">
        <v>15</v>
      </c>
      <c r="K174" s="407">
        <v>46063</v>
      </c>
      <c r="L174" s="40" t="s">
        <v>4</v>
      </c>
      <c r="M174" s="40" t="s">
        <v>208</v>
      </c>
      <c r="N174" s="40"/>
      <c r="O174" s="349" t="s">
        <v>923</v>
      </c>
      <c r="P174" s="75" t="s">
        <v>15</v>
      </c>
      <c r="Q174" s="222"/>
      <c r="R174" s="407"/>
      <c r="S174" s="40"/>
      <c r="T174" s="255"/>
    </row>
    <row r="175" spans="1:20" ht="15.75" customHeight="1" x14ac:dyDescent="0.3">
      <c r="A175" s="16"/>
      <c r="B175" s="16"/>
      <c r="C175" s="130">
        <f t="shared" ca="1" si="9"/>
        <v>153</v>
      </c>
      <c r="D175" s="124"/>
      <c r="E175" s="431"/>
      <c r="F175" s="154"/>
      <c r="G175" s="168" t="s">
        <v>879</v>
      </c>
      <c r="H175" s="164" t="s">
        <v>924</v>
      </c>
      <c r="I175" s="164" t="s">
        <v>925</v>
      </c>
      <c r="J175" s="75" t="s">
        <v>15</v>
      </c>
      <c r="K175" s="407"/>
      <c r="L175" s="40"/>
      <c r="M175" s="40"/>
      <c r="N175" s="40" t="s">
        <v>208</v>
      </c>
      <c r="O175" s="356"/>
      <c r="P175" s="75" t="s">
        <v>15</v>
      </c>
      <c r="Q175" s="222"/>
      <c r="R175" s="407"/>
      <c r="S175" s="40"/>
      <c r="T175" s="255"/>
    </row>
    <row r="176" spans="1:20" ht="15.75" customHeight="1" x14ac:dyDescent="0.3">
      <c r="A176" s="16"/>
      <c r="B176" s="16"/>
      <c r="C176" s="130">
        <f t="shared" ca="1" si="9"/>
        <v>154</v>
      </c>
      <c r="D176" s="124" t="s">
        <v>926</v>
      </c>
      <c r="E176" s="306" t="s">
        <v>198</v>
      </c>
      <c r="F176" s="153" t="s">
        <v>207</v>
      </c>
      <c r="G176" s="152" t="s">
        <v>927</v>
      </c>
      <c r="H176" s="152" t="s">
        <v>197</v>
      </c>
      <c r="I176" s="152" t="s">
        <v>928</v>
      </c>
      <c r="J176" s="75" t="s">
        <v>15</v>
      </c>
      <c r="K176" s="407">
        <v>46063</v>
      </c>
      <c r="L176" s="40" t="s">
        <v>4</v>
      </c>
      <c r="M176" s="40" t="s">
        <v>208</v>
      </c>
      <c r="N176" s="41"/>
      <c r="O176" s="267" t="s">
        <v>929</v>
      </c>
      <c r="P176" s="182" t="s">
        <v>15</v>
      </c>
      <c r="Q176" s="471"/>
      <c r="R176" s="465"/>
      <c r="S176" s="41"/>
      <c r="T176" s="472"/>
    </row>
    <row r="177" spans="1:20" ht="15.75" customHeight="1" x14ac:dyDescent="0.3">
      <c r="A177" s="16"/>
      <c r="B177" s="16"/>
      <c r="C177" s="666" t="s">
        <v>930</v>
      </c>
      <c r="D177" s="602"/>
      <c r="E177" s="602"/>
      <c r="F177" s="602"/>
      <c r="G177" s="602"/>
      <c r="H177" s="602"/>
      <c r="I177" s="602"/>
      <c r="J177" s="602"/>
      <c r="K177" s="602"/>
      <c r="L177" s="602"/>
      <c r="M177" s="602"/>
      <c r="N177" s="602"/>
      <c r="O177" s="602"/>
      <c r="P177" s="602"/>
      <c r="Q177" s="602"/>
      <c r="R177" s="602"/>
      <c r="S177" s="602"/>
      <c r="T177" s="602"/>
    </row>
    <row r="178" spans="1:20" ht="15.75" customHeight="1" x14ac:dyDescent="0.3">
      <c r="A178" s="16"/>
      <c r="B178" s="16"/>
      <c r="C178" s="130"/>
      <c r="D178" s="659" t="s">
        <v>931</v>
      </c>
      <c r="E178" s="602"/>
      <c r="F178" s="602"/>
      <c r="G178" s="602"/>
      <c r="H178" s="602"/>
      <c r="I178" s="602"/>
      <c r="J178" s="602"/>
      <c r="K178" s="602"/>
      <c r="L178" s="602"/>
      <c r="M178" s="602"/>
      <c r="N178" s="602"/>
      <c r="O178" s="602"/>
      <c r="P178" s="602"/>
      <c r="Q178" s="602"/>
      <c r="R178" s="602"/>
      <c r="S178" s="602"/>
      <c r="T178" s="602"/>
    </row>
    <row r="179" spans="1:20" ht="409.6" customHeight="1" x14ac:dyDescent="0.3">
      <c r="A179" s="16"/>
      <c r="B179" s="16"/>
      <c r="C179" s="130">
        <f t="shared" ref="C179:C240" ca="1" si="10">1+COUNT(INDIRECT("A1:"&amp;(ADDRESS(ROW()-1,COLUMN()))))</f>
        <v>155</v>
      </c>
      <c r="D179" s="289" t="s">
        <v>546</v>
      </c>
      <c r="E179" s="299"/>
      <c r="F179" s="158"/>
      <c r="G179" s="154" t="s">
        <v>932</v>
      </c>
      <c r="H179" s="152" t="s">
        <v>476</v>
      </c>
      <c r="I179" s="131" t="s">
        <v>933</v>
      </c>
      <c r="J179" s="75" t="s">
        <v>15</v>
      </c>
      <c r="K179" s="407">
        <v>46063</v>
      </c>
      <c r="L179" s="40" t="s">
        <v>4</v>
      </c>
      <c r="M179" s="40" t="s">
        <v>208</v>
      </c>
      <c r="N179" s="40"/>
      <c r="O179" s="349" t="s">
        <v>934</v>
      </c>
      <c r="P179" s="75" t="s">
        <v>15</v>
      </c>
      <c r="Q179" s="222"/>
      <c r="R179" s="407"/>
      <c r="S179" s="40"/>
      <c r="T179" s="335" t="s">
        <v>935</v>
      </c>
    </row>
    <row r="180" spans="1:20" ht="15.75" customHeight="1" x14ac:dyDescent="0.3">
      <c r="A180" s="104"/>
      <c r="B180" s="104"/>
      <c r="C180" s="130">
        <f t="shared" ca="1" si="10"/>
        <v>156</v>
      </c>
      <c r="D180" s="181" t="s">
        <v>936</v>
      </c>
      <c r="E180" s="242"/>
      <c r="F180" s="243"/>
      <c r="G180" s="213"/>
      <c r="H180" s="172" t="s">
        <v>937</v>
      </c>
      <c r="I180" s="245" t="s">
        <v>669</v>
      </c>
      <c r="J180" s="75" t="s">
        <v>15</v>
      </c>
      <c r="K180" s="407">
        <v>46063</v>
      </c>
      <c r="L180" s="40" t="s">
        <v>4</v>
      </c>
      <c r="M180" s="41"/>
      <c r="N180" s="40" t="s">
        <v>208</v>
      </c>
      <c r="O180" s="42"/>
      <c r="P180" s="75" t="s">
        <v>15</v>
      </c>
      <c r="Q180" s="275" t="s">
        <v>211</v>
      </c>
      <c r="R180" s="465"/>
      <c r="S180" s="40" t="s">
        <v>599</v>
      </c>
      <c r="T180" s="367" t="s">
        <v>938</v>
      </c>
    </row>
    <row r="181" spans="1:20" ht="15.75" customHeight="1" x14ac:dyDescent="0.3">
      <c r="A181" s="104"/>
      <c r="B181" s="104"/>
      <c r="C181" s="130">
        <f t="shared" ca="1" si="10"/>
        <v>157</v>
      </c>
      <c r="D181" s="181" t="s">
        <v>939</v>
      </c>
      <c r="E181" s="306"/>
      <c r="F181" s="158"/>
      <c r="G181" s="216"/>
      <c r="H181" s="152" t="s">
        <v>940</v>
      </c>
      <c r="I181" s="164" t="s">
        <v>941</v>
      </c>
      <c r="J181" s="182" t="s">
        <v>15</v>
      </c>
      <c r="K181" s="407">
        <v>46086</v>
      </c>
      <c r="L181" s="40" t="s">
        <v>4</v>
      </c>
      <c r="M181" s="41"/>
      <c r="N181" s="40" t="s">
        <v>208</v>
      </c>
      <c r="O181" s="42"/>
      <c r="P181" s="75" t="s">
        <v>15</v>
      </c>
      <c r="Q181" s="275" t="s">
        <v>211</v>
      </c>
      <c r="R181" s="465"/>
      <c r="S181" s="41"/>
      <c r="T181" s="367" t="s">
        <v>942</v>
      </c>
    </row>
    <row r="182" spans="1:20" ht="15.75" customHeight="1" x14ac:dyDescent="0.3">
      <c r="A182" s="104"/>
      <c r="B182" s="104"/>
      <c r="C182" s="130">
        <f t="shared" ca="1" si="10"/>
        <v>158</v>
      </c>
      <c r="D182" s="181" t="s">
        <v>939</v>
      </c>
      <c r="E182" s="306"/>
      <c r="F182" s="158"/>
      <c r="G182" s="216"/>
      <c r="H182" s="361" t="s">
        <v>673</v>
      </c>
      <c r="I182" s="466" t="s">
        <v>674</v>
      </c>
      <c r="J182" s="182" t="s">
        <v>15</v>
      </c>
      <c r="K182" s="407">
        <v>46086</v>
      </c>
      <c r="L182" s="40" t="s">
        <v>4</v>
      </c>
      <c r="M182" s="41"/>
      <c r="N182" s="40" t="s">
        <v>208</v>
      </c>
      <c r="O182" s="42"/>
      <c r="P182" s="75" t="s">
        <v>15</v>
      </c>
      <c r="Q182" s="275" t="s">
        <v>211</v>
      </c>
      <c r="R182" s="465"/>
      <c r="S182" s="40" t="s">
        <v>599</v>
      </c>
      <c r="T182" s="367" t="s">
        <v>938</v>
      </c>
    </row>
    <row r="183" spans="1:20" ht="15.75" customHeight="1" x14ac:dyDescent="0.3">
      <c r="A183" s="104"/>
      <c r="B183" s="104"/>
      <c r="C183" s="130">
        <f t="shared" ca="1" si="10"/>
        <v>159</v>
      </c>
      <c r="D183" s="181" t="s">
        <v>939</v>
      </c>
      <c r="E183" s="306"/>
      <c r="F183" s="158"/>
      <c r="G183" s="216"/>
      <c r="H183" s="361" t="s">
        <v>675</v>
      </c>
      <c r="I183" s="466" t="s">
        <v>676</v>
      </c>
      <c r="J183" s="182" t="s">
        <v>15</v>
      </c>
      <c r="K183" s="407">
        <v>46086</v>
      </c>
      <c r="L183" s="40" t="s">
        <v>4</v>
      </c>
      <c r="M183" s="41"/>
      <c r="N183" s="40" t="s">
        <v>208</v>
      </c>
      <c r="O183" s="42"/>
      <c r="P183" s="75" t="s">
        <v>15</v>
      </c>
      <c r="Q183" s="275" t="s">
        <v>211</v>
      </c>
      <c r="R183" s="465"/>
      <c r="S183" s="40" t="s">
        <v>599</v>
      </c>
      <c r="T183" s="367" t="s">
        <v>938</v>
      </c>
    </row>
    <row r="184" spans="1:20" ht="15.75" customHeight="1" x14ac:dyDescent="0.3">
      <c r="A184" s="104"/>
      <c r="B184" s="104"/>
      <c r="C184" s="130">
        <f t="shared" ca="1" si="10"/>
        <v>160</v>
      </c>
      <c r="D184" s="181" t="s">
        <v>939</v>
      </c>
      <c r="E184" s="306"/>
      <c r="F184" s="158"/>
      <c r="G184" s="216"/>
      <c r="H184" s="361" t="s">
        <v>677</v>
      </c>
      <c r="I184" s="466" t="s">
        <v>678</v>
      </c>
      <c r="J184" s="182" t="s">
        <v>15</v>
      </c>
      <c r="K184" s="407">
        <v>46086</v>
      </c>
      <c r="L184" s="40" t="s">
        <v>4</v>
      </c>
      <c r="M184" s="41"/>
      <c r="N184" s="40" t="s">
        <v>208</v>
      </c>
      <c r="O184" s="42"/>
      <c r="P184" s="75" t="s">
        <v>15</v>
      </c>
      <c r="Q184" s="275" t="s">
        <v>211</v>
      </c>
      <c r="R184" s="465"/>
      <c r="S184" s="40" t="s">
        <v>599</v>
      </c>
      <c r="T184" s="367" t="s">
        <v>938</v>
      </c>
    </row>
    <row r="185" spans="1:20" ht="15.75" customHeight="1" x14ac:dyDescent="0.3">
      <c r="A185" s="104"/>
      <c r="B185" s="104"/>
      <c r="C185" s="130">
        <f t="shared" ca="1" si="10"/>
        <v>161</v>
      </c>
      <c r="D185" s="181" t="s">
        <v>939</v>
      </c>
      <c r="E185" s="306"/>
      <c r="F185" s="158"/>
      <c r="G185" s="216"/>
      <c r="H185" s="361" t="s">
        <v>679</v>
      </c>
      <c r="I185" s="466" t="s">
        <v>678</v>
      </c>
      <c r="J185" s="182" t="s">
        <v>15</v>
      </c>
      <c r="K185" s="407">
        <v>46086</v>
      </c>
      <c r="L185" s="40" t="s">
        <v>4</v>
      </c>
      <c r="M185" s="41"/>
      <c r="N185" s="40" t="s">
        <v>208</v>
      </c>
      <c r="O185" s="42"/>
      <c r="P185" s="75" t="s">
        <v>15</v>
      </c>
      <c r="Q185" s="275" t="s">
        <v>211</v>
      </c>
      <c r="R185" s="465"/>
      <c r="S185" s="40" t="s">
        <v>599</v>
      </c>
      <c r="T185" s="367" t="s">
        <v>938</v>
      </c>
    </row>
    <row r="186" spans="1:20" ht="275.25" customHeight="1" x14ac:dyDescent="0.3">
      <c r="A186" s="104"/>
      <c r="B186" s="104"/>
      <c r="C186" s="130">
        <f t="shared" ca="1" si="10"/>
        <v>162</v>
      </c>
      <c r="D186" s="181" t="s">
        <v>936</v>
      </c>
      <c r="E186" s="306"/>
      <c r="F186" s="158"/>
      <c r="G186" s="152" t="s">
        <v>943</v>
      </c>
      <c r="H186" s="361" t="s">
        <v>944</v>
      </c>
      <c r="I186" s="466" t="s">
        <v>945</v>
      </c>
      <c r="J186" s="182" t="s">
        <v>15</v>
      </c>
      <c r="K186" s="407">
        <v>46086</v>
      </c>
      <c r="L186" s="40" t="s">
        <v>4</v>
      </c>
      <c r="M186" s="40" t="s">
        <v>208</v>
      </c>
      <c r="N186" s="41"/>
      <c r="O186" s="267" t="s">
        <v>946</v>
      </c>
      <c r="P186" s="75" t="s">
        <v>15</v>
      </c>
      <c r="Q186" s="275" t="s">
        <v>211</v>
      </c>
      <c r="R186" s="465"/>
      <c r="S186" s="40" t="s">
        <v>599</v>
      </c>
      <c r="T186" s="367" t="s">
        <v>947</v>
      </c>
    </row>
    <row r="187" spans="1:20" ht="15.75" customHeight="1" x14ac:dyDescent="0.3">
      <c r="A187" s="104"/>
      <c r="B187" s="104"/>
      <c r="C187" s="130">
        <f t="shared" ca="1" si="10"/>
        <v>163</v>
      </c>
      <c r="D187" s="181"/>
      <c r="E187" s="306"/>
      <c r="F187" s="158"/>
      <c r="G187" s="152" t="s">
        <v>943</v>
      </c>
      <c r="H187" s="152" t="s">
        <v>948</v>
      </c>
      <c r="I187" s="164" t="s">
        <v>949</v>
      </c>
      <c r="J187" s="75" t="s">
        <v>15</v>
      </c>
      <c r="K187" s="407">
        <v>46063</v>
      </c>
      <c r="L187" s="40" t="s">
        <v>4</v>
      </c>
      <c r="M187" s="40" t="s">
        <v>208</v>
      </c>
      <c r="N187" s="41"/>
      <c r="O187" s="267" t="s">
        <v>950</v>
      </c>
      <c r="P187" s="75" t="s">
        <v>15</v>
      </c>
      <c r="Q187" s="275" t="s">
        <v>211</v>
      </c>
      <c r="R187" s="465"/>
      <c r="S187" s="40" t="s">
        <v>599</v>
      </c>
      <c r="T187" s="367" t="s">
        <v>947</v>
      </c>
    </row>
    <row r="188" spans="1:20" ht="15.75" customHeight="1" x14ac:dyDescent="0.3">
      <c r="A188" s="104"/>
      <c r="B188" s="104"/>
      <c r="C188" s="130">
        <f t="shared" ca="1" si="10"/>
        <v>164</v>
      </c>
      <c r="D188" s="181" t="s">
        <v>951</v>
      </c>
      <c r="E188" s="152" t="s">
        <v>222</v>
      </c>
      <c r="F188" s="158"/>
      <c r="G188" s="176"/>
      <c r="H188" s="152" t="s">
        <v>688</v>
      </c>
      <c r="I188" s="164" t="s">
        <v>952</v>
      </c>
      <c r="J188" s="75" t="s">
        <v>15</v>
      </c>
      <c r="K188" s="407">
        <v>46063</v>
      </c>
      <c r="L188" s="40" t="s">
        <v>4</v>
      </c>
      <c r="M188" s="40" t="s">
        <v>208</v>
      </c>
      <c r="N188" s="41"/>
      <c r="O188" s="267" t="s">
        <v>953</v>
      </c>
      <c r="P188" s="75" t="s">
        <v>15</v>
      </c>
      <c r="Q188" s="275"/>
      <c r="R188" s="465"/>
      <c r="S188" s="41" t="s">
        <v>430</v>
      </c>
      <c r="T188" s="367" t="s">
        <v>954</v>
      </c>
    </row>
    <row r="189" spans="1:20" ht="15.75" customHeight="1" x14ac:dyDescent="0.3">
      <c r="A189" s="104"/>
      <c r="B189" s="104"/>
      <c r="C189" s="130">
        <f t="shared" ca="1" si="10"/>
        <v>165</v>
      </c>
      <c r="D189" s="181" t="s">
        <v>955</v>
      </c>
      <c r="E189" s="152"/>
      <c r="F189" s="158"/>
      <c r="G189" s="176"/>
      <c r="H189" s="152" t="s">
        <v>956</v>
      </c>
      <c r="I189" s="164" t="s">
        <v>693</v>
      </c>
      <c r="J189" s="75" t="s">
        <v>15</v>
      </c>
      <c r="K189" s="407">
        <v>46063</v>
      </c>
      <c r="L189" s="40" t="s">
        <v>4</v>
      </c>
      <c r="M189" s="40"/>
      <c r="N189" s="40" t="s">
        <v>208</v>
      </c>
      <c r="O189" s="42"/>
      <c r="P189" s="75" t="s">
        <v>15</v>
      </c>
      <c r="Q189" s="275" t="s">
        <v>211</v>
      </c>
      <c r="R189" s="465"/>
      <c r="S189" s="41" t="s">
        <v>430</v>
      </c>
      <c r="T189" s="367" t="s">
        <v>957</v>
      </c>
    </row>
    <row r="190" spans="1:20" ht="15.75" customHeight="1" x14ac:dyDescent="0.3">
      <c r="A190" s="16"/>
      <c r="B190" s="16"/>
      <c r="C190" s="130">
        <f t="shared" ca="1" si="10"/>
        <v>166</v>
      </c>
      <c r="D190" s="181" t="s">
        <v>283</v>
      </c>
      <c r="E190" s="333" t="s">
        <v>198</v>
      </c>
      <c r="F190" s="152" t="s">
        <v>226</v>
      </c>
      <c r="G190" s="163"/>
      <c r="H190" s="152" t="s">
        <v>219</v>
      </c>
      <c r="I190" s="156" t="s">
        <v>958</v>
      </c>
      <c r="J190" s="75" t="s">
        <v>15</v>
      </c>
      <c r="K190" s="407">
        <v>46063</v>
      </c>
      <c r="L190" s="40" t="s">
        <v>4</v>
      </c>
      <c r="M190" s="40"/>
      <c r="N190" s="40" t="s">
        <v>208</v>
      </c>
      <c r="O190" s="356"/>
      <c r="P190" s="75" t="s">
        <v>15</v>
      </c>
      <c r="Q190" s="222"/>
      <c r="R190" s="407"/>
      <c r="S190" s="40"/>
      <c r="T190" s="335"/>
    </row>
    <row r="191" spans="1:20" ht="15.75" customHeight="1" x14ac:dyDescent="0.3">
      <c r="A191" s="16"/>
      <c r="B191" s="16"/>
      <c r="C191" s="130">
        <f t="shared" ca="1" si="10"/>
        <v>167</v>
      </c>
      <c r="D191" s="181" t="s">
        <v>959</v>
      </c>
      <c r="E191" s="333" t="s">
        <v>198</v>
      </c>
      <c r="F191" s="152" t="s">
        <v>226</v>
      </c>
      <c r="G191" s="163"/>
      <c r="H191" s="152" t="s">
        <v>219</v>
      </c>
      <c r="I191" s="156" t="s">
        <v>960</v>
      </c>
      <c r="J191" s="75" t="s">
        <v>15</v>
      </c>
      <c r="K191" s="407">
        <v>46063</v>
      </c>
      <c r="L191" s="40" t="s">
        <v>4</v>
      </c>
      <c r="M191" s="40" t="s">
        <v>208</v>
      </c>
      <c r="N191" s="40"/>
      <c r="O191" s="349" t="s">
        <v>961</v>
      </c>
      <c r="P191" s="75" t="s">
        <v>15</v>
      </c>
      <c r="Q191" s="222"/>
      <c r="R191" s="407"/>
      <c r="S191" s="40"/>
      <c r="T191" s="335"/>
    </row>
    <row r="192" spans="1:20" ht="15.75" customHeight="1" x14ac:dyDescent="0.3">
      <c r="A192" s="16"/>
      <c r="B192" s="16"/>
      <c r="C192" s="130">
        <f t="shared" ca="1" si="10"/>
        <v>168</v>
      </c>
      <c r="D192" s="181" t="s">
        <v>962</v>
      </c>
      <c r="E192" s="306" t="s">
        <v>200</v>
      </c>
      <c r="F192" s="152" t="s">
        <v>226</v>
      </c>
      <c r="G192" s="163"/>
      <c r="H192" s="152" t="s">
        <v>219</v>
      </c>
      <c r="I192" s="156" t="s">
        <v>963</v>
      </c>
      <c r="J192" s="75" t="s">
        <v>15</v>
      </c>
      <c r="K192" s="407">
        <v>46063</v>
      </c>
      <c r="L192" s="40" t="s">
        <v>4</v>
      </c>
      <c r="M192" s="40" t="s">
        <v>208</v>
      </c>
      <c r="N192" s="40"/>
      <c r="O192" s="349" t="s">
        <v>964</v>
      </c>
      <c r="P192" s="75" t="s">
        <v>15</v>
      </c>
      <c r="Q192" s="222"/>
      <c r="R192" s="407"/>
      <c r="S192" s="40"/>
      <c r="T192" s="335"/>
    </row>
    <row r="193" spans="1:20" ht="15.75" customHeight="1" x14ac:dyDescent="0.3">
      <c r="A193" s="16"/>
      <c r="B193" s="16"/>
      <c r="C193" s="130">
        <f t="shared" ca="1" si="10"/>
        <v>169</v>
      </c>
      <c r="D193" s="181" t="s">
        <v>965</v>
      </c>
      <c r="E193" s="306" t="s">
        <v>200</v>
      </c>
      <c r="F193" s="152" t="s">
        <v>226</v>
      </c>
      <c r="G193" s="163"/>
      <c r="H193" s="152" t="s">
        <v>219</v>
      </c>
      <c r="I193" s="156" t="s">
        <v>966</v>
      </c>
      <c r="J193" s="75" t="s">
        <v>15</v>
      </c>
      <c r="K193" s="407">
        <v>46063</v>
      </c>
      <c r="L193" s="40" t="s">
        <v>4</v>
      </c>
      <c r="M193" s="40" t="s">
        <v>208</v>
      </c>
      <c r="N193" s="40"/>
      <c r="O193" s="349" t="s">
        <v>967</v>
      </c>
      <c r="P193" s="75" t="s">
        <v>15</v>
      </c>
      <c r="Q193" s="222"/>
      <c r="R193" s="407"/>
      <c r="S193" s="40"/>
      <c r="T193" s="335"/>
    </row>
    <row r="194" spans="1:20" ht="15.75" customHeight="1" x14ac:dyDescent="0.3">
      <c r="A194" s="16"/>
      <c r="B194" s="16"/>
      <c r="C194" s="130">
        <f t="shared" ca="1" si="10"/>
        <v>170</v>
      </c>
      <c r="D194" s="181" t="s">
        <v>299</v>
      </c>
      <c r="E194" s="333" t="s">
        <v>198</v>
      </c>
      <c r="F194" s="152" t="s">
        <v>226</v>
      </c>
      <c r="G194" s="163"/>
      <c r="H194" s="152" t="s">
        <v>219</v>
      </c>
      <c r="I194" s="156" t="s">
        <v>968</v>
      </c>
      <c r="J194" s="75" t="s">
        <v>15</v>
      </c>
      <c r="K194" s="407">
        <v>46063</v>
      </c>
      <c r="L194" s="40" t="s">
        <v>4</v>
      </c>
      <c r="M194" s="40"/>
      <c r="N194" s="40" t="s">
        <v>208</v>
      </c>
      <c r="O194" s="356"/>
      <c r="P194" s="75" t="s">
        <v>15</v>
      </c>
      <c r="Q194" s="222"/>
      <c r="R194" s="407"/>
      <c r="S194" s="40"/>
      <c r="T194" s="335"/>
    </row>
    <row r="195" spans="1:20" ht="15.75" customHeight="1" x14ac:dyDescent="0.3">
      <c r="A195" s="16"/>
      <c r="B195" s="16"/>
      <c r="C195" s="130">
        <f t="shared" ca="1" si="10"/>
        <v>171</v>
      </c>
      <c r="D195" s="181" t="s">
        <v>969</v>
      </c>
      <c r="E195" s="450" t="s">
        <v>200</v>
      </c>
      <c r="F195" s="158" t="s">
        <v>207</v>
      </c>
      <c r="G195" s="163"/>
      <c r="H195" s="152" t="s">
        <v>230</v>
      </c>
      <c r="I195" s="164" t="s">
        <v>970</v>
      </c>
      <c r="J195" s="75" t="s">
        <v>15</v>
      </c>
      <c r="K195" s="407">
        <v>46063</v>
      </c>
      <c r="L195" s="40" t="s">
        <v>4</v>
      </c>
      <c r="M195" s="40" t="s">
        <v>208</v>
      </c>
      <c r="N195" s="40"/>
      <c r="O195" s="349" t="s">
        <v>971</v>
      </c>
      <c r="P195" s="75" t="s">
        <v>15</v>
      </c>
      <c r="Q195" s="275" t="s">
        <v>211</v>
      </c>
      <c r="R195" s="407"/>
      <c r="S195" s="41" t="s">
        <v>430</v>
      </c>
      <c r="T195" s="335" t="s">
        <v>972</v>
      </c>
    </row>
    <row r="196" spans="1:20" ht="15.75" customHeight="1" x14ac:dyDescent="0.3">
      <c r="A196" s="16"/>
      <c r="B196" s="16"/>
      <c r="C196" s="130">
        <f t="shared" ca="1" si="10"/>
        <v>172</v>
      </c>
      <c r="D196" s="181" t="s">
        <v>973</v>
      </c>
      <c r="E196" s="450"/>
      <c r="F196" s="158"/>
      <c r="G196" s="163"/>
      <c r="H196" s="152" t="s">
        <v>974</v>
      </c>
      <c r="I196" s="164" t="s">
        <v>975</v>
      </c>
      <c r="J196" s="75" t="s">
        <v>15</v>
      </c>
      <c r="K196" s="407"/>
      <c r="L196" s="40"/>
      <c r="M196" s="40"/>
      <c r="N196" s="40" t="s">
        <v>208</v>
      </c>
      <c r="O196" s="356"/>
      <c r="P196" s="75" t="s">
        <v>15</v>
      </c>
      <c r="Q196" s="222"/>
      <c r="R196" s="407"/>
      <c r="S196" s="40"/>
      <c r="T196" s="335"/>
    </row>
    <row r="197" spans="1:20" ht="15.75" customHeight="1" x14ac:dyDescent="0.3">
      <c r="A197" s="16"/>
      <c r="B197" s="16"/>
      <c r="C197" s="130">
        <f t="shared" ca="1" si="10"/>
        <v>173</v>
      </c>
      <c r="D197" s="181"/>
      <c r="E197" s="672" t="s">
        <v>758</v>
      </c>
      <c r="F197" s="171"/>
      <c r="G197" s="152" t="s">
        <v>713</v>
      </c>
      <c r="H197" s="152" t="s">
        <v>714</v>
      </c>
      <c r="I197" s="152" t="s">
        <v>976</v>
      </c>
      <c r="J197" s="75" t="s">
        <v>15</v>
      </c>
      <c r="K197" s="407">
        <v>46063</v>
      </c>
      <c r="L197" s="40" t="s">
        <v>4</v>
      </c>
      <c r="M197" s="40" t="s">
        <v>208</v>
      </c>
      <c r="N197" s="40"/>
      <c r="O197" s="349" t="s">
        <v>977</v>
      </c>
      <c r="P197" s="75" t="s">
        <v>15</v>
      </c>
      <c r="Q197" s="222"/>
      <c r="R197" s="407"/>
      <c r="S197" s="40"/>
      <c r="T197" s="335"/>
    </row>
    <row r="198" spans="1:20" ht="15.75" customHeight="1" x14ac:dyDescent="0.3">
      <c r="A198" s="16"/>
      <c r="B198" s="16"/>
      <c r="C198" s="130">
        <f t="shared" ca="1" si="10"/>
        <v>174</v>
      </c>
      <c r="D198" s="181"/>
      <c r="E198" s="635"/>
      <c r="F198" s="171"/>
      <c r="G198" s="152" t="s">
        <v>717</v>
      </c>
      <c r="H198" s="152" t="s">
        <v>718</v>
      </c>
      <c r="I198" s="152" t="s">
        <v>978</v>
      </c>
      <c r="J198" s="75" t="s">
        <v>15</v>
      </c>
      <c r="K198" s="407">
        <v>46063</v>
      </c>
      <c r="L198" s="40" t="s">
        <v>4</v>
      </c>
      <c r="M198" s="40" t="s">
        <v>208</v>
      </c>
      <c r="N198" s="40"/>
      <c r="O198" s="349" t="s">
        <v>979</v>
      </c>
      <c r="P198" s="75" t="s">
        <v>15</v>
      </c>
      <c r="Q198" s="117"/>
      <c r="R198" s="407"/>
      <c r="S198" s="40"/>
      <c r="T198" s="335"/>
    </row>
    <row r="199" spans="1:20" ht="15.75" customHeight="1" x14ac:dyDescent="0.3">
      <c r="A199" s="16"/>
      <c r="B199" s="16"/>
      <c r="C199" s="130">
        <f t="shared" ca="1" si="10"/>
        <v>175</v>
      </c>
      <c r="D199" s="181" t="s">
        <v>300</v>
      </c>
      <c r="E199" s="333" t="s">
        <v>198</v>
      </c>
      <c r="F199" s="152" t="s">
        <v>226</v>
      </c>
      <c r="G199" s="163"/>
      <c r="H199" s="152" t="s">
        <v>219</v>
      </c>
      <c r="I199" s="156" t="s">
        <v>980</v>
      </c>
      <c r="J199" s="75" t="s">
        <v>15</v>
      </c>
      <c r="K199" s="407">
        <v>46063</v>
      </c>
      <c r="L199" s="40" t="s">
        <v>4</v>
      </c>
      <c r="M199" s="40"/>
      <c r="N199" s="40" t="s">
        <v>208</v>
      </c>
      <c r="O199" s="356"/>
      <c r="P199" s="75" t="s">
        <v>15</v>
      </c>
      <c r="Q199" s="222"/>
      <c r="R199" s="407"/>
      <c r="S199" s="40"/>
      <c r="T199" s="335"/>
    </row>
    <row r="200" spans="1:20" ht="15.75" customHeight="1" x14ac:dyDescent="0.3">
      <c r="A200" s="16"/>
      <c r="B200" s="16"/>
      <c r="C200" s="130">
        <f t="shared" ca="1" si="10"/>
        <v>176</v>
      </c>
      <c r="D200" s="181" t="s">
        <v>981</v>
      </c>
      <c r="E200" s="450" t="s">
        <v>200</v>
      </c>
      <c r="F200" s="158" t="s">
        <v>207</v>
      </c>
      <c r="G200" s="163"/>
      <c r="H200" s="152" t="s">
        <v>230</v>
      </c>
      <c r="I200" s="164" t="s">
        <v>982</v>
      </c>
      <c r="J200" s="75" t="s">
        <v>15</v>
      </c>
      <c r="K200" s="407">
        <v>46063</v>
      </c>
      <c r="L200" s="40" t="s">
        <v>4</v>
      </c>
      <c r="M200" s="40" t="s">
        <v>208</v>
      </c>
      <c r="N200" s="40"/>
      <c r="O200" s="349" t="s">
        <v>983</v>
      </c>
      <c r="P200" s="75" t="s">
        <v>15</v>
      </c>
      <c r="Q200" s="275" t="s">
        <v>211</v>
      </c>
      <c r="R200" s="407"/>
      <c r="S200" s="41" t="s">
        <v>430</v>
      </c>
      <c r="T200" s="335" t="s">
        <v>972</v>
      </c>
    </row>
    <row r="201" spans="1:20" ht="15.75" customHeight="1" x14ac:dyDescent="0.3">
      <c r="A201" s="16"/>
      <c r="B201" s="16"/>
      <c r="C201" s="130">
        <f t="shared" ca="1" si="10"/>
        <v>177</v>
      </c>
      <c r="D201" s="181" t="s">
        <v>984</v>
      </c>
      <c r="E201" s="450"/>
      <c r="F201" s="158"/>
      <c r="G201" s="163"/>
      <c r="H201" s="152" t="s">
        <v>974</v>
      </c>
      <c r="I201" s="164" t="s">
        <v>975</v>
      </c>
      <c r="J201" s="75" t="s">
        <v>15</v>
      </c>
      <c r="K201" s="407">
        <v>46063</v>
      </c>
      <c r="L201" s="40" t="s">
        <v>4</v>
      </c>
      <c r="M201" s="40"/>
      <c r="N201" s="40" t="s">
        <v>208</v>
      </c>
      <c r="O201" s="356"/>
      <c r="P201" s="75" t="s">
        <v>15</v>
      </c>
      <c r="Q201" s="222"/>
      <c r="R201" s="407"/>
      <c r="S201" s="40"/>
      <c r="T201" s="335"/>
    </row>
    <row r="202" spans="1:20" ht="15.75" customHeight="1" x14ac:dyDescent="0.3">
      <c r="A202" s="16"/>
      <c r="B202" s="16"/>
      <c r="C202" s="130">
        <f t="shared" ca="1" si="10"/>
        <v>178</v>
      </c>
      <c r="D202" s="181"/>
      <c r="E202" s="672" t="s">
        <v>758</v>
      </c>
      <c r="F202" s="171"/>
      <c r="G202" s="152" t="s">
        <v>713</v>
      </c>
      <c r="H202" s="152" t="s">
        <v>714</v>
      </c>
      <c r="I202" s="152" t="s">
        <v>976</v>
      </c>
      <c r="J202" s="75" t="s">
        <v>15</v>
      </c>
      <c r="K202" s="407">
        <v>46063</v>
      </c>
      <c r="L202" s="40" t="s">
        <v>4</v>
      </c>
      <c r="M202" s="40" t="s">
        <v>208</v>
      </c>
      <c r="N202" s="40"/>
      <c r="O202" s="349" t="s">
        <v>985</v>
      </c>
      <c r="P202" s="75" t="s">
        <v>15</v>
      </c>
      <c r="Q202" s="222"/>
      <c r="R202" s="407"/>
      <c r="S202" s="40"/>
      <c r="T202" s="335"/>
    </row>
    <row r="203" spans="1:20" ht="15.75" customHeight="1" x14ac:dyDescent="0.3">
      <c r="A203" s="16"/>
      <c r="B203" s="16"/>
      <c r="C203" s="130">
        <f t="shared" ca="1" si="10"/>
        <v>179</v>
      </c>
      <c r="D203" s="181"/>
      <c r="E203" s="635"/>
      <c r="F203" s="171"/>
      <c r="G203" s="152" t="s">
        <v>717</v>
      </c>
      <c r="H203" s="152" t="s">
        <v>718</v>
      </c>
      <c r="I203" s="152" t="s">
        <v>986</v>
      </c>
      <c r="J203" s="75" t="s">
        <v>15</v>
      </c>
      <c r="K203" s="407">
        <v>46063</v>
      </c>
      <c r="L203" s="40" t="s">
        <v>4</v>
      </c>
      <c r="M203" s="40" t="s">
        <v>208</v>
      </c>
      <c r="N203" s="40"/>
      <c r="O203" s="349" t="s">
        <v>987</v>
      </c>
      <c r="P203" s="75" t="s">
        <v>15</v>
      </c>
      <c r="Q203" s="117"/>
      <c r="R203" s="407"/>
      <c r="S203" s="40"/>
      <c r="T203" s="335"/>
    </row>
    <row r="204" spans="1:20" ht="15.75" customHeight="1" x14ac:dyDescent="0.3">
      <c r="A204" s="16"/>
      <c r="B204" s="16"/>
      <c r="C204" s="130">
        <f t="shared" ca="1" si="10"/>
        <v>180</v>
      </c>
      <c r="D204" s="181" t="s">
        <v>301</v>
      </c>
      <c r="E204" s="333" t="s">
        <v>198</v>
      </c>
      <c r="F204" s="152" t="s">
        <v>226</v>
      </c>
      <c r="G204" s="163"/>
      <c r="H204" s="152" t="s">
        <v>219</v>
      </c>
      <c r="I204" s="156" t="s">
        <v>988</v>
      </c>
      <c r="J204" s="75" t="s">
        <v>15</v>
      </c>
      <c r="K204" s="407">
        <v>46063</v>
      </c>
      <c r="L204" s="40" t="s">
        <v>4</v>
      </c>
      <c r="M204" s="40"/>
      <c r="N204" s="40" t="s">
        <v>208</v>
      </c>
      <c r="O204" s="356"/>
      <c r="P204" s="75" t="s">
        <v>15</v>
      </c>
      <c r="Q204" s="222"/>
      <c r="R204" s="407"/>
      <c r="S204" s="40"/>
      <c r="T204" s="335"/>
    </row>
    <row r="205" spans="1:20" ht="15.75" customHeight="1" x14ac:dyDescent="0.3">
      <c r="A205" s="16"/>
      <c r="B205" s="16"/>
      <c r="C205" s="130">
        <f t="shared" ca="1" si="10"/>
        <v>181</v>
      </c>
      <c r="D205" s="181" t="s">
        <v>989</v>
      </c>
      <c r="E205" s="450" t="s">
        <v>200</v>
      </c>
      <c r="F205" s="158" t="s">
        <v>207</v>
      </c>
      <c r="G205" s="163"/>
      <c r="H205" s="153" t="s">
        <v>207</v>
      </c>
      <c r="I205" s="164" t="s">
        <v>990</v>
      </c>
      <c r="J205" s="75" t="s">
        <v>15</v>
      </c>
      <c r="K205" s="407">
        <v>46063</v>
      </c>
      <c r="L205" s="40" t="s">
        <v>4</v>
      </c>
      <c r="M205" s="40" t="s">
        <v>208</v>
      </c>
      <c r="N205" s="40"/>
      <c r="O205" s="349" t="s">
        <v>991</v>
      </c>
      <c r="P205" s="75" t="s">
        <v>15</v>
      </c>
      <c r="Q205" s="275" t="s">
        <v>211</v>
      </c>
      <c r="R205" s="407"/>
      <c r="S205" s="41" t="s">
        <v>430</v>
      </c>
      <c r="T205" s="335" t="s">
        <v>972</v>
      </c>
    </row>
    <row r="206" spans="1:20" ht="15.75" customHeight="1" x14ac:dyDescent="0.3">
      <c r="A206" s="16"/>
      <c r="B206" s="16"/>
      <c r="C206" s="130">
        <f t="shared" ca="1" si="10"/>
        <v>182</v>
      </c>
      <c r="D206" s="181" t="s">
        <v>992</v>
      </c>
      <c r="E206" s="450"/>
      <c r="F206" s="158"/>
      <c r="G206" s="163"/>
      <c r="H206" s="152" t="s">
        <v>974</v>
      </c>
      <c r="I206" s="164" t="s">
        <v>975</v>
      </c>
      <c r="J206" s="75" t="s">
        <v>15</v>
      </c>
      <c r="K206" s="407">
        <v>46063</v>
      </c>
      <c r="L206" s="40" t="s">
        <v>4</v>
      </c>
      <c r="M206" s="40"/>
      <c r="N206" s="40" t="s">
        <v>208</v>
      </c>
      <c r="O206" s="356"/>
      <c r="P206" s="75" t="s">
        <v>15</v>
      </c>
      <c r="Q206" s="222"/>
      <c r="R206" s="407"/>
      <c r="S206" s="40"/>
      <c r="T206" s="335"/>
    </row>
    <row r="207" spans="1:20" ht="15.75" customHeight="1" x14ac:dyDescent="0.3">
      <c r="A207" s="16"/>
      <c r="B207" s="16"/>
      <c r="C207" s="130">
        <f t="shared" ca="1" si="10"/>
        <v>183</v>
      </c>
      <c r="D207" s="181"/>
      <c r="E207" s="672" t="s">
        <v>758</v>
      </c>
      <c r="F207" s="171"/>
      <c r="G207" s="152" t="s">
        <v>713</v>
      </c>
      <c r="H207" s="152" t="s">
        <v>714</v>
      </c>
      <c r="I207" s="152" t="s">
        <v>976</v>
      </c>
      <c r="J207" s="75" t="s">
        <v>15</v>
      </c>
      <c r="K207" s="407">
        <v>46063</v>
      </c>
      <c r="L207" s="40" t="s">
        <v>4</v>
      </c>
      <c r="M207" s="40" t="s">
        <v>208</v>
      </c>
      <c r="N207" s="40"/>
      <c r="O207" s="349" t="s">
        <v>993</v>
      </c>
      <c r="P207" s="75" t="s">
        <v>15</v>
      </c>
      <c r="Q207" s="117"/>
      <c r="R207" s="407"/>
      <c r="S207" s="40"/>
      <c r="T207" s="335"/>
    </row>
    <row r="208" spans="1:20" ht="15.75" customHeight="1" x14ac:dyDescent="0.3">
      <c r="A208" s="16"/>
      <c r="B208" s="16"/>
      <c r="C208" s="130">
        <f t="shared" ca="1" si="10"/>
        <v>184</v>
      </c>
      <c r="D208" s="181"/>
      <c r="E208" s="635"/>
      <c r="F208" s="171"/>
      <c r="G208" s="152" t="s">
        <v>717</v>
      </c>
      <c r="H208" s="152" t="s">
        <v>718</v>
      </c>
      <c r="I208" s="152" t="s">
        <v>994</v>
      </c>
      <c r="J208" s="75" t="s">
        <v>15</v>
      </c>
      <c r="K208" s="407">
        <v>46063</v>
      </c>
      <c r="L208" s="40" t="s">
        <v>4</v>
      </c>
      <c r="M208" s="40" t="s">
        <v>208</v>
      </c>
      <c r="N208" s="40"/>
      <c r="O208" s="349" t="s">
        <v>995</v>
      </c>
      <c r="P208" s="75" t="s">
        <v>15</v>
      </c>
      <c r="Q208" s="117"/>
      <c r="R208" s="407"/>
      <c r="S208" s="40"/>
      <c r="T208" s="335"/>
    </row>
    <row r="209" spans="1:20" ht="15.75" customHeight="1" x14ac:dyDescent="0.3">
      <c r="A209" s="16"/>
      <c r="B209" s="16"/>
      <c r="C209" s="130">
        <f t="shared" ca="1" si="10"/>
        <v>185</v>
      </c>
      <c r="D209" s="181" t="s">
        <v>996</v>
      </c>
      <c r="E209" s="333" t="s">
        <v>198</v>
      </c>
      <c r="F209" s="152" t="s">
        <v>226</v>
      </c>
      <c r="G209" s="163"/>
      <c r="H209" s="152" t="s">
        <v>219</v>
      </c>
      <c r="I209" s="156" t="s">
        <v>997</v>
      </c>
      <c r="J209" s="75" t="s">
        <v>15</v>
      </c>
      <c r="K209" s="407">
        <v>46063</v>
      </c>
      <c r="L209" s="40" t="s">
        <v>4</v>
      </c>
      <c r="M209" s="40"/>
      <c r="N209" s="40" t="s">
        <v>208</v>
      </c>
      <c r="O209" s="356"/>
      <c r="P209" s="75" t="s">
        <v>15</v>
      </c>
      <c r="Q209" s="222"/>
      <c r="R209" s="407"/>
      <c r="S209" s="40"/>
      <c r="T209" s="335"/>
    </row>
    <row r="210" spans="1:20" ht="15.75" customHeight="1" x14ac:dyDescent="0.3">
      <c r="A210" s="16"/>
      <c r="B210" s="16"/>
      <c r="C210" s="130">
        <f t="shared" ca="1" si="10"/>
        <v>186</v>
      </c>
      <c r="D210" s="181" t="s">
        <v>291</v>
      </c>
      <c r="E210" s="333" t="s">
        <v>198</v>
      </c>
      <c r="F210" s="152" t="s">
        <v>226</v>
      </c>
      <c r="G210" s="163"/>
      <c r="H210" s="152" t="s">
        <v>219</v>
      </c>
      <c r="I210" s="156" t="s">
        <v>998</v>
      </c>
      <c r="J210" s="75" t="s">
        <v>15</v>
      </c>
      <c r="K210" s="407">
        <v>46063</v>
      </c>
      <c r="L210" s="40" t="s">
        <v>4</v>
      </c>
      <c r="M210" s="40"/>
      <c r="N210" s="40" t="s">
        <v>208</v>
      </c>
      <c r="O210" s="356"/>
      <c r="P210" s="75" t="s">
        <v>15</v>
      </c>
      <c r="Q210" s="222"/>
      <c r="R210" s="407"/>
      <c r="S210" s="40"/>
      <c r="T210" s="335"/>
    </row>
    <row r="211" spans="1:20" ht="15.75" customHeight="1" x14ac:dyDescent="0.3">
      <c r="A211" s="16"/>
      <c r="B211" s="16"/>
      <c r="C211" s="130">
        <f t="shared" ca="1" si="10"/>
        <v>187</v>
      </c>
      <c r="D211" s="181" t="s">
        <v>811</v>
      </c>
      <c r="E211" s="450" t="s">
        <v>200</v>
      </c>
      <c r="F211" s="158" t="s">
        <v>207</v>
      </c>
      <c r="G211" s="163"/>
      <c r="H211" s="153" t="s">
        <v>207</v>
      </c>
      <c r="I211" s="164" t="s">
        <v>999</v>
      </c>
      <c r="J211" s="75" t="s">
        <v>15</v>
      </c>
      <c r="K211" s="407">
        <v>46063</v>
      </c>
      <c r="L211" s="40" t="s">
        <v>4</v>
      </c>
      <c r="M211" s="40" t="s">
        <v>208</v>
      </c>
      <c r="N211" s="40"/>
      <c r="O211" s="349" t="s">
        <v>1000</v>
      </c>
      <c r="P211" s="75" t="s">
        <v>15</v>
      </c>
      <c r="Q211" s="275" t="s">
        <v>211</v>
      </c>
      <c r="R211" s="407"/>
      <c r="S211" s="41" t="s">
        <v>430</v>
      </c>
      <c r="T211" s="335" t="s">
        <v>972</v>
      </c>
    </row>
    <row r="212" spans="1:20" ht="15.75" customHeight="1" x14ac:dyDescent="0.3">
      <c r="A212" s="16"/>
      <c r="B212" s="16"/>
      <c r="C212" s="130">
        <f t="shared" ca="1" si="10"/>
        <v>188</v>
      </c>
      <c r="D212" s="181" t="s">
        <v>814</v>
      </c>
      <c r="E212" s="450"/>
      <c r="F212" s="158"/>
      <c r="G212" s="163"/>
      <c r="H212" s="152" t="s">
        <v>974</v>
      </c>
      <c r="I212" s="164" t="s">
        <v>1001</v>
      </c>
      <c r="J212" s="75" t="s">
        <v>15</v>
      </c>
      <c r="K212" s="407">
        <v>46063</v>
      </c>
      <c r="L212" s="40" t="s">
        <v>4</v>
      </c>
      <c r="M212" s="40"/>
      <c r="N212" s="40" t="s">
        <v>208</v>
      </c>
      <c r="O212" s="356"/>
      <c r="P212" s="75" t="s">
        <v>15</v>
      </c>
      <c r="Q212" s="222"/>
      <c r="R212" s="407"/>
      <c r="S212" s="40"/>
      <c r="T212" s="335"/>
    </row>
    <row r="213" spans="1:20" ht="15.75" customHeight="1" x14ac:dyDescent="0.3">
      <c r="A213" s="16"/>
      <c r="B213" s="16"/>
      <c r="C213" s="130">
        <f t="shared" ca="1" si="10"/>
        <v>189</v>
      </c>
      <c r="D213" s="181"/>
      <c r="E213" s="152" t="s">
        <v>758</v>
      </c>
      <c r="F213" s="171"/>
      <c r="G213" s="152" t="s">
        <v>713</v>
      </c>
      <c r="H213" s="152" t="s">
        <v>714</v>
      </c>
      <c r="I213" s="152" t="s">
        <v>976</v>
      </c>
      <c r="J213" s="75" t="s">
        <v>15</v>
      </c>
      <c r="K213" s="407">
        <v>46063</v>
      </c>
      <c r="L213" s="40" t="s">
        <v>4</v>
      </c>
      <c r="M213" s="40" t="s">
        <v>208</v>
      </c>
      <c r="N213" s="40"/>
      <c r="O213" s="349" t="s">
        <v>1002</v>
      </c>
      <c r="P213" s="75" t="s">
        <v>15</v>
      </c>
      <c r="Q213" s="222"/>
      <c r="R213" s="407"/>
      <c r="S213" s="40"/>
      <c r="T213" s="335"/>
    </row>
    <row r="214" spans="1:20" ht="15.75" customHeight="1" x14ac:dyDescent="0.3">
      <c r="A214" s="16"/>
      <c r="B214" s="16"/>
      <c r="C214" s="130">
        <f t="shared" ca="1" si="10"/>
        <v>190</v>
      </c>
      <c r="D214" s="181"/>
      <c r="E214" s="214"/>
      <c r="F214" s="171"/>
      <c r="G214" s="152" t="s">
        <v>717</v>
      </c>
      <c r="H214" s="152" t="s">
        <v>718</v>
      </c>
      <c r="I214" s="152" t="s">
        <v>1003</v>
      </c>
      <c r="J214" s="75" t="s">
        <v>15</v>
      </c>
      <c r="K214" s="407">
        <v>46063</v>
      </c>
      <c r="L214" s="40" t="s">
        <v>4</v>
      </c>
      <c r="M214" s="40" t="s">
        <v>208</v>
      </c>
      <c r="N214" s="40"/>
      <c r="O214" s="349" t="s">
        <v>1004</v>
      </c>
      <c r="P214" s="75" t="s">
        <v>15</v>
      </c>
      <c r="Q214" s="117"/>
      <c r="R214" s="407"/>
      <c r="S214" s="40"/>
      <c r="T214" s="335"/>
    </row>
    <row r="215" spans="1:20" ht="15.75" customHeight="1" x14ac:dyDescent="0.3">
      <c r="A215" s="16"/>
      <c r="B215" s="16"/>
      <c r="C215" s="130">
        <f t="shared" ca="1" si="10"/>
        <v>191</v>
      </c>
      <c r="D215" s="181" t="s">
        <v>292</v>
      </c>
      <c r="E215" s="333" t="s">
        <v>198</v>
      </c>
      <c r="F215" s="152" t="s">
        <v>226</v>
      </c>
      <c r="G215" s="163"/>
      <c r="H215" s="152" t="s">
        <v>219</v>
      </c>
      <c r="I215" s="156" t="s">
        <v>1005</v>
      </c>
      <c r="J215" s="75" t="s">
        <v>15</v>
      </c>
      <c r="K215" s="407">
        <v>46063</v>
      </c>
      <c r="L215" s="40" t="s">
        <v>4</v>
      </c>
      <c r="M215" s="40"/>
      <c r="N215" s="40" t="s">
        <v>208</v>
      </c>
      <c r="O215" s="356"/>
      <c r="P215" s="75" t="s">
        <v>15</v>
      </c>
      <c r="Q215" s="222"/>
      <c r="R215" s="407"/>
      <c r="S215" s="40"/>
      <c r="T215" s="335"/>
    </row>
    <row r="216" spans="1:20" ht="15.75" customHeight="1" x14ac:dyDescent="0.3">
      <c r="A216" s="16"/>
      <c r="B216" s="16"/>
      <c r="C216" s="130">
        <f t="shared" ca="1" si="10"/>
        <v>192</v>
      </c>
      <c r="D216" s="181" t="s">
        <v>821</v>
      </c>
      <c r="E216" s="450" t="s">
        <v>200</v>
      </c>
      <c r="F216" s="158" t="s">
        <v>207</v>
      </c>
      <c r="G216" s="163"/>
      <c r="H216" s="153" t="s">
        <v>207</v>
      </c>
      <c r="I216" s="164" t="s">
        <v>1006</v>
      </c>
      <c r="J216" s="75" t="s">
        <v>15</v>
      </c>
      <c r="K216" s="407">
        <v>46063</v>
      </c>
      <c r="L216" s="40" t="s">
        <v>4</v>
      </c>
      <c r="M216" s="40" t="s">
        <v>208</v>
      </c>
      <c r="N216" s="40"/>
      <c r="O216" s="349" t="s">
        <v>1007</v>
      </c>
      <c r="P216" s="75" t="s">
        <v>15</v>
      </c>
      <c r="Q216" s="275" t="s">
        <v>211</v>
      </c>
      <c r="R216" s="407"/>
      <c r="S216" s="41" t="s">
        <v>430</v>
      </c>
      <c r="T216" s="335" t="s">
        <v>972</v>
      </c>
    </row>
    <row r="217" spans="1:20" ht="15.75" customHeight="1" x14ac:dyDescent="0.3">
      <c r="A217" s="16"/>
      <c r="B217" s="16"/>
      <c r="C217" s="130">
        <f t="shared" ca="1" si="10"/>
        <v>193</v>
      </c>
      <c r="D217" s="181" t="s">
        <v>1008</v>
      </c>
      <c r="E217" s="450"/>
      <c r="F217" s="158"/>
      <c r="G217" s="163"/>
      <c r="H217" s="152" t="s">
        <v>974</v>
      </c>
      <c r="I217" s="164" t="s">
        <v>1001</v>
      </c>
      <c r="J217" s="75" t="s">
        <v>15</v>
      </c>
      <c r="K217" s="407">
        <v>46063</v>
      </c>
      <c r="L217" s="40" t="s">
        <v>4</v>
      </c>
      <c r="M217" s="40"/>
      <c r="N217" s="40" t="s">
        <v>208</v>
      </c>
      <c r="O217" s="356"/>
      <c r="P217" s="75" t="s">
        <v>15</v>
      </c>
      <c r="Q217" s="222"/>
      <c r="R217" s="407"/>
      <c r="S217" s="40"/>
      <c r="T217" s="335"/>
    </row>
    <row r="218" spans="1:20" ht="15.75" customHeight="1" x14ac:dyDescent="0.3">
      <c r="A218" s="16"/>
      <c r="B218" s="16"/>
      <c r="C218" s="130">
        <f t="shared" ca="1" si="10"/>
        <v>194</v>
      </c>
      <c r="D218" s="181"/>
      <c r="E218" s="152" t="s">
        <v>758</v>
      </c>
      <c r="F218" s="171"/>
      <c r="G218" s="152" t="s">
        <v>713</v>
      </c>
      <c r="H218" s="152" t="s">
        <v>714</v>
      </c>
      <c r="I218" s="152" t="s">
        <v>976</v>
      </c>
      <c r="J218" s="75" t="s">
        <v>15</v>
      </c>
      <c r="K218" s="407">
        <v>46063</v>
      </c>
      <c r="L218" s="40" t="s">
        <v>4</v>
      </c>
      <c r="M218" s="40" t="s">
        <v>208</v>
      </c>
      <c r="N218" s="40"/>
      <c r="O218" s="349" t="s">
        <v>1009</v>
      </c>
      <c r="P218" s="75" t="s">
        <v>15</v>
      </c>
      <c r="Q218" s="222"/>
      <c r="R218" s="407"/>
      <c r="S218" s="40"/>
      <c r="T218" s="335"/>
    </row>
    <row r="219" spans="1:20" ht="15.75" customHeight="1" x14ac:dyDescent="0.3">
      <c r="A219" s="16"/>
      <c r="B219" s="16"/>
      <c r="C219" s="130">
        <f t="shared" ca="1" si="10"/>
        <v>195</v>
      </c>
      <c r="D219" s="181"/>
      <c r="E219" s="339"/>
      <c r="F219" s="171"/>
      <c r="G219" s="152" t="s">
        <v>717</v>
      </c>
      <c r="H219" s="152" t="s">
        <v>718</v>
      </c>
      <c r="I219" s="152" t="s">
        <v>1010</v>
      </c>
      <c r="J219" s="75" t="s">
        <v>15</v>
      </c>
      <c r="K219" s="407">
        <v>46063</v>
      </c>
      <c r="L219" s="40" t="s">
        <v>4</v>
      </c>
      <c r="M219" s="40" t="s">
        <v>208</v>
      </c>
      <c r="N219" s="40"/>
      <c r="O219" s="349" t="s">
        <v>1011</v>
      </c>
      <c r="P219" s="75" t="s">
        <v>15</v>
      </c>
      <c r="Q219" s="117"/>
      <c r="R219" s="407"/>
      <c r="S219" s="40"/>
      <c r="T219" s="335"/>
    </row>
    <row r="220" spans="1:20" ht="15.75" customHeight="1" x14ac:dyDescent="0.3">
      <c r="A220" s="16"/>
      <c r="B220" s="16"/>
      <c r="C220" s="130">
        <f t="shared" ca="1" si="10"/>
        <v>196</v>
      </c>
      <c r="D220" s="181" t="s">
        <v>293</v>
      </c>
      <c r="E220" s="333" t="s">
        <v>198</v>
      </c>
      <c r="F220" s="152" t="s">
        <v>226</v>
      </c>
      <c r="G220" s="163"/>
      <c r="H220" s="152" t="s">
        <v>219</v>
      </c>
      <c r="I220" s="156" t="s">
        <v>1012</v>
      </c>
      <c r="J220" s="75" t="s">
        <v>15</v>
      </c>
      <c r="K220" s="407">
        <v>46063</v>
      </c>
      <c r="L220" s="40" t="s">
        <v>4</v>
      </c>
      <c r="M220" s="40"/>
      <c r="N220" s="40" t="s">
        <v>208</v>
      </c>
      <c r="O220" s="356"/>
      <c r="P220" s="75" t="s">
        <v>15</v>
      </c>
      <c r="Q220" s="222"/>
      <c r="R220" s="407"/>
      <c r="S220" s="40"/>
      <c r="T220" s="335"/>
    </row>
    <row r="221" spans="1:20" ht="15.75" customHeight="1" x14ac:dyDescent="0.3">
      <c r="A221" s="16"/>
      <c r="B221" s="16"/>
      <c r="C221" s="130">
        <f t="shared" ca="1" si="10"/>
        <v>197</v>
      </c>
      <c r="D221" s="181" t="s">
        <v>830</v>
      </c>
      <c r="E221" s="450" t="s">
        <v>200</v>
      </c>
      <c r="F221" s="158" t="s">
        <v>207</v>
      </c>
      <c r="G221" s="163"/>
      <c r="H221" s="153" t="s">
        <v>207</v>
      </c>
      <c r="I221" s="164" t="s">
        <v>1013</v>
      </c>
      <c r="J221" s="75" t="s">
        <v>15</v>
      </c>
      <c r="K221" s="407">
        <v>46063</v>
      </c>
      <c r="L221" s="40" t="s">
        <v>4</v>
      </c>
      <c r="M221" s="40" t="s">
        <v>208</v>
      </c>
      <c r="N221" s="40"/>
      <c r="O221" s="349" t="s">
        <v>1014</v>
      </c>
      <c r="P221" s="75" t="s">
        <v>15</v>
      </c>
      <c r="Q221" s="275" t="s">
        <v>211</v>
      </c>
      <c r="R221" s="407"/>
      <c r="S221" s="41" t="s">
        <v>430</v>
      </c>
      <c r="T221" s="335" t="s">
        <v>972</v>
      </c>
    </row>
    <row r="222" spans="1:20" ht="15.75" customHeight="1" x14ac:dyDescent="0.3">
      <c r="A222" s="16"/>
      <c r="B222" s="16"/>
      <c r="C222" s="130">
        <f t="shared" ca="1" si="10"/>
        <v>198</v>
      </c>
      <c r="D222" s="181" t="s">
        <v>833</v>
      </c>
      <c r="E222" s="450"/>
      <c r="F222" s="158"/>
      <c r="G222" s="163"/>
      <c r="H222" s="152" t="s">
        <v>974</v>
      </c>
      <c r="I222" s="164" t="s">
        <v>1001</v>
      </c>
      <c r="J222" s="75" t="s">
        <v>15</v>
      </c>
      <c r="K222" s="407">
        <v>46063</v>
      </c>
      <c r="L222" s="40" t="s">
        <v>4</v>
      </c>
      <c r="M222" s="40"/>
      <c r="N222" s="40" t="s">
        <v>208</v>
      </c>
      <c r="O222" s="356"/>
      <c r="P222" s="75" t="s">
        <v>15</v>
      </c>
      <c r="Q222" s="222"/>
      <c r="R222" s="407"/>
      <c r="S222" s="40"/>
      <c r="T222" s="335"/>
    </row>
    <row r="223" spans="1:20" ht="15.75" customHeight="1" x14ac:dyDescent="0.3">
      <c r="A223" s="16"/>
      <c r="B223" s="16"/>
      <c r="C223" s="130">
        <f t="shared" ca="1" si="10"/>
        <v>199</v>
      </c>
      <c r="D223" s="181"/>
      <c r="E223" s="654" t="s">
        <v>758</v>
      </c>
      <c r="F223" s="171"/>
      <c r="G223" s="152" t="s">
        <v>713</v>
      </c>
      <c r="H223" s="152" t="s">
        <v>714</v>
      </c>
      <c r="I223" s="152" t="s">
        <v>976</v>
      </c>
      <c r="J223" s="75" t="s">
        <v>15</v>
      </c>
      <c r="K223" s="407">
        <v>46063</v>
      </c>
      <c r="L223" s="40" t="s">
        <v>4</v>
      </c>
      <c r="M223" s="40" t="s">
        <v>208</v>
      </c>
      <c r="N223" s="40"/>
      <c r="O223" s="349" t="s">
        <v>1015</v>
      </c>
      <c r="P223" s="75" t="s">
        <v>15</v>
      </c>
      <c r="Q223" s="222"/>
      <c r="R223" s="407"/>
      <c r="S223" s="40"/>
      <c r="T223" s="335"/>
    </row>
    <row r="224" spans="1:20" ht="15.75" customHeight="1" x14ac:dyDescent="0.3">
      <c r="A224" s="16"/>
      <c r="B224" s="16"/>
      <c r="C224" s="130">
        <f t="shared" ca="1" si="10"/>
        <v>200</v>
      </c>
      <c r="D224" s="181"/>
      <c r="E224" s="635"/>
      <c r="F224" s="171"/>
      <c r="G224" s="152" t="s">
        <v>717</v>
      </c>
      <c r="H224" s="152" t="s">
        <v>718</v>
      </c>
      <c r="I224" s="152" t="s">
        <v>1016</v>
      </c>
      <c r="J224" s="75" t="s">
        <v>15</v>
      </c>
      <c r="K224" s="407">
        <v>46063</v>
      </c>
      <c r="L224" s="40" t="s">
        <v>4</v>
      </c>
      <c r="M224" s="40" t="s">
        <v>208</v>
      </c>
      <c r="N224" s="40"/>
      <c r="O224" s="349" t="s">
        <v>1017</v>
      </c>
      <c r="P224" s="75" t="s">
        <v>15</v>
      </c>
      <c r="Q224" s="117"/>
      <c r="R224" s="407"/>
      <c r="S224" s="40"/>
      <c r="T224" s="335"/>
    </row>
    <row r="225" spans="1:20" ht="15.75" customHeight="1" x14ac:dyDescent="0.3">
      <c r="A225" s="15"/>
      <c r="B225" s="15"/>
      <c r="C225" s="130">
        <f t="shared" ca="1" si="10"/>
        <v>201</v>
      </c>
      <c r="D225" s="304" t="s">
        <v>1018</v>
      </c>
      <c r="E225" s="473" t="s">
        <v>198</v>
      </c>
      <c r="F225" s="174" t="s">
        <v>226</v>
      </c>
      <c r="G225" s="173"/>
      <c r="H225" s="175" t="s">
        <v>219</v>
      </c>
      <c r="I225" s="169" t="s">
        <v>1019</v>
      </c>
      <c r="J225" s="75" t="s">
        <v>15</v>
      </c>
      <c r="K225" s="407">
        <v>46063</v>
      </c>
      <c r="L225" s="40" t="s">
        <v>4</v>
      </c>
      <c r="M225" s="340"/>
      <c r="N225" s="40" t="s">
        <v>208</v>
      </c>
      <c r="O225" s="474"/>
      <c r="P225" s="75" t="s">
        <v>15</v>
      </c>
      <c r="Q225" s="340"/>
      <c r="R225" s="475"/>
      <c r="S225" s="340"/>
      <c r="T225" s="390"/>
    </row>
    <row r="226" spans="1:20" ht="15.75" customHeight="1" x14ac:dyDescent="0.3">
      <c r="A226" s="16"/>
      <c r="B226" s="16"/>
      <c r="C226" s="130">
        <f t="shared" ca="1" si="10"/>
        <v>202</v>
      </c>
      <c r="D226" s="181" t="s">
        <v>296</v>
      </c>
      <c r="E226" s="333" t="s">
        <v>198</v>
      </c>
      <c r="F226" s="152" t="s">
        <v>226</v>
      </c>
      <c r="G226" s="163"/>
      <c r="H226" s="152" t="s">
        <v>219</v>
      </c>
      <c r="I226" s="156" t="s">
        <v>1020</v>
      </c>
      <c r="J226" s="75" t="s">
        <v>15</v>
      </c>
      <c r="K226" s="407">
        <v>46063</v>
      </c>
      <c r="L226" s="40" t="s">
        <v>4</v>
      </c>
      <c r="M226" s="40"/>
      <c r="N226" s="40" t="s">
        <v>208</v>
      </c>
      <c r="O226" s="356"/>
      <c r="P226" s="75" t="s">
        <v>15</v>
      </c>
      <c r="Q226" s="222"/>
      <c r="R226" s="407"/>
      <c r="S226" s="40"/>
      <c r="T226" s="335"/>
    </row>
    <row r="227" spans="1:20" ht="15.75" customHeight="1" x14ac:dyDescent="0.3">
      <c r="A227" s="16"/>
      <c r="B227" s="16"/>
      <c r="C227" s="130">
        <f t="shared" ca="1" si="10"/>
        <v>203</v>
      </c>
      <c r="D227" s="181" t="s">
        <v>839</v>
      </c>
      <c r="E227" s="450" t="s">
        <v>200</v>
      </c>
      <c r="F227" s="158" t="s">
        <v>207</v>
      </c>
      <c r="G227" s="163"/>
      <c r="H227" s="153" t="s">
        <v>207</v>
      </c>
      <c r="I227" s="164" t="s">
        <v>1021</v>
      </c>
      <c r="J227" s="75" t="s">
        <v>15</v>
      </c>
      <c r="K227" s="407">
        <v>46063</v>
      </c>
      <c r="L227" s="40" t="s">
        <v>4</v>
      </c>
      <c r="M227" s="40" t="s">
        <v>208</v>
      </c>
      <c r="N227" s="40"/>
      <c r="O227" s="349" t="s">
        <v>1022</v>
      </c>
      <c r="P227" s="75" t="s">
        <v>15</v>
      </c>
      <c r="Q227" s="275" t="s">
        <v>211</v>
      </c>
      <c r="R227" s="407"/>
      <c r="S227" s="41" t="s">
        <v>430</v>
      </c>
      <c r="T227" s="335" t="s">
        <v>972</v>
      </c>
    </row>
    <row r="228" spans="1:20" ht="15.75" customHeight="1" x14ac:dyDescent="0.3">
      <c r="A228" s="16"/>
      <c r="B228" s="16"/>
      <c r="C228" s="130">
        <f t="shared" ca="1" si="10"/>
        <v>204</v>
      </c>
      <c r="D228" s="181" t="s">
        <v>842</v>
      </c>
      <c r="E228" s="450"/>
      <c r="F228" s="158"/>
      <c r="G228" s="163"/>
      <c r="H228" s="152" t="s">
        <v>974</v>
      </c>
      <c r="I228" s="164" t="s">
        <v>1023</v>
      </c>
      <c r="J228" s="75" t="s">
        <v>15</v>
      </c>
      <c r="K228" s="407">
        <v>46063</v>
      </c>
      <c r="L228" s="40" t="s">
        <v>4</v>
      </c>
      <c r="M228" s="40"/>
      <c r="N228" s="40" t="s">
        <v>208</v>
      </c>
      <c r="O228" s="356"/>
      <c r="P228" s="75" t="s">
        <v>15</v>
      </c>
      <c r="Q228" s="222"/>
      <c r="R228" s="407"/>
      <c r="S228" s="40"/>
      <c r="T228" s="335"/>
    </row>
    <row r="229" spans="1:20" ht="15.75" customHeight="1" x14ac:dyDescent="0.3">
      <c r="A229" s="16"/>
      <c r="B229" s="16"/>
      <c r="C229" s="130">
        <f t="shared" ca="1" si="10"/>
        <v>205</v>
      </c>
      <c r="D229" s="181"/>
      <c r="E229" s="672" t="s">
        <v>758</v>
      </c>
      <c r="F229" s="171"/>
      <c r="G229" s="152" t="s">
        <v>713</v>
      </c>
      <c r="H229" s="152" t="s">
        <v>714</v>
      </c>
      <c r="I229" s="152" t="s">
        <v>976</v>
      </c>
      <c r="J229" s="75" t="s">
        <v>15</v>
      </c>
      <c r="K229" s="407">
        <v>46063</v>
      </c>
      <c r="L229" s="40" t="s">
        <v>4</v>
      </c>
      <c r="M229" s="40" t="s">
        <v>208</v>
      </c>
      <c r="N229" s="40"/>
      <c r="O229" s="349" t="s">
        <v>1024</v>
      </c>
      <c r="P229" s="75" t="s">
        <v>15</v>
      </c>
      <c r="Q229" s="222"/>
      <c r="R229" s="407"/>
      <c r="S229" s="40"/>
      <c r="T229" s="335"/>
    </row>
    <row r="230" spans="1:20" ht="15.75" customHeight="1" x14ac:dyDescent="0.3">
      <c r="A230" s="16"/>
      <c r="B230" s="16"/>
      <c r="C230" s="130">
        <f t="shared" ca="1" si="10"/>
        <v>206</v>
      </c>
      <c r="D230" s="181"/>
      <c r="E230" s="635"/>
      <c r="F230" s="171"/>
      <c r="G230" s="152" t="s">
        <v>717</v>
      </c>
      <c r="H230" s="152" t="s">
        <v>718</v>
      </c>
      <c r="I230" s="152" t="s">
        <v>1025</v>
      </c>
      <c r="J230" s="75" t="s">
        <v>15</v>
      </c>
      <c r="K230" s="407">
        <v>46063</v>
      </c>
      <c r="L230" s="40" t="s">
        <v>4</v>
      </c>
      <c r="M230" s="40" t="s">
        <v>208</v>
      </c>
      <c r="N230" s="40"/>
      <c r="O230" s="349" t="s">
        <v>1026</v>
      </c>
      <c r="P230" s="75" t="s">
        <v>15</v>
      </c>
      <c r="Q230" s="117"/>
      <c r="R230" s="407"/>
      <c r="S230" s="40"/>
      <c r="T230" s="335"/>
    </row>
    <row r="231" spans="1:20" ht="15.75" customHeight="1" x14ac:dyDescent="0.3">
      <c r="A231" s="16"/>
      <c r="B231" s="16"/>
      <c r="C231" s="130">
        <f t="shared" ca="1" si="10"/>
        <v>207</v>
      </c>
      <c r="D231" s="181" t="s">
        <v>297</v>
      </c>
      <c r="E231" s="333" t="s">
        <v>198</v>
      </c>
      <c r="F231" s="152" t="s">
        <v>226</v>
      </c>
      <c r="G231" s="163"/>
      <c r="H231" s="152" t="s">
        <v>219</v>
      </c>
      <c r="I231" s="156" t="s">
        <v>1027</v>
      </c>
      <c r="J231" s="75" t="s">
        <v>15</v>
      </c>
      <c r="K231" s="407">
        <v>46063</v>
      </c>
      <c r="L231" s="40" t="s">
        <v>4</v>
      </c>
      <c r="M231" s="40"/>
      <c r="N231" s="40" t="s">
        <v>208</v>
      </c>
      <c r="O231" s="356"/>
      <c r="P231" s="75" t="s">
        <v>15</v>
      </c>
      <c r="Q231" s="222"/>
      <c r="R231" s="407"/>
      <c r="S231" s="40"/>
      <c r="T231" s="335"/>
    </row>
    <row r="232" spans="1:20" ht="15.75" customHeight="1" x14ac:dyDescent="0.3">
      <c r="A232" s="16"/>
      <c r="B232" s="16"/>
      <c r="C232" s="130">
        <f t="shared" ca="1" si="10"/>
        <v>208</v>
      </c>
      <c r="D232" s="181" t="s">
        <v>848</v>
      </c>
      <c r="E232" s="450" t="s">
        <v>200</v>
      </c>
      <c r="F232" s="158" t="s">
        <v>207</v>
      </c>
      <c r="G232" s="163"/>
      <c r="H232" s="153" t="s">
        <v>207</v>
      </c>
      <c r="I232" s="164" t="s">
        <v>1028</v>
      </c>
      <c r="J232" s="75" t="s">
        <v>15</v>
      </c>
      <c r="K232" s="407">
        <v>46063</v>
      </c>
      <c r="L232" s="40" t="s">
        <v>4</v>
      </c>
      <c r="M232" s="40" t="s">
        <v>208</v>
      </c>
      <c r="N232" s="40"/>
      <c r="O232" s="349" t="s">
        <v>1022</v>
      </c>
      <c r="P232" s="75" t="s">
        <v>15</v>
      </c>
      <c r="Q232" s="275" t="s">
        <v>211</v>
      </c>
      <c r="R232" s="407"/>
      <c r="S232" s="41" t="s">
        <v>430</v>
      </c>
      <c r="T232" s="335" t="s">
        <v>972</v>
      </c>
    </row>
    <row r="233" spans="1:20" ht="15.75" customHeight="1" x14ac:dyDescent="0.3">
      <c r="A233" s="16"/>
      <c r="B233" s="16"/>
      <c r="C233" s="130">
        <f t="shared" ca="1" si="10"/>
        <v>209</v>
      </c>
      <c r="D233" s="181" t="s">
        <v>851</v>
      </c>
      <c r="E233" s="450"/>
      <c r="F233" s="158"/>
      <c r="G233" s="163"/>
      <c r="H233" s="152" t="s">
        <v>974</v>
      </c>
      <c r="I233" s="164" t="s">
        <v>1023</v>
      </c>
      <c r="J233" s="75" t="s">
        <v>15</v>
      </c>
      <c r="K233" s="407">
        <v>46063</v>
      </c>
      <c r="L233" s="40" t="s">
        <v>4</v>
      </c>
      <c r="M233" s="40"/>
      <c r="N233" s="40" t="s">
        <v>208</v>
      </c>
      <c r="O233" s="356"/>
      <c r="P233" s="75" t="s">
        <v>15</v>
      </c>
      <c r="Q233" s="222"/>
      <c r="R233" s="407"/>
      <c r="S233" s="40"/>
      <c r="T233" s="335"/>
    </row>
    <row r="234" spans="1:20" ht="15.75" customHeight="1" x14ac:dyDescent="0.3">
      <c r="A234" s="16"/>
      <c r="B234" s="16"/>
      <c r="C234" s="130">
        <f t="shared" ca="1" si="10"/>
        <v>210</v>
      </c>
      <c r="D234" s="181"/>
      <c r="E234" s="672" t="s">
        <v>758</v>
      </c>
      <c r="F234" s="171"/>
      <c r="G234" s="152" t="s">
        <v>713</v>
      </c>
      <c r="H234" s="152" t="s">
        <v>714</v>
      </c>
      <c r="I234" s="152" t="s">
        <v>976</v>
      </c>
      <c r="J234" s="75" t="s">
        <v>15</v>
      </c>
      <c r="K234" s="407">
        <v>46063</v>
      </c>
      <c r="L234" s="40" t="s">
        <v>4</v>
      </c>
      <c r="M234" s="40" t="s">
        <v>208</v>
      </c>
      <c r="N234" s="40"/>
      <c r="O234" s="349" t="s">
        <v>1029</v>
      </c>
      <c r="P234" s="75" t="s">
        <v>15</v>
      </c>
      <c r="Q234" s="222"/>
      <c r="R234" s="407"/>
      <c r="S234" s="40"/>
      <c r="T234" s="335"/>
    </row>
    <row r="235" spans="1:20" ht="15.75" customHeight="1" x14ac:dyDescent="0.3">
      <c r="A235" s="16"/>
      <c r="B235" s="16"/>
      <c r="C235" s="130">
        <f t="shared" ca="1" si="10"/>
        <v>211</v>
      </c>
      <c r="D235" s="181"/>
      <c r="E235" s="635"/>
      <c r="F235" s="171"/>
      <c r="G235" s="152" t="s">
        <v>717</v>
      </c>
      <c r="H235" s="152" t="s">
        <v>718</v>
      </c>
      <c r="I235" s="152" t="s">
        <v>1030</v>
      </c>
      <c r="J235" s="75" t="s">
        <v>15</v>
      </c>
      <c r="K235" s="407">
        <v>46063</v>
      </c>
      <c r="L235" s="40" t="s">
        <v>4</v>
      </c>
      <c r="M235" s="40" t="s">
        <v>208</v>
      </c>
      <c r="N235" s="40"/>
      <c r="O235" s="349" t="s">
        <v>1031</v>
      </c>
      <c r="P235" s="75" t="s">
        <v>15</v>
      </c>
      <c r="Q235" s="117"/>
      <c r="R235" s="407"/>
      <c r="S235" s="40"/>
      <c r="T235" s="335"/>
    </row>
    <row r="236" spans="1:20" ht="15.75" customHeight="1" x14ac:dyDescent="0.3">
      <c r="A236" s="16"/>
      <c r="B236" s="16"/>
      <c r="C236" s="130">
        <f t="shared" ca="1" si="10"/>
        <v>212</v>
      </c>
      <c r="D236" s="181" t="s">
        <v>298</v>
      </c>
      <c r="E236" s="333" t="s">
        <v>198</v>
      </c>
      <c r="F236" s="152" t="s">
        <v>226</v>
      </c>
      <c r="G236" s="163"/>
      <c r="H236" s="152" t="s">
        <v>219</v>
      </c>
      <c r="I236" s="156" t="s">
        <v>1032</v>
      </c>
      <c r="J236" s="75" t="s">
        <v>15</v>
      </c>
      <c r="K236" s="407">
        <v>46063</v>
      </c>
      <c r="L236" s="40" t="s">
        <v>4</v>
      </c>
      <c r="M236" s="40"/>
      <c r="N236" s="40" t="s">
        <v>208</v>
      </c>
      <c r="O236" s="356"/>
      <c r="P236" s="183" t="s">
        <v>15</v>
      </c>
      <c r="Q236" s="222"/>
      <c r="R236" s="407"/>
      <c r="S236" s="40"/>
      <c r="T236" s="335"/>
    </row>
    <row r="237" spans="1:20" ht="15.75" customHeight="1" x14ac:dyDescent="0.3">
      <c r="A237" s="16"/>
      <c r="B237" s="16"/>
      <c r="C237" s="130">
        <f t="shared" ca="1" si="10"/>
        <v>213</v>
      </c>
      <c r="D237" s="181" t="s">
        <v>857</v>
      </c>
      <c r="E237" s="450" t="s">
        <v>200</v>
      </c>
      <c r="F237" s="158" t="s">
        <v>207</v>
      </c>
      <c r="G237" s="163"/>
      <c r="H237" s="153" t="s">
        <v>207</v>
      </c>
      <c r="I237" s="164" t="s">
        <v>1033</v>
      </c>
      <c r="J237" s="75" t="s">
        <v>15</v>
      </c>
      <c r="K237" s="407">
        <v>46063</v>
      </c>
      <c r="L237" s="40" t="s">
        <v>4</v>
      </c>
      <c r="M237" s="40" t="s">
        <v>208</v>
      </c>
      <c r="N237" s="40"/>
      <c r="O237" s="349" t="s">
        <v>1034</v>
      </c>
      <c r="P237" s="75" t="s">
        <v>15</v>
      </c>
      <c r="Q237" s="275" t="s">
        <v>211</v>
      </c>
      <c r="R237" s="407"/>
      <c r="S237" s="41" t="s">
        <v>430</v>
      </c>
      <c r="T237" s="335" t="s">
        <v>972</v>
      </c>
    </row>
    <row r="238" spans="1:20" ht="15.75" customHeight="1" x14ac:dyDescent="0.3">
      <c r="A238" s="16"/>
      <c r="B238" s="16"/>
      <c r="C238" s="130">
        <f t="shared" ca="1" si="10"/>
        <v>214</v>
      </c>
      <c r="D238" s="181" t="s">
        <v>860</v>
      </c>
      <c r="E238" s="306"/>
      <c r="F238" s="158"/>
      <c r="G238" s="163"/>
      <c r="H238" s="152" t="s">
        <v>974</v>
      </c>
      <c r="I238" s="164" t="s">
        <v>1023</v>
      </c>
      <c r="J238" s="75" t="s">
        <v>15</v>
      </c>
      <c r="K238" s="407">
        <v>46063</v>
      </c>
      <c r="L238" s="40" t="s">
        <v>4</v>
      </c>
      <c r="M238" s="40"/>
      <c r="N238" s="40" t="s">
        <v>208</v>
      </c>
      <c r="O238" s="356"/>
      <c r="P238" s="183" t="s">
        <v>15</v>
      </c>
      <c r="Q238" s="222"/>
      <c r="R238" s="407"/>
      <c r="S238" s="40"/>
      <c r="T238" s="335"/>
    </row>
    <row r="239" spans="1:20" ht="15.75" customHeight="1" x14ac:dyDescent="0.3">
      <c r="A239" s="16"/>
      <c r="B239" s="16"/>
      <c r="C239" s="130">
        <f t="shared" ca="1" si="10"/>
        <v>215</v>
      </c>
      <c r="D239" s="181"/>
      <c r="E239" s="672" t="s">
        <v>758</v>
      </c>
      <c r="F239" s="171"/>
      <c r="G239" s="152" t="s">
        <v>713</v>
      </c>
      <c r="H239" s="152" t="s">
        <v>714</v>
      </c>
      <c r="I239" s="152" t="s">
        <v>976</v>
      </c>
      <c r="J239" s="75" t="s">
        <v>15</v>
      </c>
      <c r="K239" s="407">
        <v>46063</v>
      </c>
      <c r="L239" s="40" t="s">
        <v>4</v>
      </c>
      <c r="M239" s="40" t="s">
        <v>208</v>
      </c>
      <c r="N239" s="40"/>
      <c r="O239" s="349" t="s">
        <v>1035</v>
      </c>
      <c r="P239" s="75" t="s">
        <v>15</v>
      </c>
      <c r="Q239" s="222"/>
      <c r="R239" s="407"/>
      <c r="S239" s="40"/>
      <c r="T239" s="335"/>
    </row>
    <row r="240" spans="1:20" ht="15.75" customHeight="1" x14ac:dyDescent="0.3">
      <c r="A240" s="16"/>
      <c r="B240" s="16"/>
      <c r="C240" s="130">
        <f t="shared" ca="1" si="10"/>
        <v>216</v>
      </c>
      <c r="D240" s="181"/>
      <c r="E240" s="635"/>
      <c r="F240" s="171"/>
      <c r="G240" s="152" t="s">
        <v>717</v>
      </c>
      <c r="H240" s="152" t="s">
        <v>718</v>
      </c>
      <c r="I240" s="152" t="s">
        <v>1030</v>
      </c>
      <c r="J240" s="75" t="s">
        <v>15</v>
      </c>
      <c r="K240" s="407">
        <v>46063</v>
      </c>
      <c r="L240" s="40" t="s">
        <v>4</v>
      </c>
      <c r="M240" s="40" t="s">
        <v>208</v>
      </c>
      <c r="N240" s="40"/>
      <c r="O240" s="349" t="s">
        <v>1036</v>
      </c>
      <c r="P240" s="75" t="s">
        <v>15</v>
      </c>
      <c r="Q240" s="117"/>
      <c r="R240" s="407"/>
      <c r="S240" s="40"/>
      <c r="T240" s="335"/>
    </row>
    <row r="241" spans="1:20" ht="15.75" customHeight="1" x14ac:dyDescent="0.3">
      <c r="A241" s="15"/>
      <c r="B241" s="15"/>
      <c r="C241" s="389"/>
      <c r="D241" s="682" t="s">
        <v>1037</v>
      </c>
      <c r="E241" s="602"/>
      <c r="F241" s="602"/>
      <c r="G241" s="602"/>
      <c r="H241" s="602"/>
      <c r="I241" s="602"/>
      <c r="J241" s="602"/>
      <c r="K241" s="602"/>
      <c r="L241" s="602"/>
      <c r="M241" s="602"/>
      <c r="N241" s="602"/>
      <c r="O241" s="602"/>
      <c r="P241" s="602"/>
      <c r="Q241" s="602"/>
      <c r="R241" s="602"/>
      <c r="S241" s="602"/>
      <c r="T241" s="602"/>
    </row>
    <row r="242" spans="1:20" ht="15.75" customHeight="1" x14ac:dyDescent="0.3">
      <c r="A242" s="15"/>
      <c r="B242" s="15"/>
      <c r="C242" s="130">
        <f t="shared" ref="C242:C258" ca="1" si="11">1+COUNT(INDIRECT("A1:"&amp;(ADDRESS(ROW()-1,COLUMN()))))</f>
        <v>217</v>
      </c>
      <c r="D242" s="228" t="s">
        <v>195</v>
      </c>
      <c r="E242" s="293" t="s">
        <v>196</v>
      </c>
      <c r="F242" s="202" t="s">
        <v>215</v>
      </c>
      <c r="G242" s="171"/>
      <c r="H242" s="283" t="s">
        <v>231</v>
      </c>
      <c r="I242" s="378" t="s">
        <v>1038</v>
      </c>
      <c r="J242" s="75" t="s">
        <v>15</v>
      </c>
      <c r="K242" s="407">
        <v>46063</v>
      </c>
      <c r="L242" s="40" t="s">
        <v>4</v>
      </c>
      <c r="M242" s="40"/>
      <c r="N242" s="40" t="s">
        <v>208</v>
      </c>
      <c r="O242" s="356"/>
      <c r="P242" s="290" t="s">
        <v>15</v>
      </c>
      <c r="Q242" s="476"/>
      <c r="R242" s="407"/>
      <c r="S242" s="40"/>
      <c r="T242" s="390"/>
    </row>
    <row r="243" spans="1:20" ht="15.75" customHeight="1" x14ac:dyDescent="0.3">
      <c r="A243" s="16"/>
      <c r="B243" s="16"/>
      <c r="C243" s="130">
        <f t="shared" ca="1" si="11"/>
        <v>218</v>
      </c>
      <c r="D243" s="477" t="s">
        <v>1039</v>
      </c>
      <c r="E243" s="306" t="s">
        <v>200</v>
      </c>
      <c r="F243" s="132" t="s">
        <v>207</v>
      </c>
      <c r="G243" s="307"/>
      <c r="H243" s="200" t="s">
        <v>207</v>
      </c>
      <c r="I243" s="351" t="s">
        <v>1040</v>
      </c>
      <c r="J243" s="75" t="s">
        <v>15</v>
      </c>
      <c r="K243" s="407">
        <v>46063</v>
      </c>
      <c r="L243" s="40" t="s">
        <v>4</v>
      </c>
      <c r="M243" s="40" t="s">
        <v>208</v>
      </c>
      <c r="N243" s="40"/>
      <c r="O243" s="349" t="s">
        <v>1041</v>
      </c>
      <c r="P243" s="290" t="s">
        <v>15</v>
      </c>
      <c r="Q243" s="311"/>
      <c r="R243" s="407"/>
      <c r="S243" s="40"/>
      <c r="T243" s="335"/>
    </row>
    <row r="244" spans="1:20" ht="15.75" customHeight="1" x14ac:dyDescent="0.3">
      <c r="A244" s="15"/>
      <c r="B244" s="15"/>
      <c r="C244" s="130">
        <f t="shared" ca="1" si="11"/>
        <v>219</v>
      </c>
      <c r="D244" s="230" t="s">
        <v>1042</v>
      </c>
      <c r="E244" s="288" t="s">
        <v>198</v>
      </c>
      <c r="F244" s="288" t="s">
        <v>207</v>
      </c>
      <c r="G244" s="173"/>
      <c r="H244" s="175" t="s">
        <v>1043</v>
      </c>
      <c r="I244" s="175" t="s">
        <v>1044</v>
      </c>
      <c r="J244" s="75" t="s">
        <v>15</v>
      </c>
      <c r="K244" s="407">
        <v>46063</v>
      </c>
      <c r="L244" s="40" t="s">
        <v>4</v>
      </c>
      <c r="M244" s="40"/>
      <c r="N244" s="40" t="s">
        <v>208</v>
      </c>
      <c r="O244" s="356"/>
      <c r="P244" s="290" t="s">
        <v>15</v>
      </c>
      <c r="Q244" s="476"/>
      <c r="R244" s="407"/>
      <c r="S244" s="40"/>
      <c r="T244" s="390"/>
    </row>
    <row r="245" spans="1:20" ht="15.75" customHeight="1" x14ac:dyDescent="0.3">
      <c r="A245" s="15"/>
      <c r="B245" s="15"/>
      <c r="C245" s="130">
        <f t="shared" ca="1" si="11"/>
        <v>220</v>
      </c>
      <c r="D245" s="230" t="s">
        <v>1042</v>
      </c>
      <c r="E245" s="288" t="s">
        <v>198</v>
      </c>
      <c r="F245" s="288" t="s">
        <v>207</v>
      </c>
      <c r="G245" s="173"/>
      <c r="H245" s="175" t="s">
        <v>1045</v>
      </c>
      <c r="I245" s="175" t="s">
        <v>1046</v>
      </c>
      <c r="J245" s="75" t="s">
        <v>15</v>
      </c>
      <c r="K245" s="407">
        <v>46063</v>
      </c>
      <c r="L245" s="40" t="s">
        <v>4</v>
      </c>
      <c r="M245" s="40"/>
      <c r="N245" s="40" t="s">
        <v>208</v>
      </c>
      <c r="O245" s="356"/>
      <c r="P245" s="290" t="s">
        <v>15</v>
      </c>
      <c r="Q245" s="476"/>
      <c r="R245" s="407"/>
      <c r="S245" s="40"/>
      <c r="T245" s="390"/>
    </row>
    <row r="246" spans="1:20" ht="15.75" customHeight="1" x14ac:dyDescent="0.3">
      <c r="A246" s="15"/>
      <c r="B246" s="15"/>
      <c r="C246" s="130">
        <f t="shared" ca="1" si="11"/>
        <v>221</v>
      </c>
      <c r="D246" s="230" t="s">
        <v>1047</v>
      </c>
      <c r="E246" s="288" t="s">
        <v>198</v>
      </c>
      <c r="F246" s="288" t="s">
        <v>207</v>
      </c>
      <c r="G246" s="173"/>
      <c r="H246" s="175" t="s">
        <v>579</v>
      </c>
      <c r="I246" s="309" t="s">
        <v>1048</v>
      </c>
      <c r="J246" s="75" t="s">
        <v>15</v>
      </c>
      <c r="K246" s="407">
        <v>46063</v>
      </c>
      <c r="L246" s="40" t="s">
        <v>4</v>
      </c>
      <c r="M246" s="40"/>
      <c r="N246" s="40" t="s">
        <v>208</v>
      </c>
      <c r="O246" s="356"/>
      <c r="P246" s="290" t="s">
        <v>15</v>
      </c>
      <c r="Q246" s="476"/>
      <c r="R246" s="407"/>
      <c r="S246" s="40"/>
      <c r="T246" s="390"/>
    </row>
    <row r="247" spans="1:20" ht="15.75" customHeight="1" x14ac:dyDescent="0.3">
      <c r="A247" s="15"/>
      <c r="B247" s="15"/>
      <c r="C247" s="130">
        <f t="shared" ca="1" si="11"/>
        <v>222</v>
      </c>
      <c r="D247" s="232"/>
      <c r="E247" s="369" t="s">
        <v>435</v>
      </c>
      <c r="F247" s="202" t="s">
        <v>207</v>
      </c>
      <c r="G247" s="451" t="s">
        <v>1049</v>
      </c>
      <c r="H247" s="170" t="s">
        <v>225</v>
      </c>
      <c r="I247" s="172" t="s">
        <v>1050</v>
      </c>
      <c r="J247" s="75" t="s">
        <v>15</v>
      </c>
      <c r="K247" s="407">
        <v>46063</v>
      </c>
      <c r="L247" s="40" t="s">
        <v>4</v>
      </c>
      <c r="M247" s="40"/>
      <c r="N247" s="40" t="s">
        <v>208</v>
      </c>
      <c r="O247" s="356"/>
      <c r="P247" s="290" t="s">
        <v>15</v>
      </c>
      <c r="Q247" s="476"/>
      <c r="R247" s="407"/>
      <c r="S247" s="40"/>
      <c r="T247" s="390"/>
    </row>
    <row r="248" spans="1:20" ht="15.75" customHeight="1" x14ac:dyDescent="0.3">
      <c r="A248" s="15"/>
      <c r="B248" s="15"/>
      <c r="C248" s="130">
        <f t="shared" ca="1" si="11"/>
        <v>223</v>
      </c>
      <c r="D248" s="232"/>
      <c r="E248" s="369" t="s">
        <v>435</v>
      </c>
      <c r="F248" s="202"/>
      <c r="G248" s="451" t="s">
        <v>1051</v>
      </c>
      <c r="H248" s="170" t="s">
        <v>225</v>
      </c>
      <c r="I248" s="172" t="s">
        <v>1052</v>
      </c>
      <c r="J248" s="75" t="s">
        <v>15</v>
      </c>
      <c r="K248" s="407">
        <v>46063</v>
      </c>
      <c r="L248" s="40" t="s">
        <v>4</v>
      </c>
      <c r="M248" s="40"/>
      <c r="N248" s="40" t="s">
        <v>208</v>
      </c>
      <c r="O248" s="356"/>
      <c r="P248" s="290" t="s">
        <v>15</v>
      </c>
      <c r="Q248" s="476"/>
      <c r="R248" s="407"/>
      <c r="S248" s="40"/>
      <c r="T248" s="390"/>
    </row>
    <row r="249" spans="1:20" ht="15.75" customHeight="1" x14ac:dyDescent="0.3">
      <c r="A249" s="15"/>
      <c r="B249" s="15"/>
      <c r="C249" s="130">
        <f t="shared" ca="1" si="11"/>
        <v>224</v>
      </c>
      <c r="D249" s="230" t="s">
        <v>1053</v>
      </c>
      <c r="E249" s="288" t="s">
        <v>198</v>
      </c>
      <c r="F249" s="288" t="s">
        <v>207</v>
      </c>
      <c r="G249" s="392"/>
      <c r="H249" s="175" t="s">
        <v>579</v>
      </c>
      <c r="I249" s="309" t="s">
        <v>1054</v>
      </c>
      <c r="J249" s="75" t="s">
        <v>15</v>
      </c>
      <c r="K249" s="407">
        <v>46063</v>
      </c>
      <c r="L249" s="40" t="s">
        <v>4</v>
      </c>
      <c r="M249" s="40"/>
      <c r="N249" s="40" t="s">
        <v>208</v>
      </c>
      <c r="O249" s="356"/>
      <c r="P249" s="290" t="s">
        <v>15</v>
      </c>
      <c r="Q249" s="476"/>
      <c r="R249" s="407"/>
      <c r="S249" s="40"/>
      <c r="T249" s="390"/>
    </row>
    <row r="250" spans="1:20" ht="15.75" customHeight="1" x14ac:dyDescent="0.3">
      <c r="A250" s="15"/>
      <c r="B250" s="15"/>
      <c r="C250" s="130">
        <f t="shared" ca="1" si="11"/>
        <v>225</v>
      </c>
      <c r="D250" s="232"/>
      <c r="E250" s="369" t="s">
        <v>435</v>
      </c>
      <c r="F250" s="202" t="s">
        <v>207</v>
      </c>
      <c r="G250" s="451" t="s">
        <v>1055</v>
      </c>
      <c r="H250" s="170" t="s">
        <v>225</v>
      </c>
      <c r="I250" s="172" t="s">
        <v>1050</v>
      </c>
      <c r="J250" s="75" t="s">
        <v>15</v>
      </c>
      <c r="K250" s="407">
        <v>46063</v>
      </c>
      <c r="L250" s="40" t="s">
        <v>4</v>
      </c>
      <c r="M250" s="41"/>
      <c r="N250" s="40" t="s">
        <v>208</v>
      </c>
      <c r="O250" s="42"/>
      <c r="P250" s="384" t="s">
        <v>15</v>
      </c>
      <c r="Q250" s="476"/>
      <c r="R250" s="407"/>
      <c r="S250" s="40"/>
      <c r="T250" s="390"/>
    </row>
    <row r="251" spans="1:20" ht="15.75" customHeight="1" x14ac:dyDescent="0.3">
      <c r="A251" s="15"/>
      <c r="B251" s="15"/>
      <c r="C251" s="130">
        <f t="shared" ca="1" si="11"/>
        <v>226</v>
      </c>
      <c r="D251" s="232"/>
      <c r="E251" s="369" t="s">
        <v>435</v>
      </c>
      <c r="F251" s="202"/>
      <c r="G251" s="451" t="s">
        <v>1056</v>
      </c>
      <c r="H251" s="170" t="s">
        <v>225</v>
      </c>
      <c r="I251" s="172" t="s">
        <v>1052</v>
      </c>
      <c r="J251" s="75" t="s">
        <v>15</v>
      </c>
      <c r="K251" s="407">
        <v>46063</v>
      </c>
      <c r="L251" s="40" t="s">
        <v>4</v>
      </c>
      <c r="M251" s="40"/>
      <c r="N251" s="40" t="s">
        <v>208</v>
      </c>
      <c r="O251" s="356"/>
      <c r="P251" s="290" t="s">
        <v>15</v>
      </c>
      <c r="Q251" s="476"/>
      <c r="R251" s="407"/>
      <c r="S251" s="40"/>
      <c r="T251" s="390"/>
    </row>
    <row r="252" spans="1:20" ht="15.75" customHeight="1" x14ac:dyDescent="0.3">
      <c r="A252" s="15"/>
      <c r="B252" s="15"/>
      <c r="C252" s="130">
        <f t="shared" ca="1" si="11"/>
        <v>227</v>
      </c>
      <c r="D252" s="228" t="s">
        <v>1057</v>
      </c>
      <c r="E252" s="291" t="s">
        <v>198</v>
      </c>
      <c r="F252" s="288" t="s">
        <v>226</v>
      </c>
      <c r="G252" s="173"/>
      <c r="H252" s="175" t="s">
        <v>219</v>
      </c>
      <c r="I252" s="212" t="s">
        <v>1058</v>
      </c>
      <c r="J252" s="75" t="s">
        <v>15</v>
      </c>
      <c r="K252" s="407">
        <v>46063</v>
      </c>
      <c r="L252" s="40" t="s">
        <v>4</v>
      </c>
      <c r="M252" s="41"/>
      <c r="N252" s="40" t="s">
        <v>208</v>
      </c>
      <c r="O252" s="42"/>
      <c r="P252" s="384" t="s">
        <v>15</v>
      </c>
      <c r="Q252" s="476"/>
      <c r="R252" s="407"/>
      <c r="S252" s="40"/>
      <c r="T252" s="390"/>
    </row>
    <row r="253" spans="1:20" ht="15.75" customHeight="1" x14ac:dyDescent="0.3">
      <c r="A253" s="15"/>
      <c r="B253" s="15"/>
      <c r="C253" s="130">
        <f t="shared" ca="1" si="11"/>
        <v>228</v>
      </c>
      <c r="D253" s="228" t="s">
        <v>1059</v>
      </c>
      <c r="E253" s="291" t="s">
        <v>198</v>
      </c>
      <c r="F253" s="288" t="s">
        <v>226</v>
      </c>
      <c r="G253" s="173"/>
      <c r="H253" s="175" t="s">
        <v>219</v>
      </c>
      <c r="I253" s="212" t="s">
        <v>1060</v>
      </c>
      <c r="J253" s="75" t="s">
        <v>15</v>
      </c>
      <c r="K253" s="407">
        <v>46063</v>
      </c>
      <c r="L253" s="40" t="s">
        <v>4</v>
      </c>
      <c r="M253" s="41"/>
      <c r="N253" s="40" t="s">
        <v>208</v>
      </c>
      <c r="O253" s="42"/>
      <c r="P253" s="384" t="s">
        <v>15</v>
      </c>
      <c r="Q253" s="476"/>
      <c r="R253" s="407"/>
      <c r="S253" s="40"/>
      <c r="T253" s="390"/>
    </row>
    <row r="254" spans="1:20" ht="15.75" customHeight="1" x14ac:dyDescent="0.3">
      <c r="A254" s="15"/>
      <c r="B254" s="15"/>
      <c r="C254" s="130">
        <f t="shared" ca="1" si="11"/>
        <v>229</v>
      </c>
      <c r="D254" s="228" t="s">
        <v>1061</v>
      </c>
      <c r="E254" s="291" t="s">
        <v>198</v>
      </c>
      <c r="F254" s="288" t="s">
        <v>226</v>
      </c>
      <c r="G254" s="173"/>
      <c r="H254" s="175" t="s">
        <v>219</v>
      </c>
      <c r="I254" s="212" t="s">
        <v>1062</v>
      </c>
      <c r="J254" s="75" t="s">
        <v>15</v>
      </c>
      <c r="K254" s="407">
        <v>46063</v>
      </c>
      <c r="L254" s="40" t="s">
        <v>4</v>
      </c>
      <c r="M254" s="41"/>
      <c r="N254" s="40" t="s">
        <v>208</v>
      </c>
      <c r="O254" s="42"/>
      <c r="P254" s="384" t="s">
        <v>15</v>
      </c>
      <c r="Q254" s="476"/>
      <c r="R254" s="407"/>
      <c r="S254" s="40"/>
      <c r="T254" s="391"/>
    </row>
    <row r="255" spans="1:20" ht="15.75" customHeight="1" x14ac:dyDescent="0.3">
      <c r="A255" s="15"/>
      <c r="B255" s="15"/>
      <c r="C255" s="130">
        <f t="shared" ca="1" si="11"/>
        <v>230</v>
      </c>
      <c r="D255" s="230" t="s">
        <v>1063</v>
      </c>
      <c r="E255" s="288" t="s">
        <v>198</v>
      </c>
      <c r="F255" s="288" t="s">
        <v>207</v>
      </c>
      <c r="G255" s="173"/>
      <c r="H255" s="175" t="s">
        <v>1064</v>
      </c>
      <c r="I255" s="175" t="s">
        <v>1065</v>
      </c>
      <c r="J255" s="75" t="s">
        <v>15</v>
      </c>
      <c r="K255" s="407">
        <v>46063</v>
      </c>
      <c r="L255" s="40" t="s">
        <v>4</v>
      </c>
      <c r="M255" s="41"/>
      <c r="N255" s="40" t="s">
        <v>208</v>
      </c>
      <c r="O255" s="42"/>
      <c r="P255" s="384" t="s">
        <v>15</v>
      </c>
      <c r="Q255" s="476"/>
      <c r="R255" s="407"/>
      <c r="S255" s="40"/>
      <c r="T255" s="390"/>
    </row>
    <row r="256" spans="1:20" ht="15.75" customHeight="1" x14ac:dyDescent="0.3">
      <c r="A256" s="15"/>
      <c r="B256" s="15"/>
      <c r="C256" s="130">
        <f t="shared" ca="1" si="11"/>
        <v>231</v>
      </c>
      <c r="D256" s="230" t="s">
        <v>1066</v>
      </c>
      <c r="E256" s="288" t="s">
        <v>198</v>
      </c>
      <c r="F256" s="288" t="s">
        <v>207</v>
      </c>
      <c r="G256" s="173"/>
      <c r="H256" s="175" t="s">
        <v>1064</v>
      </c>
      <c r="I256" s="175" t="s">
        <v>1067</v>
      </c>
      <c r="J256" s="75" t="s">
        <v>15</v>
      </c>
      <c r="K256" s="407">
        <v>46063</v>
      </c>
      <c r="L256" s="40" t="s">
        <v>4</v>
      </c>
      <c r="M256" s="41"/>
      <c r="N256" s="40" t="s">
        <v>208</v>
      </c>
      <c r="O256" s="42"/>
      <c r="P256" s="384" t="s">
        <v>15</v>
      </c>
      <c r="Q256" s="476"/>
      <c r="R256" s="407"/>
      <c r="S256" s="40"/>
      <c r="T256" s="390"/>
    </row>
    <row r="257" spans="1:20" ht="15.75" customHeight="1" x14ac:dyDescent="0.3">
      <c r="A257" s="15"/>
      <c r="B257" s="15"/>
      <c r="C257" s="130">
        <f t="shared" ca="1" si="11"/>
        <v>232</v>
      </c>
      <c r="D257" s="230" t="s">
        <v>1068</v>
      </c>
      <c r="E257" s="288" t="s">
        <v>198</v>
      </c>
      <c r="F257" s="288" t="s">
        <v>207</v>
      </c>
      <c r="G257" s="173"/>
      <c r="H257" s="175" t="s">
        <v>1064</v>
      </c>
      <c r="I257" s="175" t="s">
        <v>1069</v>
      </c>
      <c r="J257" s="75" t="s">
        <v>15</v>
      </c>
      <c r="K257" s="407">
        <v>46063</v>
      </c>
      <c r="L257" s="40" t="s">
        <v>4</v>
      </c>
      <c r="M257" s="41"/>
      <c r="N257" s="40" t="s">
        <v>208</v>
      </c>
      <c r="O257" s="42"/>
      <c r="P257" s="384" t="s">
        <v>15</v>
      </c>
      <c r="Q257" s="476"/>
      <c r="R257" s="407"/>
      <c r="S257" s="40"/>
      <c r="T257" s="390"/>
    </row>
    <row r="258" spans="1:20" ht="15.75" customHeight="1" x14ac:dyDescent="0.3">
      <c r="A258" s="15"/>
      <c r="B258" s="15"/>
      <c r="C258" s="130">
        <f t="shared" ca="1" si="11"/>
        <v>233</v>
      </c>
      <c r="D258" s="230" t="s">
        <v>1070</v>
      </c>
      <c r="E258" s="288" t="s">
        <v>198</v>
      </c>
      <c r="F258" s="288" t="s">
        <v>207</v>
      </c>
      <c r="G258" s="173"/>
      <c r="H258" s="175" t="s">
        <v>1043</v>
      </c>
      <c r="I258" s="175" t="s">
        <v>1071</v>
      </c>
      <c r="J258" s="75" t="s">
        <v>15</v>
      </c>
      <c r="K258" s="407">
        <v>46063</v>
      </c>
      <c r="L258" s="40" t="s">
        <v>4</v>
      </c>
      <c r="M258" s="41"/>
      <c r="N258" s="40" t="s">
        <v>208</v>
      </c>
      <c r="O258" s="42"/>
      <c r="P258" s="384" t="s">
        <v>15</v>
      </c>
      <c r="Q258" s="476"/>
      <c r="R258" s="407"/>
      <c r="S258" s="40"/>
      <c r="T258" s="390"/>
    </row>
    <row r="259" spans="1:20" ht="15.75" customHeight="1" x14ac:dyDescent="0.3">
      <c r="A259" s="16"/>
      <c r="B259" s="16"/>
      <c r="C259" s="130"/>
      <c r="D259" s="659" t="s">
        <v>1072</v>
      </c>
      <c r="E259" s="602"/>
      <c r="F259" s="602"/>
      <c r="G259" s="602"/>
      <c r="H259" s="602"/>
      <c r="I259" s="602"/>
      <c r="J259" s="602"/>
      <c r="K259" s="602"/>
      <c r="L259" s="602"/>
      <c r="M259" s="602"/>
      <c r="N259" s="602"/>
      <c r="O259" s="602"/>
      <c r="P259" s="602"/>
      <c r="Q259" s="602"/>
      <c r="R259" s="602"/>
      <c r="S259" s="602"/>
      <c r="T259" s="602"/>
    </row>
    <row r="260" spans="1:20" ht="409.6" customHeight="1" x14ac:dyDescent="0.3">
      <c r="A260" s="16"/>
      <c r="B260" s="16"/>
      <c r="C260" s="130">
        <f t="shared" ref="C260:C272" ca="1" si="12">1+COUNT(INDIRECT("A1:"&amp;(ADDRESS(ROW()-1,COLUMN()))))</f>
        <v>234</v>
      </c>
      <c r="D260" s="289" t="s">
        <v>546</v>
      </c>
      <c r="E260" s="299"/>
      <c r="F260" s="158"/>
      <c r="G260" s="154" t="s">
        <v>932</v>
      </c>
      <c r="H260" s="152" t="s">
        <v>1073</v>
      </c>
      <c r="I260" s="131" t="s">
        <v>1074</v>
      </c>
      <c r="J260" s="182" t="s">
        <v>15</v>
      </c>
      <c r="K260" s="407">
        <v>46063</v>
      </c>
      <c r="L260" s="40" t="s">
        <v>4</v>
      </c>
      <c r="M260" s="40" t="s">
        <v>208</v>
      </c>
      <c r="N260" s="41"/>
      <c r="O260" s="267" t="s">
        <v>1075</v>
      </c>
      <c r="P260" s="182" t="s">
        <v>15</v>
      </c>
      <c r="Q260" s="471"/>
      <c r="R260" s="407"/>
      <c r="S260" s="40"/>
      <c r="T260" s="335"/>
    </row>
    <row r="261" spans="1:20" ht="15.75" customHeight="1" x14ac:dyDescent="0.3">
      <c r="A261" s="16"/>
      <c r="B261" s="16"/>
      <c r="C261" s="130">
        <f t="shared" ca="1" si="12"/>
        <v>235</v>
      </c>
      <c r="D261" s="181" t="s">
        <v>1076</v>
      </c>
      <c r="E261" s="333" t="s">
        <v>198</v>
      </c>
      <c r="F261" s="152" t="s">
        <v>226</v>
      </c>
      <c r="G261" s="163"/>
      <c r="H261" s="152" t="s">
        <v>219</v>
      </c>
      <c r="I261" s="156" t="s">
        <v>1077</v>
      </c>
      <c r="J261" s="75" t="s">
        <v>15</v>
      </c>
      <c r="K261" s="407">
        <v>46063</v>
      </c>
      <c r="L261" s="40" t="s">
        <v>4</v>
      </c>
      <c r="M261" s="40"/>
      <c r="N261" s="40" t="s">
        <v>208</v>
      </c>
      <c r="O261" s="356"/>
      <c r="P261" s="75" t="s">
        <v>15</v>
      </c>
      <c r="Q261" s="222"/>
      <c r="R261" s="407"/>
      <c r="S261" s="40"/>
      <c r="T261" s="335"/>
    </row>
    <row r="262" spans="1:20" ht="15.75" customHeight="1" x14ac:dyDescent="0.3">
      <c r="A262" s="16"/>
      <c r="B262" s="16"/>
      <c r="C262" s="130">
        <f t="shared" ca="1" si="12"/>
        <v>236</v>
      </c>
      <c r="D262" s="181" t="s">
        <v>1078</v>
      </c>
      <c r="E262" s="333" t="s">
        <v>198</v>
      </c>
      <c r="F262" s="152" t="s">
        <v>226</v>
      </c>
      <c r="G262" s="163"/>
      <c r="H262" s="152" t="s">
        <v>219</v>
      </c>
      <c r="I262" s="156" t="s">
        <v>1079</v>
      </c>
      <c r="J262" s="75" t="s">
        <v>15</v>
      </c>
      <c r="K262" s="407">
        <v>46063</v>
      </c>
      <c r="L262" s="40" t="s">
        <v>4</v>
      </c>
      <c r="M262" s="40"/>
      <c r="N262" s="40" t="s">
        <v>208</v>
      </c>
      <c r="O262" s="356"/>
      <c r="P262" s="75" t="s">
        <v>15</v>
      </c>
      <c r="Q262" s="222"/>
      <c r="R262" s="407"/>
      <c r="S262" s="40"/>
      <c r="T262" s="335"/>
    </row>
    <row r="263" spans="1:20" ht="15.75" customHeight="1" x14ac:dyDescent="0.3">
      <c r="A263" s="16"/>
      <c r="B263" s="16"/>
      <c r="C263" s="130">
        <f t="shared" ca="1" si="12"/>
        <v>237</v>
      </c>
      <c r="D263" s="181" t="s">
        <v>1080</v>
      </c>
      <c r="E263" s="306" t="s">
        <v>200</v>
      </c>
      <c r="F263" s="158" t="s">
        <v>207</v>
      </c>
      <c r="G263" s="176" t="s">
        <v>1081</v>
      </c>
      <c r="H263" s="152" t="s">
        <v>1082</v>
      </c>
      <c r="I263" s="164" t="s">
        <v>1083</v>
      </c>
      <c r="J263" s="75" t="s">
        <v>15</v>
      </c>
      <c r="K263" s="407">
        <v>46063</v>
      </c>
      <c r="L263" s="40" t="s">
        <v>4</v>
      </c>
      <c r="M263" s="40" t="s">
        <v>208</v>
      </c>
      <c r="N263" s="40"/>
      <c r="O263" s="349" t="s">
        <v>1084</v>
      </c>
      <c r="P263" s="75" t="s">
        <v>15</v>
      </c>
      <c r="Q263" s="222"/>
      <c r="R263" s="407"/>
      <c r="S263" s="40"/>
      <c r="T263" s="335" t="s">
        <v>1085</v>
      </c>
    </row>
    <row r="264" spans="1:20" ht="15.75" customHeight="1" x14ac:dyDescent="0.3">
      <c r="A264" s="16"/>
      <c r="B264" s="16"/>
      <c r="C264" s="130">
        <f t="shared" ca="1" si="12"/>
        <v>238</v>
      </c>
      <c r="D264" s="181" t="s">
        <v>1080</v>
      </c>
      <c r="E264" s="306" t="s">
        <v>200</v>
      </c>
      <c r="F264" s="158" t="s">
        <v>207</v>
      </c>
      <c r="G264" s="152" t="s">
        <v>1086</v>
      </c>
      <c r="H264" s="152" t="s">
        <v>1087</v>
      </c>
      <c r="I264" s="164" t="s">
        <v>1088</v>
      </c>
      <c r="J264" s="75" t="s">
        <v>15</v>
      </c>
      <c r="K264" s="407">
        <v>46063</v>
      </c>
      <c r="L264" s="40" t="s">
        <v>4</v>
      </c>
      <c r="M264" s="40" t="s">
        <v>208</v>
      </c>
      <c r="N264" s="40"/>
      <c r="O264" s="349" t="s">
        <v>1089</v>
      </c>
      <c r="P264" s="75" t="s">
        <v>15</v>
      </c>
      <c r="Q264" s="222"/>
      <c r="R264" s="407"/>
      <c r="S264" s="40"/>
      <c r="T264" s="335"/>
    </row>
    <row r="265" spans="1:20" ht="15.75" customHeight="1" x14ac:dyDescent="0.3">
      <c r="A265" s="16"/>
      <c r="B265" s="16"/>
      <c r="C265" s="130">
        <f t="shared" ca="1" si="12"/>
        <v>239</v>
      </c>
      <c r="D265" s="181" t="s">
        <v>1090</v>
      </c>
      <c r="E265" s="333" t="s">
        <v>198</v>
      </c>
      <c r="F265" s="152" t="s">
        <v>226</v>
      </c>
      <c r="G265" s="163"/>
      <c r="H265" s="152" t="s">
        <v>219</v>
      </c>
      <c r="I265" s="156" t="s">
        <v>1091</v>
      </c>
      <c r="J265" s="75" t="s">
        <v>15</v>
      </c>
      <c r="K265" s="407">
        <v>46063</v>
      </c>
      <c r="L265" s="40" t="s">
        <v>4</v>
      </c>
      <c r="M265" s="40"/>
      <c r="N265" s="40" t="s">
        <v>208</v>
      </c>
      <c r="O265" s="349" t="s">
        <v>1092</v>
      </c>
      <c r="P265" s="75" t="s">
        <v>15</v>
      </c>
      <c r="Q265" s="222"/>
      <c r="R265" s="407"/>
      <c r="S265" s="40"/>
      <c r="T265" s="335"/>
    </row>
    <row r="266" spans="1:20" ht="48.75" customHeight="1" x14ac:dyDescent="0.3">
      <c r="A266" s="16"/>
      <c r="B266" s="16"/>
      <c r="C266" s="130">
        <f t="shared" ca="1" si="12"/>
        <v>240</v>
      </c>
      <c r="D266" s="181" t="s">
        <v>1093</v>
      </c>
      <c r="E266" s="306" t="s">
        <v>200</v>
      </c>
      <c r="F266" s="158" t="s">
        <v>207</v>
      </c>
      <c r="G266" s="152" t="s">
        <v>1081</v>
      </c>
      <c r="H266" s="153" t="s">
        <v>207</v>
      </c>
      <c r="I266" s="164" t="s">
        <v>446</v>
      </c>
      <c r="J266" s="75" t="s">
        <v>15</v>
      </c>
      <c r="K266" s="407">
        <v>46063</v>
      </c>
      <c r="L266" s="40" t="s">
        <v>4</v>
      </c>
      <c r="M266" s="40" t="s">
        <v>208</v>
      </c>
      <c r="N266" s="40"/>
      <c r="O266" s="349" t="s">
        <v>1094</v>
      </c>
      <c r="P266" s="75" t="s">
        <v>15</v>
      </c>
      <c r="Q266" s="117"/>
      <c r="R266" s="407"/>
      <c r="S266" s="40"/>
      <c r="T266" s="335" t="s">
        <v>1095</v>
      </c>
    </row>
    <row r="267" spans="1:20" ht="15.75" customHeight="1" x14ac:dyDescent="0.3">
      <c r="A267" s="16"/>
      <c r="B267" s="16"/>
      <c r="C267" s="130">
        <f t="shared" ca="1" si="12"/>
        <v>241</v>
      </c>
      <c r="D267" s="181" t="s">
        <v>1093</v>
      </c>
      <c r="E267" s="450" t="s">
        <v>200</v>
      </c>
      <c r="F267" s="158" t="s">
        <v>207</v>
      </c>
      <c r="G267" s="152" t="s">
        <v>1086</v>
      </c>
      <c r="H267" s="153" t="s">
        <v>207</v>
      </c>
      <c r="I267" s="164" t="s">
        <v>1096</v>
      </c>
      <c r="J267" s="75" t="s">
        <v>15</v>
      </c>
      <c r="K267" s="407">
        <v>46063</v>
      </c>
      <c r="L267" s="40" t="s">
        <v>4</v>
      </c>
      <c r="M267" s="40" t="s">
        <v>208</v>
      </c>
      <c r="N267" s="40"/>
      <c r="O267" s="349" t="s">
        <v>1097</v>
      </c>
      <c r="P267" s="75" t="s">
        <v>15</v>
      </c>
      <c r="Q267" s="117"/>
      <c r="R267" s="407"/>
      <c r="S267" s="40"/>
      <c r="T267" s="335"/>
    </row>
    <row r="268" spans="1:20" ht="15.75" customHeight="1" x14ac:dyDescent="0.3">
      <c r="A268" s="16"/>
      <c r="B268" s="16"/>
      <c r="C268" s="130">
        <f t="shared" ca="1" si="12"/>
        <v>242</v>
      </c>
      <c r="D268" s="181" t="s">
        <v>1098</v>
      </c>
      <c r="E268" s="333" t="s">
        <v>198</v>
      </c>
      <c r="F268" s="152" t="s">
        <v>226</v>
      </c>
      <c r="G268" s="165"/>
      <c r="H268" s="152" t="s">
        <v>219</v>
      </c>
      <c r="I268" s="156" t="s">
        <v>1099</v>
      </c>
      <c r="J268" s="75" t="s">
        <v>15</v>
      </c>
      <c r="K268" s="407">
        <v>46063</v>
      </c>
      <c r="L268" s="40" t="s">
        <v>4</v>
      </c>
      <c r="M268" s="40"/>
      <c r="N268" s="40" t="s">
        <v>208</v>
      </c>
      <c r="O268" s="349" t="s">
        <v>1100</v>
      </c>
      <c r="P268" s="75" t="s">
        <v>15</v>
      </c>
      <c r="Q268" s="222"/>
      <c r="R268" s="407"/>
      <c r="S268" s="40"/>
      <c r="T268" s="335"/>
    </row>
    <row r="269" spans="1:20" ht="15.75" customHeight="1" x14ac:dyDescent="0.3">
      <c r="A269" s="16"/>
      <c r="B269" s="16"/>
      <c r="C269" s="130">
        <f t="shared" ca="1" si="12"/>
        <v>243</v>
      </c>
      <c r="D269" s="181" t="s">
        <v>969</v>
      </c>
      <c r="E269" s="306" t="s">
        <v>200</v>
      </c>
      <c r="F269" s="158" t="s">
        <v>207</v>
      </c>
      <c r="G269" s="163"/>
      <c r="H269" s="153" t="s">
        <v>207</v>
      </c>
      <c r="I269" s="164" t="s">
        <v>1101</v>
      </c>
      <c r="J269" s="75" t="s">
        <v>15</v>
      </c>
      <c r="K269" s="407">
        <v>46063</v>
      </c>
      <c r="L269" s="40" t="s">
        <v>4</v>
      </c>
      <c r="M269" s="40" t="s">
        <v>208</v>
      </c>
      <c r="N269" s="40"/>
      <c r="O269" s="349" t="s">
        <v>1102</v>
      </c>
      <c r="P269" s="75" t="s">
        <v>15</v>
      </c>
      <c r="Q269" s="117" t="s">
        <v>211</v>
      </c>
      <c r="R269" s="407"/>
      <c r="S269" s="40" t="s">
        <v>469</v>
      </c>
      <c r="T269" s="335" t="s">
        <v>1103</v>
      </c>
    </row>
    <row r="270" spans="1:20" ht="77.25" customHeight="1" x14ac:dyDescent="0.3">
      <c r="A270" s="16"/>
      <c r="B270" s="16"/>
      <c r="C270" s="130">
        <f t="shared" ca="1" si="12"/>
        <v>244</v>
      </c>
      <c r="D270" s="181" t="s">
        <v>973</v>
      </c>
      <c r="E270" s="306" t="s">
        <v>200</v>
      </c>
      <c r="F270" s="158" t="s">
        <v>207</v>
      </c>
      <c r="G270" s="152" t="s">
        <v>1104</v>
      </c>
      <c r="H270" s="152" t="s">
        <v>230</v>
      </c>
      <c r="I270" s="164" t="s">
        <v>446</v>
      </c>
      <c r="J270" s="75" t="s">
        <v>15</v>
      </c>
      <c r="K270" s="407">
        <v>46063</v>
      </c>
      <c r="L270" s="40" t="s">
        <v>4</v>
      </c>
      <c r="M270" s="40" t="s">
        <v>208</v>
      </c>
      <c r="N270" s="40"/>
      <c r="O270" s="349" t="s">
        <v>1105</v>
      </c>
      <c r="P270" s="75" t="s">
        <v>15</v>
      </c>
      <c r="Q270" s="117"/>
      <c r="R270" s="407"/>
      <c r="S270" s="40"/>
      <c r="T270" s="335" t="s">
        <v>1106</v>
      </c>
    </row>
    <row r="271" spans="1:20" ht="15.75" customHeight="1" x14ac:dyDescent="0.3">
      <c r="A271" s="16"/>
      <c r="B271" s="16"/>
      <c r="C271" s="130">
        <f t="shared" ca="1" si="12"/>
        <v>245</v>
      </c>
      <c r="D271" s="181" t="s">
        <v>973</v>
      </c>
      <c r="E271" s="672" t="s">
        <v>758</v>
      </c>
      <c r="F271" s="171"/>
      <c r="G271" s="152" t="s">
        <v>713</v>
      </c>
      <c r="H271" s="152" t="s">
        <v>714</v>
      </c>
      <c r="I271" s="152" t="s">
        <v>976</v>
      </c>
      <c r="J271" s="75" t="s">
        <v>15</v>
      </c>
      <c r="K271" s="407">
        <v>46063</v>
      </c>
      <c r="L271" s="40" t="s">
        <v>4</v>
      </c>
      <c r="M271" s="40" t="s">
        <v>208</v>
      </c>
      <c r="N271" s="40"/>
      <c r="O271" s="349" t="s">
        <v>1107</v>
      </c>
      <c r="P271" s="75" t="s">
        <v>15</v>
      </c>
      <c r="Q271" s="222"/>
      <c r="R271" s="407"/>
      <c r="S271" s="40"/>
      <c r="T271" s="335"/>
    </row>
    <row r="272" spans="1:20" ht="15.75" customHeight="1" x14ac:dyDescent="0.3">
      <c r="A272" s="16"/>
      <c r="B272" s="16"/>
      <c r="C272" s="130">
        <f t="shared" ca="1" si="12"/>
        <v>246</v>
      </c>
      <c r="D272" s="181"/>
      <c r="E272" s="635"/>
      <c r="F272" s="171"/>
      <c r="G272" s="152" t="s">
        <v>717</v>
      </c>
      <c r="H272" s="152" t="s">
        <v>718</v>
      </c>
      <c r="I272" s="152" t="s">
        <v>1108</v>
      </c>
      <c r="J272" s="75" t="s">
        <v>15</v>
      </c>
      <c r="K272" s="407">
        <v>46063</v>
      </c>
      <c r="L272" s="40" t="s">
        <v>4</v>
      </c>
      <c r="M272" s="40" t="s">
        <v>208</v>
      </c>
      <c r="N272" s="40"/>
      <c r="O272" s="349" t="s">
        <v>1109</v>
      </c>
      <c r="P272" s="75" t="s">
        <v>15</v>
      </c>
      <c r="Q272" s="117"/>
      <c r="R272" s="407"/>
      <c r="S272" s="40"/>
      <c r="T272" s="254"/>
    </row>
    <row r="273" spans="1:20" ht="15.75" customHeight="1" x14ac:dyDescent="0.3">
      <c r="A273" s="16"/>
      <c r="B273" s="16"/>
      <c r="C273" s="666" t="s">
        <v>1110</v>
      </c>
      <c r="D273" s="602"/>
      <c r="E273" s="602"/>
      <c r="F273" s="602"/>
      <c r="G273" s="602"/>
      <c r="H273" s="602"/>
      <c r="I273" s="602"/>
      <c r="J273" s="602"/>
      <c r="K273" s="602"/>
      <c r="L273" s="602"/>
      <c r="M273" s="602"/>
      <c r="N273" s="602"/>
      <c r="O273" s="602"/>
      <c r="P273" s="602"/>
      <c r="Q273" s="602"/>
      <c r="R273" s="602"/>
      <c r="S273" s="602"/>
      <c r="T273" s="602"/>
    </row>
    <row r="274" spans="1:20" ht="15.75" customHeight="1" x14ac:dyDescent="0.3">
      <c r="A274" s="16"/>
      <c r="B274" s="16"/>
      <c r="C274" s="130">
        <f t="shared" ref="C274:C285" ca="1" si="13">1+COUNT(INDIRECT("A1:"&amp;(ADDRESS(ROW()-1,COLUMN()))))</f>
        <v>247</v>
      </c>
      <c r="D274" s="289" t="s">
        <v>546</v>
      </c>
      <c r="E274" s="299"/>
      <c r="F274" s="158"/>
      <c r="G274" s="154"/>
      <c r="H274" s="152" t="s">
        <v>1111</v>
      </c>
      <c r="I274" s="131" t="s">
        <v>1112</v>
      </c>
      <c r="J274" s="75" t="s">
        <v>15</v>
      </c>
      <c r="K274" s="407">
        <v>46063</v>
      </c>
      <c r="L274" s="40" t="s">
        <v>4</v>
      </c>
      <c r="M274" s="40" t="s">
        <v>208</v>
      </c>
      <c r="N274" s="41"/>
      <c r="O274" s="267" t="s">
        <v>1113</v>
      </c>
      <c r="P274" s="75" t="s">
        <v>15</v>
      </c>
      <c r="Q274" s="222"/>
      <c r="R274" s="407"/>
      <c r="S274" s="40" t="s">
        <v>431</v>
      </c>
      <c r="T274" s="254" t="s">
        <v>1114</v>
      </c>
    </row>
    <row r="275" spans="1:20" ht="75.75" customHeight="1" x14ac:dyDescent="0.3">
      <c r="A275" s="104"/>
      <c r="B275" s="104"/>
      <c r="C275" s="130">
        <f t="shared" ca="1" si="13"/>
        <v>248</v>
      </c>
      <c r="D275" s="181" t="s">
        <v>1115</v>
      </c>
      <c r="E275" s="306"/>
      <c r="F275" s="158"/>
      <c r="G275" s="152" t="s">
        <v>1116</v>
      </c>
      <c r="H275" s="361" t="s">
        <v>1117</v>
      </c>
      <c r="I275" s="466" t="s">
        <v>1118</v>
      </c>
      <c r="J275" s="75" t="s">
        <v>15</v>
      </c>
      <c r="K275" s="407">
        <v>46063</v>
      </c>
      <c r="L275" s="40" t="s">
        <v>4</v>
      </c>
      <c r="M275" s="40" t="s">
        <v>208</v>
      </c>
      <c r="N275" s="41"/>
      <c r="O275" s="267" t="s">
        <v>1119</v>
      </c>
      <c r="P275" s="75" t="s">
        <v>15</v>
      </c>
      <c r="Q275" s="275"/>
      <c r="R275" s="465"/>
      <c r="S275" s="40" t="s">
        <v>431</v>
      </c>
      <c r="T275" s="83"/>
    </row>
    <row r="276" spans="1:20" ht="15.75" customHeight="1" x14ac:dyDescent="0.3">
      <c r="A276" s="104"/>
      <c r="B276" s="104"/>
      <c r="C276" s="130">
        <f t="shared" ca="1" si="13"/>
        <v>249</v>
      </c>
      <c r="D276" s="181" t="s">
        <v>1115</v>
      </c>
      <c r="E276" s="306"/>
      <c r="F276" s="158"/>
      <c r="G276" s="216"/>
      <c r="H276" s="152" t="s">
        <v>1120</v>
      </c>
      <c r="I276" s="164" t="s">
        <v>1121</v>
      </c>
      <c r="J276" s="75" t="s">
        <v>15</v>
      </c>
      <c r="K276" s="407">
        <v>46063</v>
      </c>
      <c r="L276" s="40" t="s">
        <v>4</v>
      </c>
      <c r="M276" s="40" t="s">
        <v>208</v>
      </c>
      <c r="N276" s="41"/>
      <c r="O276" s="267" t="s">
        <v>1122</v>
      </c>
      <c r="P276" s="75" t="s">
        <v>15</v>
      </c>
      <c r="Q276" s="275" t="s">
        <v>211</v>
      </c>
      <c r="R276" s="465"/>
      <c r="S276" s="40" t="s">
        <v>431</v>
      </c>
      <c r="T276" s="83" t="s">
        <v>1123</v>
      </c>
    </row>
    <row r="277" spans="1:20" ht="15.75" customHeight="1" x14ac:dyDescent="0.3">
      <c r="A277" s="16"/>
      <c r="B277" s="16"/>
      <c r="C277" s="130">
        <f t="shared" ca="1" si="13"/>
        <v>250</v>
      </c>
      <c r="D277" s="181" t="s">
        <v>324</v>
      </c>
      <c r="E277" s="333" t="s">
        <v>198</v>
      </c>
      <c r="F277" s="152" t="s">
        <v>226</v>
      </c>
      <c r="G277" s="163"/>
      <c r="H277" s="152" t="s">
        <v>219</v>
      </c>
      <c r="I277" s="156" t="s">
        <v>1124</v>
      </c>
      <c r="J277" s="75" t="s">
        <v>15</v>
      </c>
      <c r="K277" s="407">
        <v>46063</v>
      </c>
      <c r="L277" s="40" t="s">
        <v>4</v>
      </c>
      <c r="M277" s="41"/>
      <c r="N277" s="40" t="s">
        <v>208</v>
      </c>
      <c r="O277" s="42"/>
      <c r="P277" s="182" t="s">
        <v>15</v>
      </c>
      <c r="Q277" s="222"/>
      <c r="R277" s="407"/>
      <c r="S277" s="40" t="s">
        <v>431</v>
      </c>
      <c r="T277" s="255"/>
    </row>
    <row r="278" spans="1:20" ht="15.75" customHeight="1" x14ac:dyDescent="0.3">
      <c r="A278" s="16"/>
      <c r="B278" s="16"/>
      <c r="C278" s="130">
        <f t="shared" ca="1" si="13"/>
        <v>251</v>
      </c>
      <c r="D278" s="181" t="s">
        <v>1125</v>
      </c>
      <c r="E278" s="333" t="s">
        <v>198</v>
      </c>
      <c r="F278" s="152" t="s">
        <v>226</v>
      </c>
      <c r="G278" s="163"/>
      <c r="H278" s="152" t="s">
        <v>219</v>
      </c>
      <c r="I278" s="156" t="s">
        <v>1126</v>
      </c>
      <c r="J278" s="75" t="s">
        <v>15</v>
      </c>
      <c r="K278" s="407">
        <v>46063</v>
      </c>
      <c r="L278" s="40" t="s">
        <v>4</v>
      </c>
      <c r="M278" s="40" t="s">
        <v>208</v>
      </c>
      <c r="N278" s="41"/>
      <c r="O278" s="267" t="s">
        <v>1127</v>
      </c>
      <c r="P278" s="182" t="s">
        <v>15</v>
      </c>
      <c r="Q278" s="222"/>
      <c r="R278" s="407"/>
      <c r="S278" s="40" t="s">
        <v>431</v>
      </c>
      <c r="T278" s="255"/>
    </row>
    <row r="279" spans="1:20" ht="15.75" customHeight="1" x14ac:dyDescent="0.3">
      <c r="A279" s="16"/>
      <c r="B279" s="16"/>
      <c r="C279" s="130">
        <f t="shared" ca="1" si="13"/>
        <v>252</v>
      </c>
      <c r="D279" s="181" t="s">
        <v>1128</v>
      </c>
      <c r="E279" s="333" t="s">
        <v>198</v>
      </c>
      <c r="F279" s="152" t="s">
        <v>226</v>
      </c>
      <c r="G279" s="163"/>
      <c r="H279" s="152" t="s">
        <v>219</v>
      </c>
      <c r="I279" s="156" t="s">
        <v>1129</v>
      </c>
      <c r="J279" s="75" t="s">
        <v>15</v>
      </c>
      <c r="K279" s="407">
        <v>46063</v>
      </c>
      <c r="L279" s="40" t="s">
        <v>4</v>
      </c>
      <c r="M279" s="41"/>
      <c r="N279" s="40" t="s">
        <v>208</v>
      </c>
      <c r="O279" s="42"/>
      <c r="P279" s="182" t="s">
        <v>15</v>
      </c>
      <c r="Q279" s="222"/>
      <c r="R279" s="407"/>
      <c r="S279" s="40" t="s">
        <v>431</v>
      </c>
      <c r="T279" s="255"/>
    </row>
    <row r="280" spans="1:20" ht="15.75" customHeight="1" x14ac:dyDescent="0.3">
      <c r="A280" s="16"/>
      <c r="B280" s="16"/>
      <c r="C280" s="130">
        <f t="shared" ca="1" si="13"/>
        <v>253</v>
      </c>
      <c r="D280" s="181" t="s">
        <v>1130</v>
      </c>
      <c r="E280" s="306" t="s">
        <v>200</v>
      </c>
      <c r="F280" s="158"/>
      <c r="G280" s="152"/>
      <c r="H280" s="152" t="s">
        <v>1131</v>
      </c>
      <c r="I280" s="164" t="s">
        <v>1132</v>
      </c>
      <c r="J280" s="75" t="s">
        <v>15</v>
      </c>
      <c r="K280" s="407">
        <v>46063</v>
      </c>
      <c r="L280" s="40" t="s">
        <v>4</v>
      </c>
      <c r="M280" s="40" t="s">
        <v>208</v>
      </c>
      <c r="N280" s="41"/>
      <c r="O280" s="267" t="s">
        <v>1133</v>
      </c>
      <c r="P280" s="182" t="s">
        <v>15</v>
      </c>
      <c r="Q280" s="222" t="s">
        <v>211</v>
      </c>
      <c r="R280" s="407"/>
      <c r="S280" s="40" t="s">
        <v>431</v>
      </c>
      <c r="T280" s="254" t="s">
        <v>1134</v>
      </c>
    </row>
    <row r="281" spans="1:20" ht="15.75" customHeight="1" x14ac:dyDescent="0.3">
      <c r="A281" s="16"/>
      <c r="B281" s="16"/>
      <c r="C281" s="130">
        <f t="shared" ca="1" si="13"/>
        <v>254</v>
      </c>
      <c r="D281" s="181"/>
      <c r="E281" s="450"/>
      <c r="F281" s="158"/>
      <c r="G281" s="163"/>
      <c r="H281" s="152" t="s">
        <v>1135</v>
      </c>
      <c r="I281" s="164" t="s">
        <v>1136</v>
      </c>
      <c r="J281" s="75" t="s">
        <v>15</v>
      </c>
      <c r="K281" s="407">
        <v>46063</v>
      </c>
      <c r="L281" s="40" t="s">
        <v>4</v>
      </c>
      <c r="M281" s="40" t="s">
        <v>208</v>
      </c>
      <c r="N281" s="40"/>
      <c r="O281" s="349" t="s">
        <v>1137</v>
      </c>
      <c r="P281" s="182" t="s">
        <v>15</v>
      </c>
      <c r="Q281" s="117" t="s">
        <v>211</v>
      </c>
      <c r="R281" s="407"/>
      <c r="S281" s="40" t="s">
        <v>431</v>
      </c>
      <c r="T281" s="254" t="s">
        <v>1138</v>
      </c>
    </row>
    <row r="282" spans="1:20" ht="15.75" customHeight="1" x14ac:dyDescent="0.3">
      <c r="A282" s="16"/>
      <c r="B282" s="16"/>
      <c r="C282" s="130">
        <f t="shared" ca="1" si="13"/>
        <v>255</v>
      </c>
      <c r="D282" s="181" t="s">
        <v>1139</v>
      </c>
      <c r="E282" s="333" t="s">
        <v>198</v>
      </c>
      <c r="F282" s="152" t="s">
        <v>226</v>
      </c>
      <c r="G282" s="176"/>
      <c r="H282" s="152" t="s">
        <v>219</v>
      </c>
      <c r="I282" s="156" t="s">
        <v>1140</v>
      </c>
      <c r="J282" s="75" t="s">
        <v>15</v>
      </c>
      <c r="K282" s="407">
        <v>46063</v>
      </c>
      <c r="L282" s="40" t="s">
        <v>4</v>
      </c>
      <c r="M282" s="41"/>
      <c r="N282" s="40" t="s">
        <v>208</v>
      </c>
      <c r="O282" s="42"/>
      <c r="P282" s="182" t="s">
        <v>15</v>
      </c>
      <c r="Q282" s="222"/>
      <c r="R282" s="407"/>
      <c r="S282" s="40" t="s">
        <v>431</v>
      </c>
      <c r="T282" s="255"/>
    </row>
    <row r="283" spans="1:20" ht="15.75" customHeight="1" x14ac:dyDescent="0.3">
      <c r="A283" s="16"/>
      <c r="B283" s="16"/>
      <c r="C283" s="130">
        <f t="shared" ca="1" si="13"/>
        <v>256</v>
      </c>
      <c r="D283" s="181" t="s">
        <v>1141</v>
      </c>
      <c r="E283" s="306" t="s">
        <v>200</v>
      </c>
      <c r="F283" s="158"/>
      <c r="G283" s="152"/>
      <c r="H283" s="152" t="s">
        <v>1142</v>
      </c>
      <c r="I283" s="164" t="s">
        <v>1132</v>
      </c>
      <c r="J283" s="75" t="s">
        <v>15</v>
      </c>
      <c r="K283" s="407">
        <v>46063</v>
      </c>
      <c r="L283" s="40" t="s">
        <v>4</v>
      </c>
      <c r="M283" s="40" t="s">
        <v>208</v>
      </c>
      <c r="N283" s="40"/>
      <c r="O283" s="349" t="s">
        <v>1143</v>
      </c>
      <c r="P283" s="182" t="s">
        <v>15</v>
      </c>
      <c r="Q283" s="117" t="s">
        <v>211</v>
      </c>
      <c r="R283" s="407"/>
      <c r="S283" s="40" t="s">
        <v>431</v>
      </c>
      <c r="T283" s="254" t="s">
        <v>1134</v>
      </c>
    </row>
    <row r="284" spans="1:20" ht="15.75" customHeight="1" x14ac:dyDescent="0.3">
      <c r="A284" s="16"/>
      <c r="B284" s="16"/>
      <c r="C284" s="130">
        <f t="shared" ca="1" si="13"/>
        <v>257</v>
      </c>
      <c r="D284" s="181"/>
      <c r="E284" s="450"/>
      <c r="F284" s="158"/>
      <c r="G284" s="163"/>
      <c r="H284" s="152" t="s">
        <v>1135</v>
      </c>
      <c r="I284" s="164" t="s">
        <v>1144</v>
      </c>
      <c r="J284" s="75" t="s">
        <v>15</v>
      </c>
      <c r="K284" s="407">
        <v>46063</v>
      </c>
      <c r="L284" s="40" t="s">
        <v>4</v>
      </c>
      <c r="M284" s="40" t="s">
        <v>208</v>
      </c>
      <c r="N284" s="40"/>
      <c r="O284" s="349" t="s">
        <v>1145</v>
      </c>
      <c r="P284" s="182" t="s">
        <v>15</v>
      </c>
      <c r="Q284" s="117" t="s">
        <v>211</v>
      </c>
      <c r="R284" s="407"/>
      <c r="S284" s="40" t="s">
        <v>431</v>
      </c>
      <c r="T284" s="254" t="s">
        <v>1138</v>
      </c>
    </row>
    <row r="285" spans="1:20" ht="15.75" customHeight="1" x14ac:dyDescent="0.3">
      <c r="A285" s="16"/>
      <c r="B285" s="16"/>
      <c r="C285" s="252">
        <f t="shared" ca="1" si="13"/>
        <v>258</v>
      </c>
      <c r="D285" s="478" t="s">
        <v>322</v>
      </c>
      <c r="E285" s="479" t="s">
        <v>198</v>
      </c>
      <c r="F285" s="480" t="s">
        <v>226</v>
      </c>
      <c r="G285" s="481"/>
      <c r="H285" s="480" t="s">
        <v>219</v>
      </c>
      <c r="I285" s="482" t="s">
        <v>1146</v>
      </c>
      <c r="J285" s="75"/>
      <c r="K285" s="407"/>
      <c r="L285" s="40"/>
      <c r="M285" s="41"/>
      <c r="N285" s="40"/>
      <c r="O285" s="42"/>
      <c r="P285" s="182"/>
      <c r="Q285" s="222"/>
      <c r="R285" s="407"/>
      <c r="S285" s="40"/>
      <c r="T285" s="255"/>
    </row>
    <row r="286" spans="1:20" ht="15.75" customHeight="1" x14ac:dyDescent="0.3">
      <c r="A286" s="16"/>
      <c r="B286" s="16"/>
      <c r="C286" s="666" t="s">
        <v>1147</v>
      </c>
      <c r="D286" s="602"/>
      <c r="E286" s="602"/>
      <c r="F286" s="602"/>
      <c r="G286" s="602"/>
      <c r="H286" s="602"/>
      <c r="I286" s="602"/>
      <c r="J286" s="602"/>
      <c r="K286" s="602"/>
      <c r="L286" s="602"/>
      <c r="M286" s="602"/>
      <c r="N286" s="602"/>
      <c r="O286" s="602"/>
      <c r="P286" s="602"/>
      <c r="Q286" s="602"/>
      <c r="R286" s="602"/>
      <c r="S286" s="602"/>
      <c r="T286" s="602"/>
    </row>
    <row r="287" spans="1:20" ht="15.75" customHeight="1" x14ac:dyDescent="0.3">
      <c r="A287" s="16"/>
      <c r="B287" s="16"/>
      <c r="C287" s="130">
        <f t="shared" ref="C287:C310" ca="1" si="14">1+COUNT(INDIRECT("A1:"&amp;(ADDRESS(ROW()-1,COLUMN()))))</f>
        <v>259</v>
      </c>
      <c r="D287" s="181" t="s">
        <v>316</v>
      </c>
      <c r="E287" s="333" t="s">
        <v>198</v>
      </c>
      <c r="F287" s="152" t="s">
        <v>226</v>
      </c>
      <c r="G287" s="163"/>
      <c r="H287" s="152" t="s">
        <v>219</v>
      </c>
      <c r="I287" s="156" t="s">
        <v>1148</v>
      </c>
      <c r="J287" s="75" t="s">
        <v>15</v>
      </c>
      <c r="K287" s="407">
        <v>46063</v>
      </c>
      <c r="L287" s="40" t="s">
        <v>4</v>
      </c>
      <c r="M287" s="41"/>
      <c r="N287" s="40" t="s">
        <v>208</v>
      </c>
      <c r="O287" s="267" t="s">
        <v>1149</v>
      </c>
      <c r="P287" s="182" t="s">
        <v>15</v>
      </c>
      <c r="Q287" s="222"/>
      <c r="R287" s="407">
        <v>46057</v>
      </c>
      <c r="S287" s="40" t="s">
        <v>469</v>
      </c>
      <c r="T287" s="255"/>
    </row>
    <row r="288" spans="1:20" ht="15.75" customHeight="1" x14ac:dyDescent="0.3">
      <c r="A288" s="16"/>
      <c r="B288" s="16"/>
      <c r="C288" s="130">
        <f t="shared" ca="1" si="14"/>
        <v>260</v>
      </c>
      <c r="D288" s="289" t="s">
        <v>546</v>
      </c>
      <c r="E288" s="299"/>
      <c r="F288" s="158"/>
      <c r="G288" s="154" t="s">
        <v>932</v>
      </c>
      <c r="H288" s="152" t="s">
        <v>1150</v>
      </c>
      <c r="I288" s="131" t="s">
        <v>1151</v>
      </c>
      <c r="J288" s="75" t="s">
        <v>15</v>
      </c>
      <c r="K288" s="407">
        <v>46063</v>
      </c>
      <c r="L288" s="40" t="s">
        <v>4</v>
      </c>
      <c r="M288" s="40" t="s">
        <v>208</v>
      </c>
      <c r="N288" s="41"/>
      <c r="O288" s="267" t="s">
        <v>934</v>
      </c>
      <c r="P288" s="182" t="s">
        <v>15</v>
      </c>
      <c r="Q288" s="222" t="s">
        <v>211</v>
      </c>
      <c r="R288" s="407">
        <v>46057</v>
      </c>
      <c r="S288" s="40" t="s">
        <v>469</v>
      </c>
      <c r="T288" s="483" t="s">
        <v>1152</v>
      </c>
    </row>
    <row r="289" spans="1:20" ht="15.75" customHeight="1" x14ac:dyDescent="0.3">
      <c r="A289" s="104"/>
      <c r="B289" s="104"/>
      <c r="C289" s="130">
        <f t="shared" ca="1" si="14"/>
        <v>261</v>
      </c>
      <c r="D289" s="181" t="s">
        <v>1153</v>
      </c>
      <c r="E289" s="306"/>
      <c r="F289" s="158"/>
      <c r="G289" s="216"/>
      <c r="H289" s="152" t="s">
        <v>1154</v>
      </c>
      <c r="I289" s="164" t="s">
        <v>941</v>
      </c>
      <c r="J289" s="75" t="s">
        <v>15</v>
      </c>
      <c r="K289" s="407">
        <v>46063</v>
      </c>
      <c r="L289" s="40" t="s">
        <v>4</v>
      </c>
      <c r="M289" s="41"/>
      <c r="N289" s="40" t="s">
        <v>208</v>
      </c>
      <c r="O289" s="42"/>
      <c r="P289" s="182" t="s">
        <v>15</v>
      </c>
      <c r="Q289" s="222" t="s">
        <v>211</v>
      </c>
      <c r="R289" s="407">
        <v>46057</v>
      </c>
      <c r="S289" s="40" t="s">
        <v>469</v>
      </c>
      <c r="T289" s="483" t="s">
        <v>1155</v>
      </c>
    </row>
    <row r="290" spans="1:20" ht="15.75" customHeight="1" x14ac:dyDescent="0.3">
      <c r="A290" s="104"/>
      <c r="B290" s="104"/>
      <c r="C290" s="130">
        <f t="shared" ca="1" si="14"/>
        <v>262</v>
      </c>
      <c r="D290" s="181" t="s">
        <v>1153</v>
      </c>
      <c r="E290" s="306"/>
      <c r="F290" s="158"/>
      <c r="G290" s="216"/>
      <c r="H290" s="361" t="s">
        <v>673</v>
      </c>
      <c r="I290" s="466" t="s">
        <v>674</v>
      </c>
      <c r="J290" s="75" t="s">
        <v>15</v>
      </c>
      <c r="K290" s="407">
        <v>46063</v>
      </c>
      <c r="L290" s="40" t="s">
        <v>4</v>
      </c>
      <c r="M290" s="41"/>
      <c r="N290" s="40" t="s">
        <v>208</v>
      </c>
      <c r="O290" s="42"/>
      <c r="P290" s="182" t="s">
        <v>15</v>
      </c>
      <c r="Q290" s="222"/>
      <c r="R290" s="407">
        <v>46057</v>
      </c>
      <c r="S290" s="40" t="s">
        <v>469</v>
      </c>
      <c r="T290" s="483" t="s">
        <v>1156</v>
      </c>
    </row>
    <row r="291" spans="1:20" ht="59.25" customHeight="1" x14ac:dyDescent="0.3">
      <c r="A291" s="104"/>
      <c r="B291" s="104"/>
      <c r="C291" s="130">
        <f t="shared" ca="1" si="14"/>
        <v>263</v>
      </c>
      <c r="D291" s="181" t="s">
        <v>1153</v>
      </c>
      <c r="E291" s="306"/>
      <c r="F291" s="158"/>
      <c r="G291" s="216"/>
      <c r="H291" s="361" t="s">
        <v>675</v>
      </c>
      <c r="I291" s="466" t="s">
        <v>676</v>
      </c>
      <c r="J291" s="75" t="s">
        <v>15</v>
      </c>
      <c r="K291" s="407">
        <v>46063</v>
      </c>
      <c r="L291" s="40" t="s">
        <v>4</v>
      </c>
      <c r="M291" s="41"/>
      <c r="N291" s="40" t="s">
        <v>208</v>
      </c>
      <c r="O291" s="42"/>
      <c r="P291" s="182" t="s">
        <v>15</v>
      </c>
      <c r="Q291" s="222"/>
      <c r="R291" s="407">
        <v>46057</v>
      </c>
      <c r="S291" s="40" t="s">
        <v>469</v>
      </c>
      <c r="T291" s="483" t="s">
        <v>1157</v>
      </c>
    </row>
    <row r="292" spans="1:20" ht="15.75" customHeight="1" x14ac:dyDescent="0.3">
      <c r="A292" s="104"/>
      <c r="B292" s="104"/>
      <c r="C292" s="130">
        <f t="shared" ca="1" si="14"/>
        <v>264</v>
      </c>
      <c r="D292" s="181" t="s">
        <v>1153</v>
      </c>
      <c r="E292" s="306"/>
      <c r="F292" s="158"/>
      <c r="G292" s="216"/>
      <c r="H292" s="361" t="s">
        <v>677</v>
      </c>
      <c r="I292" s="466" t="s">
        <v>678</v>
      </c>
      <c r="J292" s="75" t="s">
        <v>15</v>
      </c>
      <c r="K292" s="407">
        <v>46063</v>
      </c>
      <c r="L292" s="40" t="s">
        <v>4</v>
      </c>
      <c r="M292" s="41"/>
      <c r="N292" s="40" t="s">
        <v>208</v>
      </c>
      <c r="O292" s="42"/>
      <c r="P292" s="182" t="s">
        <v>15</v>
      </c>
      <c r="Q292" s="222"/>
      <c r="R292" s="407">
        <v>46058</v>
      </c>
      <c r="S292" s="40" t="s">
        <v>469</v>
      </c>
      <c r="T292" s="483" t="s">
        <v>1158</v>
      </c>
    </row>
    <row r="293" spans="1:20" ht="15.75" customHeight="1" x14ac:dyDescent="0.3">
      <c r="A293" s="104"/>
      <c r="B293" s="104"/>
      <c r="C293" s="130">
        <f t="shared" ca="1" si="14"/>
        <v>265</v>
      </c>
      <c r="D293" s="181" t="s">
        <v>1153</v>
      </c>
      <c r="E293" s="306"/>
      <c r="F293" s="158"/>
      <c r="G293" s="216"/>
      <c r="H293" s="361" t="s">
        <v>679</v>
      </c>
      <c r="I293" s="466" t="s">
        <v>678</v>
      </c>
      <c r="J293" s="75" t="s">
        <v>15</v>
      </c>
      <c r="K293" s="407">
        <v>46063</v>
      </c>
      <c r="L293" s="40" t="s">
        <v>4</v>
      </c>
      <c r="M293" s="41"/>
      <c r="N293" s="40" t="s">
        <v>208</v>
      </c>
      <c r="O293" s="42"/>
      <c r="P293" s="182" t="s">
        <v>15</v>
      </c>
      <c r="Q293" s="222"/>
      <c r="R293" s="407">
        <v>46058</v>
      </c>
      <c r="S293" s="40" t="s">
        <v>469</v>
      </c>
      <c r="T293" s="483" t="s">
        <v>1158</v>
      </c>
    </row>
    <row r="294" spans="1:20" ht="156" customHeight="1" x14ac:dyDescent="0.3">
      <c r="A294" s="104"/>
      <c r="B294" s="104"/>
      <c r="C294" s="130">
        <f t="shared" ca="1" si="14"/>
        <v>266</v>
      </c>
      <c r="D294" s="181" t="s">
        <v>1153</v>
      </c>
      <c r="E294" s="306"/>
      <c r="F294" s="158"/>
      <c r="G294" s="152" t="s">
        <v>1159</v>
      </c>
      <c r="H294" s="361" t="s">
        <v>1160</v>
      </c>
      <c r="I294" s="466" t="s">
        <v>1161</v>
      </c>
      <c r="J294" s="75" t="s">
        <v>15</v>
      </c>
      <c r="K294" s="407">
        <v>46063</v>
      </c>
      <c r="L294" s="40" t="s">
        <v>4</v>
      </c>
      <c r="M294" s="40" t="s">
        <v>208</v>
      </c>
      <c r="N294" s="41"/>
      <c r="O294" s="267" t="s">
        <v>1162</v>
      </c>
      <c r="P294" s="182" t="s">
        <v>15</v>
      </c>
      <c r="Q294" s="222"/>
      <c r="R294" s="407">
        <v>46058</v>
      </c>
      <c r="S294" s="40" t="s">
        <v>469</v>
      </c>
      <c r="T294" s="83"/>
    </row>
    <row r="295" spans="1:20" ht="15.75" customHeight="1" x14ac:dyDescent="0.3">
      <c r="A295" s="104"/>
      <c r="B295" s="104"/>
      <c r="C295" s="130">
        <f t="shared" ca="1" si="14"/>
        <v>267</v>
      </c>
      <c r="D295" s="181" t="s">
        <v>1153</v>
      </c>
      <c r="E295" s="306"/>
      <c r="F295" s="158"/>
      <c r="G295" s="152" t="s">
        <v>1163</v>
      </c>
      <c r="H295" s="152" t="s">
        <v>685</v>
      </c>
      <c r="I295" s="466" t="s">
        <v>686</v>
      </c>
      <c r="J295" s="75" t="s">
        <v>15</v>
      </c>
      <c r="K295" s="407">
        <v>46063</v>
      </c>
      <c r="L295" s="40" t="s">
        <v>4</v>
      </c>
      <c r="M295" s="40" t="s">
        <v>208</v>
      </c>
      <c r="N295" s="41"/>
      <c r="O295" s="267" t="s">
        <v>1164</v>
      </c>
      <c r="P295" s="182" t="s">
        <v>15</v>
      </c>
      <c r="Q295" s="222"/>
      <c r="R295" s="407">
        <v>46058</v>
      </c>
      <c r="S295" s="40" t="s">
        <v>469</v>
      </c>
      <c r="T295" s="83"/>
    </row>
    <row r="296" spans="1:20" ht="15.75" customHeight="1" x14ac:dyDescent="0.3">
      <c r="A296" s="104"/>
      <c r="B296" s="104"/>
      <c r="C296" s="130">
        <f t="shared" ca="1" si="14"/>
        <v>268</v>
      </c>
      <c r="D296" s="181" t="s">
        <v>1165</v>
      </c>
      <c r="E296" s="152" t="s">
        <v>222</v>
      </c>
      <c r="F296" s="158"/>
      <c r="G296" s="176"/>
      <c r="H296" s="152" t="s">
        <v>688</v>
      </c>
      <c r="I296" s="164" t="s">
        <v>1166</v>
      </c>
      <c r="J296" s="75" t="s">
        <v>15</v>
      </c>
      <c r="K296" s="407">
        <v>46063</v>
      </c>
      <c r="L296" s="40" t="s">
        <v>4</v>
      </c>
      <c r="M296" s="40" t="s">
        <v>208</v>
      </c>
      <c r="N296" s="41"/>
      <c r="O296" s="267" t="s">
        <v>1167</v>
      </c>
      <c r="P296" s="182" t="s">
        <v>15</v>
      </c>
      <c r="Q296" s="275" t="s">
        <v>211</v>
      </c>
      <c r="R296" s="407">
        <v>46058</v>
      </c>
      <c r="S296" s="40" t="s">
        <v>469</v>
      </c>
      <c r="T296" s="364" t="s">
        <v>1168</v>
      </c>
    </row>
    <row r="297" spans="1:20" ht="15.75" customHeight="1" x14ac:dyDescent="0.3">
      <c r="A297" s="104"/>
      <c r="B297" s="104"/>
      <c r="C297" s="130">
        <f t="shared" ca="1" si="14"/>
        <v>269</v>
      </c>
      <c r="D297" s="181" t="s">
        <v>1169</v>
      </c>
      <c r="E297" s="152"/>
      <c r="F297" s="158"/>
      <c r="G297" s="176"/>
      <c r="H297" s="152" t="s">
        <v>1170</v>
      </c>
      <c r="I297" s="164" t="s">
        <v>693</v>
      </c>
      <c r="J297" s="75" t="s">
        <v>15</v>
      </c>
      <c r="K297" s="407">
        <v>46063</v>
      </c>
      <c r="L297" s="40" t="s">
        <v>4</v>
      </c>
      <c r="M297" s="40"/>
      <c r="N297" s="40" t="s">
        <v>208</v>
      </c>
      <c r="O297" s="267" t="s">
        <v>1171</v>
      </c>
      <c r="P297" s="182" t="s">
        <v>15</v>
      </c>
      <c r="Q297" s="222"/>
      <c r="R297" s="407">
        <v>46058</v>
      </c>
      <c r="S297" s="40" t="s">
        <v>469</v>
      </c>
      <c r="T297" s="83"/>
    </row>
    <row r="298" spans="1:20" ht="15.75" customHeight="1" x14ac:dyDescent="0.3">
      <c r="A298" s="16"/>
      <c r="B298" s="16"/>
      <c r="C298" s="130">
        <f t="shared" ca="1" si="14"/>
        <v>270</v>
      </c>
      <c r="D298" s="181" t="s">
        <v>959</v>
      </c>
      <c r="E298" s="450" t="s">
        <v>200</v>
      </c>
      <c r="F298" s="152" t="s">
        <v>226</v>
      </c>
      <c r="G298" s="163"/>
      <c r="H298" s="152" t="s">
        <v>219</v>
      </c>
      <c r="I298" s="156" t="s">
        <v>960</v>
      </c>
      <c r="J298" s="75" t="s">
        <v>15</v>
      </c>
      <c r="K298" s="407">
        <v>46063</v>
      </c>
      <c r="L298" s="40" t="s">
        <v>4</v>
      </c>
      <c r="M298" s="40" t="s">
        <v>208</v>
      </c>
      <c r="N298" s="40"/>
      <c r="O298" s="349" t="s">
        <v>1172</v>
      </c>
      <c r="P298" s="182" t="s">
        <v>15</v>
      </c>
      <c r="Q298" s="275" t="s">
        <v>211</v>
      </c>
      <c r="R298" s="407">
        <v>46058</v>
      </c>
      <c r="S298" s="40" t="s">
        <v>469</v>
      </c>
      <c r="T298" s="364" t="s">
        <v>1173</v>
      </c>
    </row>
    <row r="299" spans="1:20" ht="15.75" customHeight="1" x14ac:dyDescent="0.3">
      <c r="A299" s="16"/>
      <c r="B299" s="16"/>
      <c r="C299" s="130">
        <f t="shared" ca="1" si="14"/>
        <v>271</v>
      </c>
      <c r="D299" s="181" t="s">
        <v>319</v>
      </c>
      <c r="E299" s="333" t="s">
        <v>198</v>
      </c>
      <c r="F299" s="152" t="s">
        <v>226</v>
      </c>
      <c r="G299" s="163"/>
      <c r="H299" s="152" t="s">
        <v>219</v>
      </c>
      <c r="I299" s="156" t="s">
        <v>1174</v>
      </c>
      <c r="J299" s="75" t="s">
        <v>15</v>
      </c>
      <c r="K299" s="407">
        <v>46063</v>
      </c>
      <c r="L299" s="40" t="s">
        <v>4</v>
      </c>
      <c r="M299" s="41"/>
      <c r="N299" s="40" t="s">
        <v>208</v>
      </c>
      <c r="O299" s="267" t="s">
        <v>1175</v>
      </c>
      <c r="P299" s="182" t="s">
        <v>15</v>
      </c>
      <c r="Q299" s="222"/>
      <c r="R299" s="407">
        <v>46058</v>
      </c>
      <c r="S299" s="40" t="s">
        <v>469</v>
      </c>
      <c r="T299" s="255"/>
    </row>
    <row r="300" spans="1:20" ht="15.75" customHeight="1" x14ac:dyDescent="0.3">
      <c r="A300" s="16"/>
      <c r="B300" s="16"/>
      <c r="C300" s="130">
        <f t="shared" ca="1" si="14"/>
        <v>272</v>
      </c>
      <c r="D300" s="181" t="s">
        <v>1176</v>
      </c>
      <c r="E300" s="306" t="s">
        <v>200</v>
      </c>
      <c r="F300" s="158" t="s">
        <v>207</v>
      </c>
      <c r="G300" s="163"/>
      <c r="H300" s="153" t="s">
        <v>207</v>
      </c>
      <c r="I300" s="164" t="s">
        <v>1177</v>
      </c>
      <c r="J300" s="75" t="s">
        <v>15</v>
      </c>
      <c r="K300" s="407">
        <v>46063</v>
      </c>
      <c r="L300" s="40" t="s">
        <v>4</v>
      </c>
      <c r="M300" s="40" t="s">
        <v>208</v>
      </c>
      <c r="N300" s="41"/>
      <c r="O300" s="267" t="s">
        <v>1178</v>
      </c>
      <c r="P300" s="182" t="s">
        <v>15</v>
      </c>
      <c r="Q300" s="222"/>
      <c r="R300" s="407">
        <v>46058</v>
      </c>
      <c r="S300" s="40" t="s">
        <v>469</v>
      </c>
      <c r="T300" s="255"/>
    </row>
    <row r="301" spans="1:20" ht="15.75" customHeight="1" x14ac:dyDescent="0.3">
      <c r="A301" s="16"/>
      <c r="B301" s="16"/>
      <c r="C301" s="130">
        <f t="shared" ca="1" si="14"/>
        <v>273</v>
      </c>
      <c r="D301" s="181" t="s">
        <v>1179</v>
      </c>
      <c r="E301" s="672" t="s">
        <v>758</v>
      </c>
      <c r="F301" s="171"/>
      <c r="G301" s="152" t="s">
        <v>713</v>
      </c>
      <c r="H301" s="152" t="s">
        <v>714</v>
      </c>
      <c r="I301" s="152" t="s">
        <v>976</v>
      </c>
      <c r="J301" s="75" t="s">
        <v>15</v>
      </c>
      <c r="K301" s="407">
        <v>46063</v>
      </c>
      <c r="L301" s="40" t="s">
        <v>4</v>
      </c>
      <c r="M301" s="40" t="s">
        <v>208</v>
      </c>
      <c r="N301" s="40"/>
      <c r="O301" s="349" t="s">
        <v>1180</v>
      </c>
      <c r="P301" s="182" t="s">
        <v>15</v>
      </c>
      <c r="Q301" s="222"/>
      <c r="R301" s="407">
        <v>46058</v>
      </c>
      <c r="S301" s="40" t="s">
        <v>469</v>
      </c>
      <c r="T301" s="255"/>
    </row>
    <row r="302" spans="1:20" ht="15.75" customHeight="1" x14ac:dyDescent="0.3">
      <c r="A302" s="16"/>
      <c r="B302" s="16"/>
      <c r="C302" s="130">
        <f t="shared" ca="1" si="14"/>
        <v>274</v>
      </c>
      <c r="D302" s="401"/>
      <c r="E302" s="635"/>
      <c r="F302" s="171"/>
      <c r="G302" s="152" t="s">
        <v>717</v>
      </c>
      <c r="H302" s="152" t="s">
        <v>718</v>
      </c>
      <c r="I302" s="152" t="s">
        <v>1181</v>
      </c>
      <c r="J302" s="75" t="s">
        <v>15</v>
      </c>
      <c r="K302" s="407">
        <v>46063</v>
      </c>
      <c r="L302" s="40" t="s">
        <v>4</v>
      </c>
      <c r="M302" s="40" t="s">
        <v>208</v>
      </c>
      <c r="N302" s="40"/>
      <c r="O302" s="349" t="s">
        <v>1182</v>
      </c>
      <c r="P302" s="182" t="s">
        <v>15</v>
      </c>
      <c r="Q302" s="222"/>
      <c r="R302" s="407">
        <v>46058</v>
      </c>
      <c r="S302" s="40" t="s">
        <v>469</v>
      </c>
      <c r="T302" s="254"/>
    </row>
    <row r="303" spans="1:20" ht="15.75" customHeight="1" x14ac:dyDescent="0.3">
      <c r="A303" s="16"/>
      <c r="B303" s="16"/>
      <c r="C303" s="130">
        <f t="shared" ca="1" si="14"/>
        <v>275</v>
      </c>
      <c r="D303" s="181" t="s">
        <v>320</v>
      </c>
      <c r="E303" s="333" t="s">
        <v>198</v>
      </c>
      <c r="F303" s="152" t="s">
        <v>226</v>
      </c>
      <c r="G303" s="163"/>
      <c r="H303" s="152" t="s">
        <v>219</v>
      </c>
      <c r="I303" s="156" t="s">
        <v>1183</v>
      </c>
      <c r="J303" s="75" t="s">
        <v>15</v>
      </c>
      <c r="K303" s="407">
        <v>46063</v>
      </c>
      <c r="L303" s="40" t="s">
        <v>4</v>
      </c>
      <c r="M303" s="41"/>
      <c r="N303" s="40" t="s">
        <v>208</v>
      </c>
      <c r="O303" s="267" t="s">
        <v>1184</v>
      </c>
      <c r="P303" s="182" t="s">
        <v>15</v>
      </c>
      <c r="Q303" s="222"/>
      <c r="R303" s="407">
        <v>46058</v>
      </c>
      <c r="S303" s="40" t="s">
        <v>469</v>
      </c>
      <c r="T303" s="255"/>
    </row>
    <row r="304" spans="1:20" ht="15.75" customHeight="1" x14ac:dyDescent="0.3">
      <c r="A304" s="16"/>
      <c r="B304" s="16"/>
      <c r="C304" s="130">
        <f t="shared" ca="1" si="14"/>
        <v>276</v>
      </c>
      <c r="D304" s="181" t="s">
        <v>1185</v>
      </c>
      <c r="E304" s="306" t="s">
        <v>200</v>
      </c>
      <c r="F304" s="158" t="s">
        <v>207</v>
      </c>
      <c r="G304" s="163"/>
      <c r="H304" s="153" t="s">
        <v>207</v>
      </c>
      <c r="I304" s="164" t="s">
        <v>1186</v>
      </c>
      <c r="J304" s="75" t="s">
        <v>15</v>
      </c>
      <c r="K304" s="407">
        <v>46062</v>
      </c>
      <c r="L304" s="40" t="s">
        <v>4</v>
      </c>
      <c r="M304" s="40" t="s">
        <v>208</v>
      </c>
      <c r="N304" s="41"/>
      <c r="O304" s="267" t="s">
        <v>1187</v>
      </c>
      <c r="P304" s="182" t="s">
        <v>15</v>
      </c>
      <c r="Q304" s="222"/>
      <c r="R304" s="407">
        <v>46058</v>
      </c>
      <c r="S304" s="40" t="s">
        <v>469</v>
      </c>
      <c r="T304" s="255"/>
    </row>
    <row r="305" spans="1:20" ht="15.75" customHeight="1" x14ac:dyDescent="0.3">
      <c r="A305" s="16"/>
      <c r="B305" s="16"/>
      <c r="C305" s="130">
        <f t="shared" ca="1" si="14"/>
        <v>277</v>
      </c>
      <c r="D305" s="181" t="s">
        <v>1188</v>
      </c>
      <c r="E305" s="672" t="s">
        <v>758</v>
      </c>
      <c r="F305" s="171"/>
      <c r="G305" s="152" t="s">
        <v>713</v>
      </c>
      <c r="H305" s="152" t="s">
        <v>714</v>
      </c>
      <c r="I305" s="152" t="s">
        <v>976</v>
      </c>
      <c r="J305" s="75" t="s">
        <v>15</v>
      </c>
      <c r="K305" s="407">
        <v>46062</v>
      </c>
      <c r="L305" s="40" t="s">
        <v>4</v>
      </c>
      <c r="M305" s="40" t="s">
        <v>208</v>
      </c>
      <c r="N305" s="41"/>
      <c r="O305" s="267" t="s">
        <v>1189</v>
      </c>
      <c r="P305" s="182" t="s">
        <v>15</v>
      </c>
      <c r="Q305" s="222"/>
      <c r="R305" s="407">
        <v>46058</v>
      </c>
      <c r="S305" s="40" t="s">
        <v>469</v>
      </c>
      <c r="T305" s="255"/>
    </row>
    <row r="306" spans="1:20" ht="15.75" customHeight="1" x14ac:dyDescent="0.3">
      <c r="A306" s="16"/>
      <c r="B306" s="16"/>
      <c r="C306" s="130">
        <f t="shared" ca="1" si="14"/>
        <v>278</v>
      </c>
      <c r="D306" s="401"/>
      <c r="E306" s="635"/>
      <c r="F306" s="171"/>
      <c r="G306" s="152" t="s">
        <v>717</v>
      </c>
      <c r="H306" s="152" t="s">
        <v>718</v>
      </c>
      <c r="I306" s="152" t="s">
        <v>1190</v>
      </c>
      <c r="J306" s="75" t="s">
        <v>15</v>
      </c>
      <c r="K306" s="407">
        <v>46062</v>
      </c>
      <c r="L306" s="40" t="s">
        <v>4</v>
      </c>
      <c r="M306" s="40" t="s">
        <v>208</v>
      </c>
      <c r="N306" s="40"/>
      <c r="O306" s="349" t="s">
        <v>1191</v>
      </c>
      <c r="P306" s="182" t="s">
        <v>15</v>
      </c>
      <c r="Q306" s="222"/>
      <c r="R306" s="407">
        <v>46058</v>
      </c>
      <c r="S306" s="40" t="s">
        <v>469</v>
      </c>
      <c r="T306" s="254"/>
    </row>
    <row r="307" spans="1:20" ht="15.75" customHeight="1" x14ac:dyDescent="0.3">
      <c r="A307" s="16"/>
      <c r="B307" s="16"/>
      <c r="C307" s="130">
        <f t="shared" ca="1" si="14"/>
        <v>279</v>
      </c>
      <c r="D307" s="181" t="s">
        <v>321</v>
      </c>
      <c r="E307" s="333" t="s">
        <v>198</v>
      </c>
      <c r="F307" s="152" t="s">
        <v>226</v>
      </c>
      <c r="G307" s="163"/>
      <c r="H307" s="152" t="s">
        <v>219</v>
      </c>
      <c r="I307" s="156" t="s">
        <v>1192</v>
      </c>
      <c r="J307" s="75" t="s">
        <v>15</v>
      </c>
      <c r="K307" s="407">
        <v>46063</v>
      </c>
      <c r="L307" s="40" t="s">
        <v>4</v>
      </c>
      <c r="M307" s="41"/>
      <c r="N307" s="40" t="s">
        <v>208</v>
      </c>
      <c r="O307" s="267" t="s">
        <v>1193</v>
      </c>
      <c r="P307" s="182" t="s">
        <v>15</v>
      </c>
      <c r="Q307" s="222"/>
      <c r="R307" s="407">
        <v>46058</v>
      </c>
      <c r="S307" s="40" t="s">
        <v>469</v>
      </c>
      <c r="T307" s="255"/>
    </row>
    <row r="308" spans="1:20" ht="15.75" customHeight="1" x14ac:dyDescent="0.3">
      <c r="A308" s="16"/>
      <c r="B308" s="16"/>
      <c r="C308" s="130">
        <f t="shared" ca="1" si="14"/>
        <v>280</v>
      </c>
      <c r="D308" s="181" t="s">
        <v>321</v>
      </c>
      <c r="E308" s="306" t="s">
        <v>200</v>
      </c>
      <c r="F308" s="158" t="s">
        <v>207</v>
      </c>
      <c r="G308" s="176" t="s">
        <v>1194</v>
      </c>
      <c r="H308" s="153" t="s">
        <v>207</v>
      </c>
      <c r="I308" s="164" t="s">
        <v>1195</v>
      </c>
      <c r="J308" s="75" t="s">
        <v>15</v>
      </c>
      <c r="K308" s="407">
        <v>46063</v>
      </c>
      <c r="L308" s="40" t="s">
        <v>4</v>
      </c>
      <c r="M308" s="41"/>
      <c r="N308" s="40" t="s">
        <v>208</v>
      </c>
      <c r="O308" s="267" t="s">
        <v>1196</v>
      </c>
      <c r="P308" s="182" t="s">
        <v>15</v>
      </c>
      <c r="Q308" s="222"/>
      <c r="R308" s="407"/>
      <c r="S308" s="40" t="s">
        <v>428</v>
      </c>
      <c r="T308" s="255"/>
    </row>
    <row r="309" spans="1:20" ht="15.75" customHeight="1" x14ac:dyDescent="0.3">
      <c r="A309" s="16"/>
      <c r="B309" s="16"/>
      <c r="C309" s="130">
        <f t="shared" ca="1" si="14"/>
        <v>281</v>
      </c>
      <c r="D309" s="181" t="s">
        <v>1197</v>
      </c>
      <c r="E309" s="306"/>
      <c r="F309" s="158"/>
      <c r="G309" s="152"/>
      <c r="H309" s="152" t="s">
        <v>1198</v>
      </c>
      <c r="I309" s="164" t="s">
        <v>1199</v>
      </c>
      <c r="J309" s="75" t="s">
        <v>15</v>
      </c>
      <c r="K309" s="407">
        <v>46062</v>
      </c>
      <c r="L309" s="40" t="s">
        <v>4</v>
      </c>
      <c r="M309" s="40" t="s">
        <v>208</v>
      </c>
      <c r="N309" s="41"/>
      <c r="O309" s="267" t="s">
        <v>1200</v>
      </c>
      <c r="P309" s="182" t="s">
        <v>15</v>
      </c>
      <c r="Q309" s="222"/>
      <c r="R309" s="407"/>
      <c r="S309" s="40" t="s">
        <v>428</v>
      </c>
      <c r="T309" s="255"/>
    </row>
    <row r="310" spans="1:20" ht="15.75" customHeight="1" x14ac:dyDescent="0.3">
      <c r="A310" s="16"/>
      <c r="B310" s="16"/>
      <c r="C310" s="130">
        <f t="shared" ca="1" si="14"/>
        <v>282</v>
      </c>
      <c r="D310" s="181" t="s">
        <v>1201</v>
      </c>
      <c r="E310" s="450"/>
      <c r="F310" s="158"/>
      <c r="G310" s="163"/>
      <c r="H310" s="152" t="s">
        <v>1135</v>
      </c>
      <c r="I310" s="164" t="s">
        <v>1202</v>
      </c>
      <c r="J310" s="75" t="s">
        <v>15</v>
      </c>
      <c r="K310" s="407">
        <v>46062</v>
      </c>
      <c r="L310" s="40" t="s">
        <v>4</v>
      </c>
      <c r="M310" s="40" t="s">
        <v>208</v>
      </c>
      <c r="N310" s="41"/>
      <c r="O310" s="267" t="s">
        <v>1203</v>
      </c>
      <c r="P310" s="182" t="s">
        <v>15</v>
      </c>
      <c r="Q310" s="222"/>
      <c r="R310" s="407"/>
      <c r="S310" s="40" t="s">
        <v>428</v>
      </c>
      <c r="T310" s="255"/>
    </row>
    <row r="311" spans="1:20" ht="15.75" customHeight="1" x14ac:dyDescent="0.3">
      <c r="A311" s="16"/>
      <c r="B311" s="16"/>
      <c r="C311" s="666" t="s">
        <v>1204</v>
      </c>
      <c r="D311" s="602"/>
      <c r="E311" s="602"/>
      <c r="F311" s="602"/>
      <c r="G311" s="602"/>
      <c r="H311" s="602"/>
      <c r="I311" s="602"/>
      <c r="J311" s="602"/>
      <c r="K311" s="602"/>
      <c r="L311" s="602"/>
      <c r="M311" s="602"/>
      <c r="N311" s="602"/>
      <c r="O311" s="602"/>
      <c r="P311" s="602"/>
      <c r="Q311" s="602"/>
      <c r="R311" s="602"/>
      <c r="S311" s="602"/>
      <c r="T311" s="602"/>
    </row>
    <row r="312" spans="1:20" ht="27.6" x14ac:dyDescent="0.3">
      <c r="A312" s="104"/>
      <c r="B312" s="104"/>
      <c r="C312" s="130">
        <f t="shared" ref="C312:C380" ca="1" si="15">1+COUNT(INDIRECT("A1:"&amp;(ADDRESS(ROW()-1,COLUMN()))))</f>
        <v>283</v>
      </c>
      <c r="D312" s="181" t="s">
        <v>331</v>
      </c>
      <c r="E312" s="333" t="s">
        <v>198</v>
      </c>
      <c r="F312" s="152" t="s">
        <v>226</v>
      </c>
      <c r="G312" s="163"/>
      <c r="H312" s="152" t="s">
        <v>219</v>
      </c>
      <c r="I312" s="156" t="s">
        <v>1205</v>
      </c>
      <c r="J312" s="75" t="s">
        <v>15</v>
      </c>
      <c r="K312" s="407">
        <v>46063</v>
      </c>
      <c r="L312" s="40" t="s">
        <v>4</v>
      </c>
      <c r="M312" s="40"/>
      <c r="N312" s="40" t="s">
        <v>208</v>
      </c>
      <c r="O312" s="356"/>
      <c r="P312" s="75" t="s">
        <v>15</v>
      </c>
      <c r="Q312" s="117"/>
      <c r="R312" s="407"/>
      <c r="S312" s="40" t="s">
        <v>431</v>
      </c>
      <c r="T312" s="254"/>
    </row>
    <row r="313" spans="1:20" ht="15.75" customHeight="1" x14ac:dyDescent="0.3">
      <c r="A313" s="104"/>
      <c r="B313" s="104"/>
      <c r="C313" s="130">
        <f t="shared" ca="1" si="15"/>
        <v>284</v>
      </c>
      <c r="D313" s="289" t="s">
        <v>546</v>
      </c>
      <c r="E313" s="299"/>
      <c r="F313" s="158"/>
      <c r="G313" s="154"/>
      <c r="H313" s="152" t="s">
        <v>1206</v>
      </c>
      <c r="I313" s="131" t="s">
        <v>1207</v>
      </c>
      <c r="J313" s="75" t="s">
        <v>15</v>
      </c>
      <c r="K313" s="407">
        <v>46062</v>
      </c>
      <c r="L313" s="40" t="s">
        <v>4</v>
      </c>
      <c r="M313" s="40" t="s">
        <v>208</v>
      </c>
      <c r="N313" s="40"/>
      <c r="O313" s="349" t="s">
        <v>1208</v>
      </c>
      <c r="P313" s="75" t="s">
        <v>15</v>
      </c>
      <c r="Q313" s="117"/>
      <c r="R313" s="407"/>
      <c r="S313" s="40" t="s">
        <v>431</v>
      </c>
      <c r="T313" s="254" t="s">
        <v>1209</v>
      </c>
    </row>
    <row r="314" spans="1:20" ht="15.75" customHeight="1" x14ac:dyDescent="0.3">
      <c r="A314" s="104"/>
      <c r="B314" s="104"/>
      <c r="C314" s="130">
        <f t="shared" ca="1" si="15"/>
        <v>285</v>
      </c>
      <c r="D314" s="181" t="s">
        <v>1210</v>
      </c>
      <c r="E314" s="306"/>
      <c r="F314" s="158"/>
      <c r="G314" s="216"/>
      <c r="H314" s="152" t="s">
        <v>1211</v>
      </c>
      <c r="I314" s="164" t="s">
        <v>1212</v>
      </c>
      <c r="J314" s="75" t="s">
        <v>15</v>
      </c>
      <c r="K314" s="407">
        <v>46062</v>
      </c>
      <c r="L314" s="40" t="s">
        <v>4</v>
      </c>
      <c r="M314" s="40" t="s">
        <v>208</v>
      </c>
      <c r="N314" s="41"/>
      <c r="O314" s="267" t="s">
        <v>1213</v>
      </c>
      <c r="P314" s="182" t="s">
        <v>15</v>
      </c>
      <c r="Q314" s="275" t="s">
        <v>211</v>
      </c>
      <c r="R314" s="465"/>
      <c r="S314" s="40" t="s">
        <v>431</v>
      </c>
      <c r="T314" s="83" t="s">
        <v>1123</v>
      </c>
    </row>
    <row r="315" spans="1:20" ht="15.75" customHeight="1" x14ac:dyDescent="0.3">
      <c r="A315" s="104"/>
      <c r="B315" s="104"/>
      <c r="C315" s="130">
        <f t="shared" ca="1" si="15"/>
        <v>286</v>
      </c>
      <c r="D315" s="181" t="s">
        <v>334</v>
      </c>
      <c r="E315" s="306" t="s">
        <v>200</v>
      </c>
      <c r="F315" s="152" t="s">
        <v>226</v>
      </c>
      <c r="G315" s="163"/>
      <c r="H315" s="152" t="s">
        <v>219</v>
      </c>
      <c r="I315" s="156" t="s">
        <v>1214</v>
      </c>
      <c r="J315" s="75" t="s">
        <v>15</v>
      </c>
      <c r="K315" s="407">
        <v>46063</v>
      </c>
      <c r="L315" s="40" t="s">
        <v>4</v>
      </c>
      <c r="M315" s="40"/>
      <c r="N315" s="40" t="s">
        <v>208</v>
      </c>
      <c r="O315" s="356"/>
      <c r="P315" s="75" t="s">
        <v>15</v>
      </c>
      <c r="Q315" s="117" t="s">
        <v>211</v>
      </c>
      <c r="R315" s="407"/>
      <c r="S315" s="40" t="s">
        <v>431</v>
      </c>
      <c r="T315" s="254" t="s">
        <v>1215</v>
      </c>
    </row>
    <row r="316" spans="1:20" ht="15.75" customHeight="1" x14ac:dyDescent="0.3">
      <c r="A316" s="104"/>
      <c r="B316" s="104"/>
      <c r="C316" s="130">
        <f t="shared" ca="1" si="15"/>
        <v>287</v>
      </c>
      <c r="D316" s="181"/>
      <c r="E316" s="450" t="s">
        <v>200</v>
      </c>
      <c r="F316" s="158"/>
      <c r="G316" s="152"/>
      <c r="H316" s="152" t="s">
        <v>1216</v>
      </c>
      <c r="I316" s="164" t="s">
        <v>1132</v>
      </c>
      <c r="J316" s="75" t="s">
        <v>15</v>
      </c>
      <c r="K316" s="407">
        <v>46062</v>
      </c>
      <c r="L316" s="40" t="s">
        <v>4</v>
      </c>
      <c r="M316" s="40" t="s">
        <v>208</v>
      </c>
      <c r="N316" s="40"/>
      <c r="O316" s="349" t="s">
        <v>1217</v>
      </c>
      <c r="P316" s="75" t="s">
        <v>15</v>
      </c>
      <c r="Q316" s="117" t="s">
        <v>211</v>
      </c>
      <c r="R316" s="407"/>
      <c r="S316" s="40" t="s">
        <v>431</v>
      </c>
      <c r="T316" s="254" t="s">
        <v>1218</v>
      </c>
    </row>
    <row r="317" spans="1:20" ht="15.75" customHeight="1" x14ac:dyDescent="0.3">
      <c r="A317" s="104"/>
      <c r="B317" s="104"/>
      <c r="C317" s="130">
        <f t="shared" ca="1" si="15"/>
        <v>288</v>
      </c>
      <c r="D317" s="181"/>
      <c r="E317" s="450"/>
      <c r="F317" s="158"/>
      <c r="G317" s="163"/>
      <c r="H317" s="152" t="s">
        <v>1219</v>
      </c>
      <c r="I317" s="164" t="s">
        <v>1220</v>
      </c>
      <c r="J317" s="75" t="s">
        <v>15</v>
      </c>
      <c r="K317" s="407">
        <v>46062</v>
      </c>
      <c r="L317" s="40" t="s">
        <v>4</v>
      </c>
      <c r="M317" s="40" t="s">
        <v>208</v>
      </c>
      <c r="N317" s="40"/>
      <c r="O317" s="349" t="s">
        <v>1221</v>
      </c>
      <c r="P317" s="75" t="s">
        <v>15</v>
      </c>
      <c r="Q317" s="117"/>
      <c r="R317" s="407"/>
      <c r="S317" s="40" t="s">
        <v>431</v>
      </c>
      <c r="T317" s="83"/>
    </row>
    <row r="318" spans="1:20" ht="15.75" customHeight="1" x14ac:dyDescent="0.3">
      <c r="A318" s="104"/>
      <c r="B318" s="104"/>
      <c r="C318" s="130">
        <f t="shared" ca="1" si="15"/>
        <v>289</v>
      </c>
      <c r="D318" s="181" t="s">
        <v>335</v>
      </c>
      <c r="E318" s="306" t="s">
        <v>200</v>
      </c>
      <c r="F318" s="152" t="s">
        <v>226</v>
      </c>
      <c r="G318" s="163"/>
      <c r="H318" s="152" t="s">
        <v>219</v>
      </c>
      <c r="I318" s="156" t="s">
        <v>1222</v>
      </c>
      <c r="J318" s="75" t="s">
        <v>15</v>
      </c>
      <c r="K318" s="407">
        <v>46063</v>
      </c>
      <c r="L318" s="40" t="s">
        <v>4</v>
      </c>
      <c r="M318" s="40"/>
      <c r="N318" s="40" t="s">
        <v>208</v>
      </c>
      <c r="O318" s="356"/>
      <c r="P318" s="75" t="s">
        <v>15</v>
      </c>
      <c r="Q318" s="117" t="s">
        <v>211</v>
      </c>
      <c r="R318" s="407"/>
      <c r="S318" s="40" t="s">
        <v>431</v>
      </c>
      <c r="T318" s="254" t="s">
        <v>1215</v>
      </c>
    </row>
    <row r="319" spans="1:20" ht="15.75" customHeight="1" x14ac:dyDescent="0.3">
      <c r="A319" s="104"/>
      <c r="B319" s="104"/>
      <c r="C319" s="130">
        <f t="shared" ca="1" si="15"/>
        <v>290</v>
      </c>
      <c r="D319" s="181"/>
      <c r="E319" s="450" t="s">
        <v>200</v>
      </c>
      <c r="F319" s="158"/>
      <c r="G319" s="152"/>
      <c r="H319" s="152" t="s">
        <v>1223</v>
      </c>
      <c r="I319" s="164" t="s">
        <v>1132</v>
      </c>
      <c r="J319" s="75" t="s">
        <v>15</v>
      </c>
      <c r="K319" s="407">
        <v>46062</v>
      </c>
      <c r="L319" s="40" t="s">
        <v>4</v>
      </c>
      <c r="M319" s="40" t="s">
        <v>208</v>
      </c>
      <c r="N319" s="40"/>
      <c r="O319" s="349" t="s">
        <v>1224</v>
      </c>
      <c r="P319" s="75" t="s">
        <v>15</v>
      </c>
      <c r="Q319" s="117" t="s">
        <v>211</v>
      </c>
      <c r="R319" s="407"/>
      <c r="S319" s="40" t="s">
        <v>431</v>
      </c>
      <c r="T319" s="254" t="s">
        <v>1218</v>
      </c>
    </row>
    <row r="320" spans="1:20" ht="15.75" customHeight="1" x14ac:dyDescent="0.3">
      <c r="A320" s="104"/>
      <c r="B320" s="104"/>
      <c r="C320" s="130">
        <f t="shared" ca="1" si="15"/>
        <v>291</v>
      </c>
      <c r="D320" s="181"/>
      <c r="E320" s="450"/>
      <c r="F320" s="158"/>
      <c r="G320" s="163"/>
      <c r="H320" s="152" t="s">
        <v>1219</v>
      </c>
      <c r="I320" s="164" t="s">
        <v>1225</v>
      </c>
      <c r="J320" s="75" t="s">
        <v>15</v>
      </c>
      <c r="K320" s="407">
        <v>46062</v>
      </c>
      <c r="L320" s="40" t="s">
        <v>4</v>
      </c>
      <c r="M320" s="40" t="s">
        <v>208</v>
      </c>
      <c r="N320" s="40"/>
      <c r="O320" s="349" t="s">
        <v>1226</v>
      </c>
      <c r="P320" s="75" t="s">
        <v>15</v>
      </c>
      <c r="Q320" s="117"/>
      <c r="R320" s="407"/>
      <c r="S320" s="40" t="s">
        <v>431</v>
      </c>
      <c r="T320" s="83"/>
    </row>
    <row r="321" spans="1:20" ht="15.75" customHeight="1" x14ac:dyDescent="0.3">
      <c r="A321" s="104"/>
      <c r="B321" s="104"/>
      <c r="C321" s="130">
        <f t="shared" ca="1" si="15"/>
        <v>292</v>
      </c>
      <c r="D321" s="181" t="s">
        <v>336</v>
      </c>
      <c r="E321" s="306" t="s">
        <v>200</v>
      </c>
      <c r="F321" s="152" t="s">
        <v>226</v>
      </c>
      <c r="G321" s="163"/>
      <c r="H321" s="152" t="s">
        <v>219</v>
      </c>
      <c r="I321" s="156" t="s">
        <v>1227</v>
      </c>
      <c r="J321" s="75" t="s">
        <v>15</v>
      </c>
      <c r="K321" s="407">
        <v>46063</v>
      </c>
      <c r="L321" s="40" t="s">
        <v>4</v>
      </c>
      <c r="M321" s="40"/>
      <c r="N321" s="40" t="s">
        <v>208</v>
      </c>
      <c r="O321" s="356"/>
      <c r="P321" s="75" t="s">
        <v>15</v>
      </c>
      <c r="Q321" s="117" t="s">
        <v>211</v>
      </c>
      <c r="R321" s="407"/>
      <c r="S321" s="40" t="s">
        <v>431</v>
      </c>
      <c r="T321" s="254" t="s">
        <v>1215</v>
      </c>
    </row>
    <row r="322" spans="1:20" ht="15.75" customHeight="1" x14ac:dyDescent="0.3">
      <c r="A322" s="104"/>
      <c r="B322" s="104"/>
      <c r="C322" s="130">
        <f t="shared" ca="1" si="15"/>
        <v>293</v>
      </c>
      <c r="D322" s="181"/>
      <c r="E322" s="450" t="s">
        <v>200</v>
      </c>
      <c r="F322" s="158"/>
      <c r="G322" s="152"/>
      <c r="H322" s="152" t="s">
        <v>1228</v>
      </c>
      <c r="I322" s="164" t="s">
        <v>1132</v>
      </c>
      <c r="J322" s="75" t="s">
        <v>15</v>
      </c>
      <c r="K322" s="407">
        <v>46062</v>
      </c>
      <c r="L322" s="40" t="s">
        <v>4</v>
      </c>
      <c r="M322" s="40" t="s">
        <v>208</v>
      </c>
      <c r="N322" s="40"/>
      <c r="O322" s="349" t="s">
        <v>1229</v>
      </c>
      <c r="P322" s="75" t="s">
        <v>15</v>
      </c>
      <c r="Q322" s="117" t="s">
        <v>211</v>
      </c>
      <c r="R322" s="407"/>
      <c r="S322" s="40" t="s">
        <v>431</v>
      </c>
      <c r="T322" s="254" t="s">
        <v>1218</v>
      </c>
    </row>
    <row r="323" spans="1:20" ht="15.75" customHeight="1" x14ac:dyDescent="0.3">
      <c r="A323" s="104"/>
      <c r="B323" s="104"/>
      <c r="C323" s="130">
        <f t="shared" ca="1" si="15"/>
        <v>294</v>
      </c>
      <c r="D323" s="181"/>
      <c r="E323" s="450"/>
      <c r="F323" s="158"/>
      <c r="G323" s="163"/>
      <c r="H323" s="152" t="s">
        <v>1219</v>
      </c>
      <c r="I323" s="164" t="s">
        <v>1230</v>
      </c>
      <c r="J323" s="75" t="s">
        <v>15</v>
      </c>
      <c r="K323" s="407">
        <v>46062</v>
      </c>
      <c r="L323" s="40" t="s">
        <v>4</v>
      </c>
      <c r="M323" s="40" t="s">
        <v>208</v>
      </c>
      <c r="N323" s="40"/>
      <c r="O323" s="349" t="s">
        <v>1231</v>
      </c>
      <c r="P323" s="75" t="s">
        <v>15</v>
      </c>
      <c r="Q323" s="117"/>
      <c r="R323" s="407"/>
      <c r="S323" s="40" t="s">
        <v>431</v>
      </c>
      <c r="T323" s="83"/>
    </row>
    <row r="324" spans="1:20" ht="15.75" customHeight="1" x14ac:dyDescent="0.3">
      <c r="A324" s="104"/>
      <c r="B324" s="104"/>
      <c r="C324" s="130">
        <f t="shared" ca="1" si="15"/>
        <v>295</v>
      </c>
      <c r="D324" s="181" t="s">
        <v>337</v>
      </c>
      <c r="E324" s="306" t="s">
        <v>200</v>
      </c>
      <c r="F324" s="152" t="s">
        <v>226</v>
      </c>
      <c r="G324" s="163"/>
      <c r="H324" s="152" t="s">
        <v>219</v>
      </c>
      <c r="I324" s="156" t="s">
        <v>1232</v>
      </c>
      <c r="J324" s="75" t="s">
        <v>15</v>
      </c>
      <c r="K324" s="407">
        <v>46063</v>
      </c>
      <c r="L324" s="40" t="s">
        <v>4</v>
      </c>
      <c r="M324" s="40"/>
      <c r="N324" s="40" t="s">
        <v>208</v>
      </c>
      <c r="O324" s="356"/>
      <c r="P324" s="75" t="s">
        <v>15</v>
      </c>
      <c r="Q324" s="117" t="s">
        <v>211</v>
      </c>
      <c r="R324" s="407"/>
      <c r="S324" s="40" t="s">
        <v>431</v>
      </c>
      <c r="T324" s="254" t="s">
        <v>1215</v>
      </c>
    </row>
    <row r="325" spans="1:20" ht="15.75" customHeight="1" x14ac:dyDescent="0.3">
      <c r="A325" s="104"/>
      <c r="B325" s="104"/>
      <c r="C325" s="130">
        <f t="shared" ca="1" si="15"/>
        <v>296</v>
      </c>
      <c r="D325" s="181"/>
      <c r="E325" s="450" t="s">
        <v>200</v>
      </c>
      <c r="F325" s="158"/>
      <c r="G325" s="152"/>
      <c r="H325" s="152" t="s">
        <v>1233</v>
      </c>
      <c r="I325" s="164" t="s">
        <v>1132</v>
      </c>
      <c r="J325" s="75" t="s">
        <v>15</v>
      </c>
      <c r="K325" s="407">
        <v>46062</v>
      </c>
      <c r="L325" s="40" t="s">
        <v>4</v>
      </c>
      <c r="M325" s="40" t="s">
        <v>208</v>
      </c>
      <c r="N325" s="40"/>
      <c r="O325" s="349" t="s">
        <v>1234</v>
      </c>
      <c r="P325" s="75" t="s">
        <v>15</v>
      </c>
      <c r="Q325" s="117" t="s">
        <v>211</v>
      </c>
      <c r="R325" s="407"/>
      <c r="S325" s="40" t="s">
        <v>431</v>
      </c>
      <c r="T325" s="254" t="s">
        <v>1218</v>
      </c>
    </row>
    <row r="326" spans="1:20" ht="15.75" customHeight="1" x14ac:dyDescent="0.3">
      <c r="A326" s="104"/>
      <c r="B326" s="104"/>
      <c r="C326" s="130">
        <f t="shared" ca="1" si="15"/>
        <v>297</v>
      </c>
      <c r="D326" s="181"/>
      <c r="E326" s="450"/>
      <c r="F326" s="158"/>
      <c r="G326" s="163"/>
      <c r="H326" s="152" t="s">
        <v>1219</v>
      </c>
      <c r="I326" s="164" t="s">
        <v>1235</v>
      </c>
      <c r="J326" s="75" t="s">
        <v>15</v>
      </c>
      <c r="K326" s="407">
        <v>46062</v>
      </c>
      <c r="L326" s="40" t="s">
        <v>4</v>
      </c>
      <c r="M326" s="40" t="s">
        <v>208</v>
      </c>
      <c r="N326" s="40"/>
      <c r="O326" s="349" t="s">
        <v>1236</v>
      </c>
      <c r="P326" s="75" t="s">
        <v>15</v>
      </c>
      <c r="Q326" s="117"/>
      <c r="R326" s="407"/>
      <c r="S326" s="40" t="s">
        <v>431</v>
      </c>
      <c r="T326" s="83"/>
    </row>
    <row r="327" spans="1:20" ht="15.75" customHeight="1" x14ac:dyDescent="0.3">
      <c r="A327" s="104"/>
      <c r="B327" s="104"/>
      <c r="C327" s="130">
        <f t="shared" ca="1" si="15"/>
        <v>298</v>
      </c>
      <c r="D327" s="181" t="s">
        <v>338</v>
      </c>
      <c r="E327" s="306" t="s">
        <v>200</v>
      </c>
      <c r="F327" s="152" t="s">
        <v>226</v>
      </c>
      <c r="G327" s="163"/>
      <c r="H327" s="152" t="s">
        <v>219</v>
      </c>
      <c r="I327" s="156" t="s">
        <v>1237</v>
      </c>
      <c r="J327" s="75" t="s">
        <v>15</v>
      </c>
      <c r="K327" s="407">
        <v>46063</v>
      </c>
      <c r="L327" s="40" t="s">
        <v>4</v>
      </c>
      <c r="M327" s="40"/>
      <c r="N327" s="40" t="s">
        <v>208</v>
      </c>
      <c r="O327" s="356"/>
      <c r="P327" s="75" t="s">
        <v>15</v>
      </c>
      <c r="Q327" s="117" t="s">
        <v>211</v>
      </c>
      <c r="R327" s="407"/>
      <c r="S327" s="40" t="s">
        <v>431</v>
      </c>
      <c r="T327" s="254" t="s">
        <v>1215</v>
      </c>
    </row>
    <row r="328" spans="1:20" ht="15.75" customHeight="1" x14ac:dyDescent="0.3">
      <c r="A328" s="104"/>
      <c r="B328" s="104"/>
      <c r="C328" s="130">
        <f t="shared" ca="1" si="15"/>
        <v>299</v>
      </c>
      <c r="D328" s="181"/>
      <c r="E328" s="450" t="s">
        <v>200</v>
      </c>
      <c r="F328" s="158"/>
      <c r="G328" s="152"/>
      <c r="H328" s="152" t="s">
        <v>1238</v>
      </c>
      <c r="I328" s="164" t="s">
        <v>1132</v>
      </c>
      <c r="J328" s="75" t="s">
        <v>15</v>
      </c>
      <c r="K328" s="407">
        <v>46062</v>
      </c>
      <c r="L328" s="40" t="s">
        <v>4</v>
      </c>
      <c r="M328" s="40" t="s">
        <v>208</v>
      </c>
      <c r="N328" s="40"/>
      <c r="O328" s="349" t="s">
        <v>1239</v>
      </c>
      <c r="P328" s="75" t="s">
        <v>15</v>
      </c>
      <c r="Q328" s="117" t="s">
        <v>211</v>
      </c>
      <c r="R328" s="407"/>
      <c r="S328" s="40" t="s">
        <v>431</v>
      </c>
      <c r="T328" s="254" t="s">
        <v>1218</v>
      </c>
    </row>
    <row r="329" spans="1:20" ht="15.75" customHeight="1" x14ac:dyDescent="0.3">
      <c r="A329" s="104"/>
      <c r="B329" s="104"/>
      <c r="C329" s="130">
        <f t="shared" ca="1" si="15"/>
        <v>300</v>
      </c>
      <c r="D329" s="181"/>
      <c r="E329" s="450"/>
      <c r="F329" s="158"/>
      <c r="G329" s="163"/>
      <c r="H329" s="152" t="s">
        <v>1219</v>
      </c>
      <c r="I329" s="164" t="s">
        <v>1240</v>
      </c>
      <c r="J329" s="75" t="s">
        <v>15</v>
      </c>
      <c r="K329" s="407">
        <v>46062</v>
      </c>
      <c r="L329" s="40" t="s">
        <v>4</v>
      </c>
      <c r="M329" s="40" t="s">
        <v>208</v>
      </c>
      <c r="N329" s="40"/>
      <c r="O329" s="349" t="s">
        <v>1241</v>
      </c>
      <c r="P329" s="75" t="s">
        <v>15</v>
      </c>
      <c r="Q329" s="117"/>
      <c r="R329" s="407"/>
      <c r="S329" s="40" t="s">
        <v>431</v>
      </c>
      <c r="T329" s="83"/>
    </row>
    <row r="330" spans="1:20" ht="15.75" customHeight="1" x14ac:dyDescent="0.3">
      <c r="A330" s="104"/>
      <c r="B330" s="104"/>
      <c r="C330" s="130">
        <f t="shared" ca="1" si="15"/>
        <v>301</v>
      </c>
      <c r="D330" s="181" t="s">
        <v>339</v>
      </c>
      <c r="E330" s="306" t="s">
        <v>200</v>
      </c>
      <c r="F330" s="152" t="s">
        <v>226</v>
      </c>
      <c r="G330" s="163"/>
      <c r="H330" s="152" t="s">
        <v>219</v>
      </c>
      <c r="I330" s="156" t="s">
        <v>1242</v>
      </c>
      <c r="J330" s="75" t="s">
        <v>15</v>
      </c>
      <c r="K330" s="407">
        <v>46063</v>
      </c>
      <c r="L330" s="40" t="s">
        <v>4</v>
      </c>
      <c r="M330" s="40"/>
      <c r="N330" s="40" t="s">
        <v>208</v>
      </c>
      <c r="O330" s="356"/>
      <c r="P330" s="75" t="s">
        <v>15</v>
      </c>
      <c r="Q330" s="117" t="s">
        <v>211</v>
      </c>
      <c r="R330" s="407"/>
      <c r="S330" s="40" t="s">
        <v>431</v>
      </c>
      <c r="T330" s="254" t="s">
        <v>1215</v>
      </c>
    </row>
    <row r="331" spans="1:20" ht="15.75" customHeight="1" x14ac:dyDescent="0.3">
      <c r="A331" s="104"/>
      <c r="B331" s="104"/>
      <c r="C331" s="130">
        <f t="shared" ca="1" si="15"/>
        <v>302</v>
      </c>
      <c r="D331" s="181"/>
      <c r="E331" s="450" t="s">
        <v>200</v>
      </c>
      <c r="F331" s="158"/>
      <c r="G331" s="152"/>
      <c r="H331" s="152" t="s">
        <v>1243</v>
      </c>
      <c r="I331" s="164" t="s">
        <v>1132</v>
      </c>
      <c r="J331" s="75" t="s">
        <v>15</v>
      </c>
      <c r="K331" s="407">
        <v>46062</v>
      </c>
      <c r="L331" s="40" t="s">
        <v>4</v>
      </c>
      <c r="M331" s="40" t="s">
        <v>208</v>
      </c>
      <c r="N331" s="40"/>
      <c r="O331" s="349" t="s">
        <v>1244</v>
      </c>
      <c r="P331" s="75" t="s">
        <v>15</v>
      </c>
      <c r="Q331" s="117" t="s">
        <v>211</v>
      </c>
      <c r="R331" s="407"/>
      <c r="S331" s="40" t="s">
        <v>431</v>
      </c>
      <c r="T331" s="254" t="s">
        <v>1218</v>
      </c>
    </row>
    <row r="332" spans="1:20" ht="15.75" customHeight="1" x14ac:dyDescent="0.3">
      <c r="A332" s="104"/>
      <c r="B332" s="104"/>
      <c r="C332" s="130">
        <f t="shared" ca="1" si="15"/>
        <v>303</v>
      </c>
      <c r="D332" s="181"/>
      <c r="E332" s="450"/>
      <c r="F332" s="158"/>
      <c r="G332" s="163"/>
      <c r="H332" s="152" t="s">
        <v>1219</v>
      </c>
      <c r="I332" s="164" t="s">
        <v>1245</v>
      </c>
      <c r="J332" s="75" t="s">
        <v>15</v>
      </c>
      <c r="K332" s="407">
        <v>46062</v>
      </c>
      <c r="L332" s="40" t="s">
        <v>4</v>
      </c>
      <c r="M332" s="40" t="s">
        <v>208</v>
      </c>
      <c r="N332" s="40"/>
      <c r="O332" s="349" t="s">
        <v>1246</v>
      </c>
      <c r="P332" s="75" t="s">
        <v>15</v>
      </c>
      <c r="Q332" s="117"/>
      <c r="R332" s="407"/>
      <c r="S332" s="40" t="s">
        <v>431</v>
      </c>
      <c r="T332" s="83"/>
    </row>
    <row r="333" spans="1:20" ht="15.75" customHeight="1" x14ac:dyDescent="0.3">
      <c r="A333" s="104"/>
      <c r="B333" s="104"/>
      <c r="C333" s="130">
        <f t="shared" ca="1" si="15"/>
        <v>304</v>
      </c>
      <c r="D333" s="181" t="s">
        <v>340</v>
      </c>
      <c r="E333" s="306" t="s">
        <v>200</v>
      </c>
      <c r="F333" s="152" t="s">
        <v>226</v>
      </c>
      <c r="G333" s="163"/>
      <c r="H333" s="152" t="s">
        <v>219</v>
      </c>
      <c r="I333" s="156" t="s">
        <v>1247</v>
      </c>
      <c r="J333" s="75" t="s">
        <v>15</v>
      </c>
      <c r="K333" s="407">
        <v>46063</v>
      </c>
      <c r="L333" s="40" t="s">
        <v>4</v>
      </c>
      <c r="M333" s="40"/>
      <c r="N333" s="40" t="s">
        <v>208</v>
      </c>
      <c r="O333" s="356"/>
      <c r="P333" s="75" t="s">
        <v>15</v>
      </c>
      <c r="Q333" s="117" t="s">
        <v>211</v>
      </c>
      <c r="R333" s="407"/>
      <c r="S333" s="40" t="s">
        <v>431</v>
      </c>
      <c r="T333" s="254" t="s">
        <v>1215</v>
      </c>
    </row>
    <row r="334" spans="1:20" ht="15.75" customHeight="1" x14ac:dyDescent="0.3">
      <c r="A334" s="104"/>
      <c r="B334" s="104"/>
      <c r="C334" s="130">
        <f t="shared" ca="1" si="15"/>
        <v>305</v>
      </c>
      <c r="D334" s="181"/>
      <c r="E334" s="450" t="s">
        <v>200</v>
      </c>
      <c r="F334" s="158"/>
      <c r="G334" s="152"/>
      <c r="H334" s="152" t="s">
        <v>1248</v>
      </c>
      <c r="I334" s="164" t="s">
        <v>1132</v>
      </c>
      <c r="J334" s="75" t="s">
        <v>15</v>
      </c>
      <c r="K334" s="407">
        <v>46062</v>
      </c>
      <c r="L334" s="40" t="s">
        <v>4</v>
      </c>
      <c r="M334" s="40" t="s">
        <v>208</v>
      </c>
      <c r="N334" s="40"/>
      <c r="O334" s="349" t="s">
        <v>1249</v>
      </c>
      <c r="P334" s="75" t="s">
        <v>15</v>
      </c>
      <c r="Q334" s="117" t="s">
        <v>211</v>
      </c>
      <c r="R334" s="407"/>
      <c r="S334" s="40" t="s">
        <v>431</v>
      </c>
      <c r="T334" s="254" t="s">
        <v>1218</v>
      </c>
    </row>
    <row r="335" spans="1:20" ht="15.75" customHeight="1" x14ac:dyDescent="0.3">
      <c r="A335" s="104"/>
      <c r="B335" s="104"/>
      <c r="C335" s="130">
        <f t="shared" ca="1" si="15"/>
        <v>306</v>
      </c>
      <c r="D335" s="181"/>
      <c r="E335" s="450"/>
      <c r="F335" s="158"/>
      <c r="G335" s="163"/>
      <c r="H335" s="152" t="s">
        <v>1219</v>
      </c>
      <c r="I335" s="164" t="s">
        <v>1250</v>
      </c>
      <c r="J335" s="75" t="s">
        <v>15</v>
      </c>
      <c r="K335" s="407">
        <v>46062</v>
      </c>
      <c r="L335" s="40" t="s">
        <v>4</v>
      </c>
      <c r="M335" s="40" t="s">
        <v>208</v>
      </c>
      <c r="N335" s="40"/>
      <c r="O335" s="349" t="s">
        <v>1251</v>
      </c>
      <c r="P335" s="75" t="s">
        <v>15</v>
      </c>
      <c r="Q335" s="117"/>
      <c r="R335" s="407"/>
      <c r="S335" s="40" t="s">
        <v>431</v>
      </c>
      <c r="T335" s="83"/>
    </row>
    <row r="336" spans="1:20" ht="15.75" customHeight="1" x14ac:dyDescent="0.3">
      <c r="A336" s="104"/>
      <c r="B336" s="104"/>
      <c r="C336" s="130">
        <f t="shared" ca="1" si="15"/>
        <v>307</v>
      </c>
      <c r="D336" s="181" t="s">
        <v>341</v>
      </c>
      <c r="E336" s="306" t="s">
        <v>200</v>
      </c>
      <c r="F336" s="152" t="s">
        <v>226</v>
      </c>
      <c r="G336" s="163"/>
      <c r="H336" s="152" t="s">
        <v>219</v>
      </c>
      <c r="I336" s="156" t="s">
        <v>1252</v>
      </c>
      <c r="J336" s="75" t="s">
        <v>15</v>
      </c>
      <c r="K336" s="407">
        <v>46063</v>
      </c>
      <c r="L336" s="40" t="s">
        <v>4</v>
      </c>
      <c r="M336" s="40"/>
      <c r="N336" s="40" t="s">
        <v>208</v>
      </c>
      <c r="O336" s="356"/>
      <c r="P336" s="75" t="s">
        <v>15</v>
      </c>
      <c r="Q336" s="117" t="s">
        <v>211</v>
      </c>
      <c r="R336" s="407"/>
      <c r="S336" s="40" t="s">
        <v>431</v>
      </c>
      <c r="T336" s="254" t="s">
        <v>1215</v>
      </c>
    </row>
    <row r="337" spans="1:20" ht="15.75" customHeight="1" x14ac:dyDescent="0.3">
      <c r="A337" s="104"/>
      <c r="B337" s="104"/>
      <c r="C337" s="130">
        <f t="shared" ca="1" si="15"/>
        <v>308</v>
      </c>
      <c r="D337" s="181"/>
      <c r="E337" s="450" t="s">
        <v>200</v>
      </c>
      <c r="F337" s="158"/>
      <c r="G337" s="152"/>
      <c r="H337" s="152" t="s">
        <v>1253</v>
      </c>
      <c r="I337" s="164" t="s">
        <v>1132</v>
      </c>
      <c r="J337" s="75" t="s">
        <v>15</v>
      </c>
      <c r="K337" s="407">
        <v>46062</v>
      </c>
      <c r="L337" s="40" t="s">
        <v>4</v>
      </c>
      <c r="M337" s="40" t="s">
        <v>208</v>
      </c>
      <c r="N337" s="40"/>
      <c r="O337" s="349" t="s">
        <v>1254</v>
      </c>
      <c r="P337" s="75" t="s">
        <v>15</v>
      </c>
      <c r="Q337" s="117" t="s">
        <v>211</v>
      </c>
      <c r="R337" s="407"/>
      <c r="S337" s="40" t="s">
        <v>431</v>
      </c>
      <c r="T337" s="254" t="s">
        <v>1218</v>
      </c>
    </row>
    <row r="338" spans="1:20" ht="15.75" customHeight="1" x14ac:dyDescent="0.3">
      <c r="A338" s="104"/>
      <c r="B338" s="104"/>
      <c r="C338" s="130">
        <f t="shared" ca="1" si="15"/>
        <v>309</v>
      </c>
      <c r="D338" s="181"/>
      <c r="E338" s="450"/>
      <c r="F338" s="158"/>
      <c r="G338" s="163"/>
      <c r="H338" s="152" t="s">
        <v>1219</v>
      </c>
      <c r="I338" s="164" t="s">
        <v>1255</v>
      </c>
      <c r="J338" s="75" t="s">
        <v>15</v>
      </c>
      <c r="K338" s="407">
        <v>46062</v>
      </c>
      <c r="L338" s="40" t="s">
        <v>4</v>
      </c>
      <c r="M338" s="40" t="s">
        <v>208</v>
      </c>
      <c r="N338" s="40"/>
      <c r="O338" s="349" t="s">
        <v>1256</v>
      </c>
      <c r="P338" s="75" t="s">
        <v>15</v>
      </c>
      <c r="Q338" s="117"/>
      <c r="R338" s="407"/>
      <c r="S338" s="40" t="s">
        <v>431</v>
      </c>
      <c r="T338" s="83"/>
    </row>
    <row r="339" spans="1:20" ht="15.75" customHeight="1" x14ac:dyDescent="0.3">
      <c r="A339" s="104"/>
      <c r="B339" s="104"/>
      <c r="C339" s="130">
        <f t="shared" ca="1" si="15"/>
        <v>310</v>
      </c>
      <c r="D339" s="181" t="s">
        <v>342</v>
      </c>
      <c r="E339" s="306" t="s">
        <v>200</v>
      </c>
      <c r="F339" s="152" t="s">
        <v>226</v>
      </c>
      <c r="G339" s="163"/>
      <c r="H339" s="152" t="s">
        <v>219</v>
      </c>
      <c r="I339" s="156" t="s">
        <v>1257</v>
      </c>
      <c r="J339" s="75" t="s">
        <v>15</v>
      </c>
      <c r="K339" s="407">
        <v>46063</v>
      </c>
      <c r="L339" s="40" t="s">
        <v>4</v>
      </c>
      <c r="M339" s="40"/>
      <c r="N339" s="40" t="s">
        <v>208</v>
      </c>
      <c r="O339" s="356"/>
      <c r="P339" s="75" t="s">
        <v>15</v>
      </c>
      <c r="Q339" s="117" t="s">
        <v>211</v>
      </c>
      <c r="R339" s="407"/>
      <c r="S339" s="40" t="s">
        <v>431</v>
      </c>
      <c r="T339" s="254" t="s">
        <v>1215</v>
      </c>
    </row>
    <row r="340" spans="1:20" ht="15.75" customHeight="1" x14ac:dyDescent="0.3">
      <c r="A340" s="104"/>
      <c r="B340" s="104"/>
      <c r="C340" s="130">
        <f t="shared" ca="1" si="15"/>
        <v>311</v>
      </c>
      <c r="D340" s="181"/>
      <c r="E340" s="450" t="s">
        <v>200</v>
      </c>
      <c r="F340" s="158"/>
      <c r="G340" s="152"/>
      <c r="H340" s="152" t="s">
        <v>1258</v>
      </c>
      <c r="I340" s="164" t="s">
        <v>1132</v>
      </c>
      <c r="J340" s="75" t="s">
        <v>15</v>
      </c>
      <c r="K340" s="407">
        <v>46062</v>
      </c>
      <c r="L340" s="40" t="s">
        <v>4</v>
      </c>
      <c r="M340" s="40" t="s">
        <v>208</v>
      </c>
      <c r="N340" s="40"/>
      <c r="O340" s="349" t="s">
        <v>1259</v>
      </c>
      <c r="P340" s="75" t="s">
        <v>15</v>
      </c>
      <c r="Q340" s="117" t="s">
        <v>211</v>
      </c>
      <c r="R340" s="407"/>
      <c r="S340" s="40" t="s">
        <v>431</v>
      </c>
      <c r="T340" s="254" t="s">
        <v>1218</v>
      </c>
    </row>
    <row r="341" spans="1:20" ht="15.75" customHeight="1" x14ac:dyDescent="0.3">
      <c r="A341" s="104"/>
      <c r="B341" s="104"/>
      <c r="C341" s="130">
        <f t="shared" ca="1" si="15"/>
        <v>312</v>
      </c>
      <c r="D341" s="181"/>
      <c r="E341" s="450"/>
      <c r="F341" s="158"/>
      <c r="G341" s="163"/>
      <c r="H341" s="152" t="s">
        <v>1219</v>
      </c>
      <c r="I341" s="164" t="s">
        <v>1260</v>
      </c>
      <c r="J341" s="75" t="s">
        <v>15</v>
      </c>
      <c r="K341" s="407">
        <v>46062</v>
      </c>
      <c r="L341" s="40" t="s">
        <v>4</v>
      </c>
      <c r="M341" s="40" t="s">
        <v>208</v>
      </c>
      <c r="N341" s="40"/>
      <c r="O341" s="349" t="s">
        <v>1261</v>
      </c>
      <c r="P341" s="75" t="s">
        <v>15</v>
      </c>
      <c r="Q341" s="117"/>
      <c r="R341" s="407"/>
      <c r="S341" s="40" t="s">
        <v>431</v>
      </c>
      <c r="T341" s="254"/>
    </row>
    <row r="342" spans="1:20" ht="15.75" customHeight="1" x14ac:dyDescent="0.3">
      <c r="A342" s="104"/>
      <c r="B342" s="104"/>
      <c r="C342" s="130">
        <f t="shared" ca="1" si="15"/>
        <v>313</v>
      </c>
      <c r="D342" s="181" t="s">
        <v>343</v>
      </c>
      <c r="E342" s="306" t="s">
        <v>200</v>
      </c>
      <c r="F342" s="152" t="s">
        <v>226</v>
      </c>
      <c r="G342" s="163"/>
      <c r="H342" s="152" t="s">
        <v>219</v>
      </c>
      <c r="I342" s="156" t="s">
        <v>1262</v>
      </c>
      <c r="J342" s="75" t="s">
        <v>15</v>
      </c>
      <c r="K342" s="407">
        <v>46063</v>
      </c>
      <c r="L342" s="40" t="s">
        <v>4</v>
      </c>
      <c r="M342" s="40"/>
      <c r="N342" s="40" t="s">
        <v>208</v>
      </c>
      <c r="O342" s="356"/>
      <c r="P342" s="75" t="s">
        <v>15</v>
      </c>
      <c r="Q342" s="117" t="s">
        <v>211</v>
      </c>
      <c r="R342" s="407"/>
      <c r="S342" s="40" t="s">
        <v>431</v>
      </c>
      <c r="T342" s="254" t="s">
        <v>1215</v>
      </c>
    </row>
    <row r="343" spans="1:20" ht="15.75" customHeight="1" x14ac:dyDescent="0.3">
      <c r="A343" s="104"/>
      <c r="B343" s="104"/>
      <c r="C343" s="130">
        <f t="shared" ca="1" si="15"/>
        <v>314</v>
      </c>
      <c r="D343" s="181"/>
      <c r="E343" s="450" t="s">
        <v>200</v>
      </c>
      <c r="F343" s="158"/>
      <c r="G343" s="152"/>
      <c r="H343" s="152" t="s">
        <v>1263</v>
      </c>
      <c r="I343" s="164" t="s">
        <v>1132</v>
      </c>
      <c r="J343" s="75" t="s">
        <v>15</v>
      </c>
      <c r="K343" s="407">
        <v>46062</v>
      </c>
      <c r="L343" s="40" t="s">
        <v>4</v>
      </c>
      <c r="M343" s="40" t="s">
        <v>208</v>
      </c>
      <c r="N343" s="40"/>
      <c r="O343" s="349" t="s">
        <v>1264</v>
      </c>
      <c r="P343" s="75" t="s">
        <v>15</v>
      </c>
      <c r="Q343" s="117" t="s">
        <v>211</v>
      </c>
      <c r="R343" s="407"/>
      <c r="S343" s="40" t="s">
        <v>431</v>
      </c>
      <c r="T343" s="254" t="s">
        <v>1218</v>
      </c>
    </row>
    <row r="344" spans="1:20" ht="15.75" customHeight="1" x14ac:dyDescent="0.3">
      <c r="A344" s="104"/>
      <c r="B344" s="104"/>
      <c r="C344" s="130">
        <f t="shared" ca="1" si="15"/>
        <v>315</v>
      </c>
      <c r="D344" s="181"/>
      <c r="E344" s="450"/>
      <c r="F344" s="158"/>
      <c r="G344" s="163"/>
      <c r="H344" s="152" t="s">
        <v>1219</v>
      </c>
      <c r="I344" s="164" t="s">
        <v>1265</v>
      </c>
      <c r="J344" s="75" t="s">
        <v>15</v>
      </c>
      <c r="K344" s="407">
        <v>46062</v>
      </c>
      <c r="L344" s="40" t="s">
        <v>4</v>
      </c>
      <c r="M344" s="40" t="s">
        <v>208</v>
      </c>
      <c r="N344" s="40"/>
      <c r="O344" s="349" t="s">
        <v>1266</v>
      </c>
      <c r="P344" s="75" t="s">
        <v>15</v>
      </c>
      <c r="Q344" s="117"/>
      <c r="R344" s="407"/>
      <c r="S344" s="40" t="s">
        <v>431</v>
      </c>
      <c r="T344" s="83"/>
    </row>
    <row r="345" spans="1:20" ht="15.75" customHeight="1" x14ac:dyDescent="0.3">
      <c r="A345" s="104"/>
      <c r="B345" s="104"/>
      <c r="C345" s="130">
        <f t="shared" ca="1" si="15"/>
        <v>316</v>
      </c>
      <c r="D345" s="181" t="s">
        <v>344</v>
      </c>
      <c r="E345" s="306" t="s">
        <v>200</v>
      </c>
      <c r="F345" s="152" t="s">
        <v>226</v>
      </c>
      <c r="G345" s="163"/>
      <c r="H345" s="152" t="s">
        <v>219</v>
      </c>
      <c r="I345" s="156" t="s">
        <v>1267</v>
      </c>
      <c r="J345" s="75" t="s">
        <v>15</v>
      </c>
      <c r="K345" s="407">
        <v>46063</v>
      </c>
      <c r="L345" s="40" t="s">
        <v>4</v>
      </c>
      <c r="M345" s="40"/>
      <c r="N345" s="40" t="s">
        <v>208</v>
      </c>
      <c r="O345" s="356"/>
      <c r="P345" s="75" t="s">
        <v>15</v>
      </c>
      <c r="Q345" s="117" t="s">
        <v>211</v>
      </c>
      <c r="R345" s="407"/>
      <c r="S345" s="40" t="s">
        <v>431</v>
      </c>
      <c r="T345" s="254" t="s">
        <v>1215</v>
      </c>
    </row>
    <row r="346" spans="1:20" ht="15.75" customHeight="1" x14ac:dyDescent="0.3">
      <c r="A346" s="104"/>
      <c r="B346" s="104"/>
      <c r="C346" s="130">
        <f t="shared" ca="1" si="15"/>
        <v>317</v>
      </c>
      <c r="D346" s="181"/>
      <c r="E346" s="450" t="s">
        <v>200</v>
      </c>
      <c r="F346" s="158"/>
      <c r="G346" s="152"/>
      <c r="H346" s="152" t="s">
        <v>1268</v>
      </c>
      <c r="I346" s="164" t="s">
        <v>1132</v>
      </c>
      <c r="J346" s="75" t="s">
        <v>15</v>
      </c>
      <c r="K346" s="407">
        <v>46062</v>
      </c>
      <c r="L346" s="40" t="s">
        <v>4</v>
      </c>
      <c r="M346" s="40" t="s">
        <v>208</v>
      </c>
      <c r="N346" s="40"/>
      <c r="O346" s="349" t="s">
        <v>1269</v>
      </c>
      <c r="P346" s="75" t="s">
        <v>15</v>
      </c>
      <c r="Q346" s="117" t="s">
        <v>211</v>
      </c>
      <c r="R346" s="407"/>
      <c r="S346" s="40" t="s">
        <v>431</v>
      </c>
      <c r="T346" s="254" t="s">
        <v>1218</v>
      </c>
    </row>
    <row r="347" spans="1:20" ht="15.75" customHeight="1" x14ac:dyDescent="0.3">
      <c r="A347" s="104"/>
      <c r="B347" s="104"/>
      <c r="C347" s="130">
        <f t="shared" ca="1" si="15"/>
        <v>318</v>
      </c>
      <c r="D347" s="181"/>
      <c r="E347" s="450"/>
      <c r="F347" s="158"/>
      <c r="G347" s="163"/>
      <c r="H347" s="152" t="s">
        <v>1219</v>
      </c>
      <c r="I347" s="164" t="s">
        <v>1270</v>
      </c>
      <c r="J347" s="75" t="s">
        <v>15</v>
      </c>
      <c r="K347" s="407">
        <v>46062</v>
      </c>
      <c r="L347" s="40" t="s">
        <v>4</v>
      </c>
      <c r="M347" s="40" t="s">
        <v>208</v>
      </c>
      <c r="N347" s="40"/>
      <c r="O347" s="349" t="s">
        <v>1271</v>
      </c>
      <c r="P347" s="75" t="s">
        <v>15</v>
      </c>
      <c r="Q347" s="117"/>
      <c r="R347" s="407"/>
      <c r="S347" s="40" t="s">
        <v>431</v>
      </c>
      <c r="T347" s="83"/>
    </row>
    <row r="348" spans="1:20" ht="15.75" customHeight="1" x14ac:dyDescent="0.3">
      <c r="A348" s="104"/>
      <c r="B348" s="104"/>
      <c r="C348" s="130">
        <f t="shared" ca="1" si="15"/>
        <v>319</v>
      </c>
      <c r="D348" s="181" t="s">
        <v>345</v>
      </c>
      <c r="E348" s="306" t="s">
        <v>200</v>
      </c>
      <c r="F348" s="152" t="s">
        <v>226</v>
      </c>
      <c r="G348" s="163"/>
      <c r="H348" s="152" t="s">
        <v>219</v>
      </c>
      <c r="I348" s="156" t="s">
        <v>1272</v>
      </c>
      <c r="J348" s="75" t="s">
        <v>15</v>
      </c>
      <c r="K348" s="407">
        <v>46063</v>
      </c>
      <c r="L348" s="40" t="s">
        <v>4</v>
      </c>
      <c r="M348" s="40"/>
      <c r="N348" s="40" t="s">
        <v>208</v>
      </c>
      <c r="O348" s="356"/>
      <c r="P348" s="75" t="s">
        <v>15</v>
      </c>
      <c r="Q348" s="117" t="s">
        <v>211</v>
      </c>
      <c r="R348" s="407"/>
      <c r="S348" s="40" t="s">
        <v>431</v>
      </c>
      <c r="T348" s="254" t="s">
        <v>1215</v>
      </c>
    </row>
    <row r="349" spans="1:20" ht="15.75" customHeight="1" x14ac:dyDescent="0.3">
      <c r="A349" s="104"/>
      <c r="B349" s="104"/>
      <c r="C349" s="130">
        <f t="shared" ca="1" si="15"/>
        <v>320</v>
      </c>
      <c r="D349" s="181"/>
      <c r="E349" s="450" t="s">
        <v>200</v>
      </c>
      <c r="F349" s="158"/>
      <c r="G349" s="152"/>
      <c r="H349" s="152" t="s">
        <v>1273</v>
      </c>
      <c r="I349" s="164" t="s">
        <v>1132</v>
      </c>
      <c r="J349" s="75" t="s">
        <v>15</v>
      </c>
      <c r="K349" s="407">
        <v>46062</v>
      </c>
      <c r="L349" s="40" t="s">
        <v>4</v>
      </c>
      <c r="M349" s="40" t="s">
        <v>208</v>
      </c>
      <c r="N349" s="40"/>
      <c r="O349" s="349" t="s">
        <v>1274</v>
      </c>
      <c r="P349" s="75" t="s">
        <v>15</v>
      </c>
      <c r="Q349" s="117" t="s">
        <v>211</v>
      </c>
      <c r="R349" s="407"/>
      <c r="S349" s="40" t="s">
        <v>431</v>
      </c>
      <c r="T349" s="254" t="s">
        <v>1218</v>
      </c>
    </row>
    <row r="350" spans="1:20" ht="15.75" customHeight="1" x14ac:dyDescent="0.3">
      <c r="A350" s="104"/>
      <c r="B350" s="104"/>
      <c r="C350" s="130">
        <f t="shared" ca="1" si="15"/>
        <v>321</v>
      </c>
      <c r="D350" s="181"/>
      <c r="E350" s="450"/>
      <c r="F350" s="158"/>
      <c r="G350" s="163"/>
      <c r="H350" s="152" t="s">
        <v>1219</v>
      </c>
      <c r="I350" s="164" t="s">
        <v>1275</v>
      </c>
      <c r="J350" s="75" t="s">
        <v>15</v>
      </c>
      <c r="K350" s="407">
        <v>46062</v>
      </c>
      <c r="L350" s="40" t="s">
        <v>4</v>
      </c>
      <c r="M350" s="40" t="s">
        <v>208</v>
      </c>
      <c r="N350" s="40"/>
      <c r="O350" s="349" t="s">
        <v>1276</v>
      </c>
      <c r="P350" s="75" t="s">
        <v>15</v>
      </c>
      <c r="Q350" s="117"/>
      <c r="R350" s="407"/>
      <c r="S350" s="40" t="s">
        <v>431</v>
      </c>
      <c r="T350" s="83"/>
    </row>
    <row r="351" spans="1:20" ht="15.75" customHeight="1" x14ac:dyDescent="0.3">
      <c r="A351" s="104"/>
      <c r="B351" s="104"/>
      <c r="C351" s="130">
        <f t="shared" ca="1" si="15"/>
        <v>322</v>
      </c>
      <c r="D351" s="181" t="s">
        <v>346</v>
      </c>
      <c r="E351" s="306" t="s">
        <v>200</v>
      </c>
      <c r="F351" s="152" t="s">
        <v>226</v>
      </c>
      <c r="G351" s="163"/>
      <c r="H351" s="152" t="s">
        <v>219</v>
      </c>
      <c r="I351" s="156" t="s">
        <v>1277</v>
      </c>
      <c r="J351" s="75" t="s">
        <v>15</v>
      </c>
      <c r="K351" s="407">
        <v>46063</v>
      </c>
      <c r="L351" s="40" t="s">
        <v>4</v>
      </c>
      <c r="M351" s="40"/>
      <c r="N351" s="40" t="s">
        <v>208</v>
      </c>
      <c r="O351" s="356"/>
      <c r="P351" s="75" t="s">
        <v>15</v>
      </c>
      <c r="Q351" s="117" t="s">
        <v>211</v>
      </c>
      <c r="R351" s="407"/>
      <c r="S351" s="40" t="s">
        <v>431</v>
      </c>
      <c r="T351" s="254" t="s">
        <v>1215</v>
      </c>
    </row>
    <row r="352" spans="1:20" ht="15.75" customHeight="1" x14ac:dyDescent="0.3">
      <c r="A352" s="104"/>
      <c r="B352" s="104"/>
      <c r="C352" s="130">
        <f t="shared" ca="1" si="15"/>
        <v>323</v>
      </c>
      <c r="D352" s="181"/>
      <c r="E352" s="450" t="s">
        <v>200</v>
      </c>
      <c r="F352" s="158"/>
      <c r="G352" s="152"/>
      <c r="H352" s="152" t="s">
        <v>1278</v>
      </c>
      <c r="I352" s="164" t="s">
        <v>1132</v>
      </c>
      <c r="J352" s="75" t="s">
        <v>15</v>
      </c>
      <c r="K352" s="407">
        <v>46062</v>
      </c>
      <c r="L352" s="40" t="s">
        <v>4</v>
      </c>
      <c r="M352" s="40" t="s">
        <v>208</v>
      </c>
      <c r="N352" s="40"/>
      <c r="O352" s="336" t="s">
        <v>1279</v>
      </c>
      <c r="P352" s="75" t="s">
        <v>15</v>
      </c>
      <c r="Q352" s="117" t="s">
        <v>211</v>
      </c>
      <c r="R352" s="407"/>
      <c r="S352" s="40" t="s">
        <v>431</v>
      </c>
      <c r="T352" s="254" t="s">
        <v>1218</v>
      </c>
    </row>
    <row r="353" spans="1:20" ht="15.75" customHeight="1" x14ac:dyDescent="0.3">
      <c r="A353" s="104"/>
      <c r="B353" s="104"/>
      <c r="C353" s="130">
        <f t="shared" ca="1" si="15"/>
        <v>324</v>
      </c>
      <c r="D353" s="181" t="s">
        <v>347</v>
      </c>
      <c r="E353" s="306" t="s">
        <v>200</v>
      </c>
      <c r="F353" s="152" t="s">
        <v>226</v>
      </c>
      <c r="G353" s="163"/>
      <c r="H353" s="152" t="s">
        <v>219</v>
      </c>
      <c r="I353" s="156" t="s">
        <v>1280</v>
      </c>
      <c r="J353" s="75" t="s">
        <v>15</v>
      </c>
      <c r="K353" s="407">
        <v>46063</v>
      </c>
      <c r="L353" s="40" t="s">
        <v>4</v>
      </c>
      <c r="M353" s="40"/>
      <c r="N353" s="40" t="s">
        <v>208</v>
      </c>
      <c r="O353" s="356"/>
      <c r="P353" s="75" t="s">
        <v>15</v>
      </c>
      <c r="Q353" s="117" t="s">
        <v>211</v>
      </c>
      <c r="R353" s="407"/>
      <c r="S353" s="40" t="s">
        <v>431</v>
      </c>
      <c r="T353" s="254" t="s">
        <v>1215</v>
      </c>
    </row>
    <row r="354" spans="1:20" ht="15.75" customHeight="1" x14ac:dyDescent="0.3">
      <c r="A354" s="104"/>
      <c r="B354" s="104"/>
      <c r="C354" s="130">
        <f t="shared" ca="1" si="15"/>
        <v>325</v>
      </c>
      <c r="D354" s="181"/>
      <c r="E354" s="450" t="s">
        <v>200</v>
      </c>
      <c r="F354" s="158"/>
      <c r="G354" s="152"/>
      <c r="H354" s="152" t="s">
        <v>1281</v>
      </c>
      <c r="I354" s="164" t="s">
        <v>1132</v>
      </c>
      <c r="J354" s="75" t="s">
        <v>15</v>
      </c>
      <c r="K354" s="407">
        <v>46062</v>
      </c>
      <c r="L354" s="40" t="s">
        <v>4</v>
      </c>
      <c r="M354" s="40" t="s">
        <v>208</v>
      </c>
      <c r="N354" s="40"/>
      <c r="O354" s="349" t="s">
        <v>1282</v>
      </c>
      <c r="P354" s="75" t="s">
        <v>15</v>
      </c>
      <c r="Q354" s="117" t="s">
        <v>211</v>
      </c>
      <c r="R354" s="407"/>
      <c r="S354" s="40" t="s">
        <v>431</v>
      </c>
      <c r="T354" s="254" t="s">
        <v>1218</v>
      </c>
    </row>
    <row r="355" spans="1:20" ht="15.75" customHeight="1" x14ac:dyDescent="0.3">
      <c r="A355" s="104"/>
      <c r="B355" s="104"/>
      <c r="C355" s="130">
        <f t="shared" ca="1" si="15"/>
        <v>326</v>
      </c>
      <c r="D355" s="181"/>
      <c r="E355" s="450"/>
      <c r="F355" s="158"/>
      <c r="G355" s="163"/>
      <c r="H355" s="152" t="s">
        <v>1219</v>
      </c>
      <c r="I355" s="164" t="s">
        <v>1283</v>
      </c>
      <c r="J355" s="75" t="s">
        <v>15</v>
      </c>
      <c r="K355" s="407">
        <v>46062</v>
      </c>
      <c r="L355" s="40" t="s">
        <v>4</v>
      </c>
      <c r="M355" s="40" t="s">
        <v>208</v>
      </c>
      <c r="N355" s="40"/>
      <c r="O355" s="349" t="s">
        <v>1284</v>
      </c>
      <c r="P355" s="75" t="s">
        <v>15</v>
      </c>
      <c r="Q355" s="117"/>
      <c r="R355" s="407"/>
      <c r="S355" s="40" t="s">
        <v>431</v>
      </c>
      <c r="T355" s="83"/>
    </row>
    <row r="356" spans="1:20" ht="15.75" customHeight="1" x14ac:dyDescent="0.3">
      <c r="A356" s="104"/>
      <c r="B356" s="104"/>
      <c r="C356" s="130">
        <f t="shared" ca="1" si="15"/>
        <v>327</v>
      </c>
      <c r="D356" s="181" t="s">
        <v>348</v>
      </c>
      <c r="E356" s="306" t="s">
        <v>200</v>
      </c>
      <c r="F356" s="152" t="s">
        <v>226</v>
      </c>
      <c r="G356" s="163"/>
      <c r="H356" s="152" t="s">
        <v>219</v>
      </c>
      <c r="I356" s="156" t="s">
        <v>1285</v>
      </c>
      <c r="J356" s="75" t="s">
        <v>15</v>
      </c>
      <c r="K356" s="407">
        <v>46063</v>
      </c>
      <c r="L356" s="40" t="s">
        <v>4</v>
      </c>
      <c r="M356" s="40"/>
      <c r="N356" s="40" t="s">
        <v>208</v>
      </c>
      <c r="O356" s="356"/>
      <c r="P356" s="75" t="s">
        <v>15</v>
      </c>
      <c r="Q356" s="117" t="s">
        <v>211</v>
      </c>
      <c r="R356" s="407"/>
      <c r="S356" s="40" t="s">
        <v>431</v>
      </c>
      <c r="T356" s="254" t="s">
        <v>1215</v>
      </c>
    </row>
    <row r="357" spans="1:20" ht="15.75" customHeight="1" x14ac:dyDescent="0.3">
      <c r="A357" s="104"/>
      <c r="B357" s="104"/>
      <c r="C357" s="130">
        <f t="shared" ca="1" si="15"/>
        <v>328</v>
      </c>
      <c r="D357" s="181"/>
      <c r="E357" s="450" t="s">
        <v>200</v>
      </c>
      <c r="F357" s="158"/>
      <c r="G357" s="152"/>
      <c r="H357" s="152" t="s">
        <v>1286</v>
      </c>
      <c r="I357" s="164" t="s">
        <v>1132</v>
      </c>
      <c r="J357" s="75" t="s">
        <v>15</v>
      </c>
      <c r="K357" s="407">
        <v>46062</v>
      </c>
      <c r="L357" s="40" t="s">
        <v>4</v>
      </c>
      <c r="M357" s="40" t="s">
        <v>208</v>
      </c>
      <c r="N357" s="40"/>
      <c r="O357" s="349" t="s">
        <v>1287</v>
      </c>
      <c r="P357" s="75" t="s">
        <v>15</v>
      </c>
      <c r="Q357" s="117" t="s">
        <v>211</v>
      </c>
      <c r="R357" s="407"/>
      <c r="S357" s="40" t="s">
        <v>431</v>
      </c>
      <c r="T357" s="254" t="s">
        <v>1218</v>
      </c>
    </row>
    <row r="358" spans="1:20" ht="15.75" customHeight="1" x14ac:dyDescent="0.3">
      <c r="A358" s="104"/>
      <c r="B358" s="104"/>
      <c r="C358" s="130">
        <f t="shared" ca="1" si="15"/>
        <v>329</v>
      </c>
      <c r="D358" s="181"/>
      <c r="E358" s="450"/>
      <c r="F358" s="158"/>
      <c r="G358" s="163"/>
      <c r="H358" s="152" t="s">
        <v>1219</v>
      </c>
      <c r="I358" s="164" t="s">
        <v>1288</v>
      </c>
      <c r="J358" s="75" t="s">
        <v>15</v>
      </c>
      <c r="K358" s="407">
        <v>46062</v>
      </c>
      <c r="L358" s="40" t="s">
        <v>4</v>
      </c>
      <c r="M358" s="40" t="s">
        <v>208</v>
      </c>
      <c r="N358" s="40"/>
      <c r="O358" s="349" t="s">
        <v>1289</v>
      </c>
      <c r="P358" s="75" t="s">
        <v>15</v>
      </c>
      <c r="Q358" s="117"/>
      <c r="R358" s="407"/>
      <c r="S358" s="40" t="s">
        <v>431</v>
      </c>
      <c r="T358" s="83"/>
    </row>
    <row r="359" spans="1:20" ht="15.75" customHeight="1" x14ac:dyDescent="0.3">
      <c r="A359" s="104"/>
      <c r="B359" s="104"/>
      <c r="C359" s="130">
        <f t="shared" ca="1" si="15"/>
        <v>330</v>
      </c>
      <c r="D359" s="181" t="s">
        <v>349</v>
      </c>
      <c r="E359" s="306" t="s">
        <v>200</v>
      </c>
      <c r="F359" s="152" t="s">
        <v>226</v>
      </c>
      <c r="G359" s="163"/>
      <c r="H359" s="152" t="s">
        <v>219</v>
      </c>
      <c r="I359" s="156" t="s">
        <v>1290</v>
      </c>
      <c r="J359" s="75" t="s">
        <v>15</v>
      </c>
      <c r="K359" s="407">
        <v>46063</v>
      </c>
      <c r="L359" s="40" t="s">
        <v>4</v>
      </c>
      <c r="M359" s="40"/>
      <c r="N359" s="40" t="s">
        <v>208</v>
      </c>
      <c r="O359" s="356"/>
      <c r="P359" s="75" t="s">
        <v>15</v>
      </c>
      <c r="Q359" s="117" t="s">
        <v>211</v>
      </c>
      <c r="R359" s="407"/>
      <c r="S359" s="40" t="s">
        <v>431</v>
      </c>
      <c r="T359" s="254" t="s">
        <v>1215</v>
      </c>
    </row>
    <row r="360" spans="1:20" ht="15.75" customHeight="1" x14ac:dyDescent="0.3">
      <c r="A360" s="104"/>
      <c r="B360" s="104"/>
      <c r="C360" s="130">
        <f t="shared" ca="1" si="15"/>
        <v>331</v>
      </c>
      <c r="D360" s="181"/>
      <c r="E360" s="450" t="s">
        <v>200</v>
      </c>
      <c r="F360" s="158"/>
      <c r="G360" s="152"/>
      <c r="H360" s="152" t="s">
        <v>1291</v>
      </c>
      <c r="I360" s="164" t="s">
        <v>1132</v>
      </c>
      <c r="J360" s="75" t="s">
        <v>15</v>
      </c>
      <c r="K360" s="407">
        <v>46062</v>
      </c>
      <c r="L360" s="40" t="s">
        <v>4</v>
      </c>
      <c r="M360" s="40" t="s">
        <v>208</v>
      </c>
      <c r="N360" s="40"/>
      <c r="O360" s="349" t="s">
        <v>1292</v>
      </c>
      <c r="P360" s="75" t="s">
        <v>15</v>
      </c>
      <c r="Q360" s="117" t="s">
        <v>211</v>
      </c>
      <c r="R360" s="407"/>
      <c r="S360" s="40" t="s">
        <v>431</v>
      </c>
      <c r="T360" s="254" t="s">
        <v>1218</v>
      </c>
    </row>
    <row r="361" spans="1:20" ht="15.75" customHeight="1" x14ac:dyDescent="0.3">
      <c r="A361" s="104"/>
      <c r="B361" s="104"/>
      <c r="C361" s="130">
        <f t="shared" ca="1" si="15"/>
        <v>332</v>
      </c>
      <c r="D361" s="181"/>
      <c r="E361" s="450"/>
      <c r="F361" s="158"/>
      <c r="G361" s="163"/>
      <c r="H361" s="152" t="s">
        <v>1219</v>
      </c>
      <c r="I361" s="164" t="s">
        <v>1293</v>
      </c>
      <c r="J361" s="75" t="s">
        <v>15</v>
      </c>
      <c r="K361" s="407">
        <v>46062</v>
      </c>
      <c r="L361" s="40" t="s">
        <v>4</v>
      </c>
      <c r="M361" s="40" t="s">
        <v>208</v>
      </c>
      <c r="N361" s="40"/>
      <c r="O361" s="349" t="s">
        <v>1294</v>
      </c>
      <c r="P361" s="75" t="s">
        <v>15</v>
      </c>
      <c r="Q361" s="117"/>
      <c r="R361" s="407"/>
      <c r="S361" s="40" t="s">
        <v>431</v>
      </c>
      <c r="T361" s="83"/>
    </row>
    <row r="362" spans="1:20" ht="15.75" customHeight="1" x14ac:dyDescent="0.3">
      <c r="A362" s="104"/>
      <c r="B362" s="104"/>
      <c r="C362" s="130">
        <f t="shared" ca="1" si="15"/>
        <v>333</v>
      </c>
      <c r="D362" s="124" t="s">
        <v>350</v>
      </c>
      <c r="E362" s="306" t="s">
        <v>200</v>
      </c>
      <c r="F362" s="152" t="s">
        <v>226</v>
      </c>
      <c r="G362" s="163"/>
      <c r="H362" s="152" t="s">
        <v>219</v>
      </c>
      <c r="I362" s="156" t="s">
        <v>1295</v>
      </c>
      <c r="J362" s="75" t="s">
        <v>15</v>
      </c>
      <c r="K362" s="407">
        <v>46063</v>
      </c>
      <c r="L362" s="40" t="s">
        <v>4</v>
      </c>
      <c r="M362" s="40"/>
      <c r="N362" s="40" t="s">
        <v>208</v>
      </c>
      <c r="O362" s="356"/>
      <c r="P362" s="75" t="s">
        <v>15</v>
      </c>
      <c r="Q362" s="117" t="s">
        <v>211</v>
      </c>
      <c r="R362" s="407"/>
      <c r="S362" s="40" t="s">
        <v>431</v>
      </c>
      <c r="T362" s="254" t="s">
        <v>1215</v>
      </c>
    </row>
    <row r="363" spans="1:20" ht="15.75" customHeight="1" x14ac:dyDescent="0.3">
      <c r="A363" s="104"/>
      <c r="B363" s="104"/>
      <c r="C363" s="130">
        <f t="shared" ca="1" si="15"/>
        <v>334</v>
      </c>
      <c r="D363" s="484"/>
      <c r="E363" s="450" t="s">
        <v>200</v>
      </c>
      <c r="F363" s="158"/>
      <c r="G363" s="152"/>
      <c r="H363" s="152" t="s">
        <v>1296</v>
      </c>
      <c r="I363" s="164" t="s">
        <v>1132</v>
      </c>
      <c r="J363" s="75" t="s">
        <v>15</v>
      </c>
      <c r="K363" s="407">
        <v>46062</v>
      </c>
      <c r="L363" s="40" t="s">
        <v>4</v>
      </c>
      <c r="M363" s="40" t="s">
        <v>208</v>
      </c>
      <c r="N363" s="40"/>
      <c r="O363" s="349" t="s">
        <v>1297</v>
      </c>
      <c r="P363" s="75" t="s">
        <v>15</v>
      </c>
      <c r="Q363" s="117" t="s">
        <v>211</v>
      </c>
      <c r="R363" s="407"/>
      <c r="S363" s="40" t="s">
        <v>431</v>
      </c>
      <c r="T363" s="254" t="s">
        <v>1218</v>
      </c>
    </row>
    <row r="364" spans="1:20" ht="15.75" customHeight="1" x14ac:dyDescent="0.3">
      <c r="A364" s="104"/>
      <c r="B364" s="104"/>
      <c r="C364" s="130">
        <f t="shared" ca="1" si="15"/>
        <v>335</v>
      </c>
      <c r="D364" s="181"/>
      <c r="E364" s="450"/>
      <c r="F364" s="158"/>
      <c r="G364" s="163"/>
      <c r="H364" s="152" t="s">
        <v>1219</v>
      </c>
      <c r="I364" s="164" t="s">
        <v>1298</v>
      </c>
      <c r="J364" s="75" t="s">
        <v>15</v>
      </c>
      <c r="K364" s="407">
        <v>46062</v>
      </c>
      <c r="L364" s="40" t="s">
        <v>4</v>
      </c>
      <c r="M364" s="40" t="s">
        <v>208</v>
      </c>
      <c r="N364" s="40"/>
      <c r="O364" s="349" t="s">
        <v>1299</v>
      </c>
      <c r="P364" s="75" t="s">
        <v>15</v>
      </c>
      <c r="Q364" s="117"/>
      <c r="R364" s="407"/>
      <c r="S364" s="40" t="s">
        <v>431</v>
      </c>
      <c r="T364" s="83"/>
    </row>
    <row r="365" spans="1:20" ht="15.75" customHeight="1" x14ac:dyDescent="0.3">
      <c r="A365" s="104"/>
      <c r="B365" s="104"/>
      <c r="C365" s="130">
        <f t="shared" ca="1" si="15"/>
        <v>336</v>
      </c>
      <c r="D365" s="181" t="s">
        <v>351</v>
      </c>
      <c r="E365" s="306" t="s">
        <v>200</v>
      </c>
      <c r="F365" s="152" t="s">
        <v>226</v>
      </c>
      <c r="G365" s="163"/>
      <c r="H365" s="152" t="s">
        <v>219</v>
      </c>
      <c r="I365" s="156" t="s">
        <v>1300</v>
      </c>
      <c r="J365" s="75" t="s">
        <v>15</v>
      </c>
      <c r="K365" s="407">
        <v>46063</v>
      </c>
      <c r="L365" s="40" t="s">
        <v>4</v>
      </c>
      <c r="M365" s="40"/>
      <c r="N365" s="40" t="s">
        <v>208</v>
      </c>
      <c r="O365" s="356"/>
      <c r="P365" s="75" t="s">
        <v>15</v>
      </c>
      <c r="Q365" s="117" t="s">
        <v>211</v>
      </c>
      <c r="R365" s="407"/>
      <c r="S365" s="40" t="s">
        <v>431</v>
      </c>
      <c r="T365" s="254" t="s">
        <v>1215</v>
      </c>
    </row>
    <row r="366" spans="1:20" ht="15.75" customHeight="1" x14ac:dyDescent="0.3">
      <c r="A366" s="104"/>
      <c r="B366" s="104"/>
      <c r="C366" s="130">
        <f t="shared" ca="1" si="15"/>
        <v>337</v>
      </c>
      <c r="D366" s="181"/>
      <c r="E366" s="450" t="s">
        <v>200</v>
      </c>
      <c r="F366" s="158"/>
      <c r="G366" s="152"/>
      <c r="H366" s="152" t="s">
        <v>1301</v>
      </c>
      <c r="I366" s="164" t="s">
        <v>1132</v>
      </c>
      <c r="J366" s="75" t="s">
        <v>15</v>
      </c>
      <c r="K366" s="407">
        <v>46062</v>
      </c>
      <c r="L366" s="40" t="s">
        <v>4</v>
      </c>
      <c r="M366" s="40" t="s">
        <v>208</v>
      </c>
      <c r="N366" s="40"/>
      <c r="O366" s="349" t="s">
        <v>1302</v>
      </c>
      <c r="P366" s="75" t="s">
        <v>15</v>
      </c>
      <c r="Q366" s="117" t="s">
        <v>211</v>
      </c>
      <c r="R366" s="407"/>
      <c r="S366" s="40" t="s">
        <v>431</v>
      </c>
      <c r="T366" s="254" t="s">
        <v>1218</v>
      </c>
    </row>
    <row r="367" spans="1:20" ht="15.75" customHeight="1" x14ac:dyDescent="0.3">
      <c r="A367" s="104"/>
      <c r="B367" s="104"/>
      <c r="C367" s="130">
        <f t="shared" ca="1" si="15"/>
        <v>338</v>
      </c>
      <c r="D367" s="181"/>
      <c r="E367" s="450"/>
      <c r="F367" s="158"/>
      <c r="G367" s="163"/>
      <c r="H367" s="152" t="s">
        <v>1219</v>
      </c>
      <c r="I367" s="164" t="s">
        <v>1303</v>
      </c>
      <c r="J367" s="75" t="s">
        <v>15</v>
      </c>
      <c r="K367" s="407">
        <v>46062</v>
      </c>
      <c r="L367" s="40" t="s">
        <v>4</v>
      </c>
      <c r="M367" s="40" t="s">
        <v>208</v>
      </c>
      <c r="N367" s="40"/>
      <c r="O367" s="349" t="s">
        <v>1304</v>
      </c>
      <c r="P367" s="75" t="s">
        <v>15</v>
      </c>
      <c r="Q367" s="117"/>
      <c r="R367" s="407"/>
      <c r="S367" s="40" t="s">
        <v>431</v>
      </c>
      <c r="T367" s="83"/>
    </row>
    <row r="368" spans="1:20" ht="15.75" customHeight="1" x14ac:dyDescent="0.3">
      <c r="A368" s="104"/>
      <c r="B368" s="104"/>
      <c r="C368" s="130">
        <f t="shared" ca="1" si="15"/>
        <v>339</v>
      </c>
      <c r="D368" s="181" t="s">
        <v>352</v>
      </c>
      <c r="E368" s="306" t="s">
        <v>200</v>
      </c>
      <c r="F368" s="152" t="s">
        <v>226</v>
      </c>
      <c r="G368" s="163"/>
      <c r="H368" s="152" t="s">
        <v>219</v>
      </c>
      <c r="I368" s="156" t="s">
        <v>1305</v>
      </c>
      <c r="J368" s="75" t="s">
        <v>15</v>
      </c>
      <c r="K368" s="407">
        <v>46063</v>
      </c>
      <c r="L368" s="40" t="s">
        <v>4</v>
      </c>
      <c r="M368" s="40"/>
      <c r="N368" s="40" t="s">
        <v>208</v>
      </c>
      <c r="O368" s="356"/>
      <c r="P368" s="75" t="s">
        <v>15</v>
      </c>
      <c r="Q368" s="117" t="s">
        <v>211</v>
      </c>
      <c r="R368" s="407"/>
      <c r="S368" s="40" t="s">
        <v>431</v>
      </c>
      <c r="T368" s="254" t="s">
        <v>1215</v>
      </c>
    </row>
    <row r="369" spans="1:20" ht="15.75" customHeight="1" x14ac:dyDescent="0.3">
      <c r="A369" s="104"/>
      <c r="B369" s="104"/>
      <c r="C369" s="130">
        <f t="shared" ca="1" si="15"/>
        <v>340</v>
      </c>
      <c r="D369" s="181"/>
      <c r="E369" s="450" t="s">
        <v>200</v>
      </c>
      <c r="F369" s="158"/>
      <c r="G369" s="152"/>
      <c r="H369" s="152" t="s">
        <v>1306</v>
      </c>
      <c r="I369" s="164" t="s">
        <v>1132</v>
      </c>
      <c r="J369" s="75" t="s">
        <v>15</v>
      </c>
      <c r="K369" s="407">
        <v>46062</v>
      </c>
      <c r="L369" s="40" t="s">
        <v>4</v>
      </c>
      <c r="M369" s="40" t="s">
        <v>208</v>
      </c>
      <c r="N369" s="40"/>
      <c r="O369" s="349" t="s">
        <v>1307</v>
      </c>
      <c r="P369" s="75" t="s">
        <v>15</v>
      </c>
      <c r="Q369" s="117" t="s">
        <v>211</v>
      </c>
      <c r="R369" s="407"/>
      <c r="S369" s="40" t="s">
        <v>431</v>
      </c>
      <c r="T369" s="254" t="s">
        <v>1218</v>
      </c>
    </row>
    <row r="370" spans="1:20" ht="15.75" customHeight="1" x14ac:dyDescent="0.3">
      <c r="A370" s="104"/>
      <c r="B370" s="104"/>
      <c r="C370" s="130">
        <f t="shared" ca="1" si="15"/>
        <v>341</v>
      </c>
      <c r="D370" s="181"/>
      <c r="E370" s="450"/>
      <c r="F370" s="158"/>
      <c r="G370" s="163"/>
      <c r="H370" s="152" t="s">
        <v>1219</v>
      </c>
      <c r="I370" s="164" t="s">
        <v>1308</v>
      </c>
      <c r="J370" s="75" t="s">
        <v>15</v>
      </c>
      <c r="K370" s="407">
        <v>46062</v>
      </c>
      <c r="L370" s="40" t="s">
        <v>4</v>
      </c>
      <c r="M370" s="40" t="s">
        <v>208</v>
      </c>
      <c r="N370" s="40"/>
      <c r="O370" s="349" t="s">
        <v>1309</v>
      </c>
      <c r="P370" s="75" t="s">
        <v>15</v>
      </c>
      <c r="Q370" s="117"/>
      <c r="R370" s="407"/>
      <c r="S370" s="40" t="s">
        <v>431</v>
      </c>
      <c r="T370" s="83"/>
    </row>
    <row r="371" spans="1:20" ht="15.75" customHeight="1" x14ac:dyDescent="0.3">
      <c r="A371" s="104"/>
      <c r="B371" s="104"/>
      <c r="C371" s="130">
        <f t="shared" ca="1" si="15"/>
        <v>342</v>
      </c>
      <c r="D371" s="124" t="s">
        <v>353</v>
      </c>
      <c r="E371" s="306" t="s">
        <v>200</v>
      </c>
      <c r="F371" s="152" t="s">
        <v>226</v>
      </c>
      <c r="G371" s="163"/>
      <c r="H371" s="152" t="s">
        <v>219</v>
      </c>
      <c r="I371" s="156" t="s">
        <v>1310</v>
      </c>
      <c r="J371" s="75" t="s">
        <v>15</v>
      </c>
      <c r="K371" s="407">
        <v>46063</v>
      </c>
      <c r="L371" s="40" t="s">
        <v>4</v>
      </c>
      <c r="M371" s="40"/>
      <c r="N371" s="40" t="s">
        <v>208</v>
      </c>
      <c r="O371" s="356"/>
      <c r="P371" s="75" t="s">
        <v>15</v>
      </c>
      <c r="Q371" s="117" t="s">
        <v>211</v>
      </c>
      <c r="R371" s="407"/>
      <c r="S371" s="40" t="s">
        <v>431</v>
      </c>
      <c r="T371" s="254" t="s">
        <v>1215</v>
      </c>
    </row>
    <row r="372" spans="1:20" ht="15.75" customHeight="1" x14ac:dyDescent="0.3">
      <c r="A372" s="104"/>
      <c r="B372" s="104"/>
      <c r="C372" s="130">
        <f t="shared" ca="1" si="15"/>
        <v>343</v>
      </c>
      <c r="D372" s="484"/>
      <c r="E372" s="450" t="s">
        <v>200</v>
      </c>
      <c r="F372" s="158"/>
      <c r="G372" s="152"/>
      <c r="H372" s="152" t="s">
        <v>1311</v>
      </c>
      <c r="I372" s="164" t="s">
        <v>1132</v>
      </c>
      <c r="J372" s="75" t="s">
        <v>15</v>
      </c>
      <c r="K372" s="407">
        <v>46062</v>
      </c>
      <c r="L372" s="40" t="s">
        <v>4</v>
      </c>
      <c r="M372" s="40" t="s">
        <v>208</v>
      </c>
      <c r="N372" s="40"/>
      <c r="O372" s="349" t="s">
        <v>1312</v>
      </c>
      <c r="P372" s="75" t="s">
        <v>15</v>
      </c>
      <c r="Q372" s="117" t="s">
        <v>211</v>
      </c>
      <c r="R372" s="407"/>
      <c r="S372" s="40" t="s">
        <v>431</v>
      </c>
      <c r="T372" s="254" t="s">
        <v>1218</v>
      </c>
    </row>
    <row r="373" spans="1:20" ht="15.75" customHeight="1" x14ac:dyDescent="0.3">
      <c r="A373" s="104"/>
      <c r="B373" s="104"/>
      <c r="C373" s="130">
        <f t="shared" ca="1" si="15"/>
        <v>344</v>
      </c>
      <c r="D373" s="181"/>
      <c r="E373" s="450"/>
      <c r="F373" s="158"/>
      <c r="G373" s="163"/>
      <c r="H373" s="152" t="s">
        <v>1219</v>
      </c>
      <c r="I373" s="164" t="s">
        <v>1313</v>
      </c>
      <c r="J373" s="75" t="s">
        <v>15</v>
      </c>
      <c r="K373" s="407">
        <v>46062</v>
      </c>
      <c r="L373" s="40" t="s">
        <v>4</v>
      </c>
      <c r="M373" s="40" t="s">
        <v>208</v>
      </c>
      <c r="N373" s="40"/>
      <c r="O373" s="349" t="s">
        <v>1314</v>
      </c>
      <c r="P373" s="75" t="s">
        <v>15</v>
      </c>
      <c r="Q373" s="117"/>
      <c r="R373" s="407"/>
      <c r="S373" s="40" t="s">
        <v>431</v>
      </c>
      <c r="T373" s="83"/>
    </row>
    <row r="374" spans="1:20" ht="15.75" customHeight="1" x14ac:dyDescent="0.3">
      <c r="A374" s="104"/>
      <c r="B374" s="104"/>
      <c r="C374" s="130">
        <f t="shared" ca="1" si="15"/>
        <v>345</v>
      </c>
      <c r="D374" s="181" t="s">
        <v>354</v>
      </c>
      <c r="E374" s="306" t="s">
        <v>200</v>
      </c>
      <c r="F374" s="152" t="s">
        <v>226</v>
      </c>
      <c r="G374" s="163"/>
      <c r="H374" s="152" t="s">
        <v>219</v>
      </c>
      <c r="I374" s="156" t="s">
        <v>1315</v>
      </c>
      <c r="J374" s="75" t="s">
        <v>15</v>
      </c>
      <c r="K374" s="407">
        <v>46063</v>
      </c>
      <c r="L374" s="40" t="s">
        <v>4</v>
      </c>
      <c r="M374" s="40"/>
      <c r="N374" s="40" t="s">
        <v>208</v>
      </c>
      <c r="O374" s="356"/>
      <c r="P374" s="75" t="s">
        <v>15</v>
      </c>
      <c r="Q374" s="117" t="s">
        <v>211</v>
      </c>
      <c r="R374" s="407"/>
      <c r="S374" s="40" t="s">
        <v>431</v>
      </c>
      <c r="T374" s="254" t="s">
        <v>1215</v>
      </c>
    </row>
    <row r="375" spans="1:20" ht="15.75" customHeight="1" x14ac:dyDescent="0.3">
      <c r="A375" s="104"/>
      <c r="B375" s="104"/>
      <c r="C375" s="130">
        <f t="shared" ca="1" si="15"/>
        <v>346</v>
      </c>
      <c r="D375" s="181"/>
      <c r="E375" s="450" t="s">
        <v>200</v>
      </c>
      <c r="F375" s="158"/>
      <c r="G375" s="152"/>
      <c r="H375" s="152" t="s">
        <v>1316</v>
      </c>
      <c r="I375" s="164" t="s">
        <v>1132</v>
      </c>
      <c r="J375" s="75" t="s">
        <v>15</v>
      </c>
      <c r="K375" s="407">
        <v>46062</v>
      </c>
      <c r="L375" s="40" t="s">
        <v>4</v>
      </c>
      <c r="M375" s="40" t="s">
        <v>208</v>
      </c>
      <c r="N375" s="40"/>
      <c r="O375" s="349" t="s">
        <v>1317</v>
      </c>
      <c r="P375" s="75" t="s">
        <v>15</v>
      </c>
      <c r="Q375" s="117" t="s">
        <v>211</v>
      </c>
      <c r="R375" s="407"/>
      <c r="S375" s="40" t="s">
        <v>431</v>
      </c>
      <c r="T375" s="254" t="s">
        <v>1218</v>
      </c>
    </row>
    <row r="376" spans="1:20" ht="15.75" customHeight="1" x14ac:dyDescent="0.3">
      <c r="A376" s="104"/>
      <c r="B376" s="104"/>
      <c r="C376" s="130">
        <f t="shared" ca="1" si="15"/>
        <v>347</v>
      </c>
      <c r="D376" s="181"/>
      <c r="E376" s="450"/>
      <c r="F376" s="158"/>
      <c r="G376" s="163"/>
      <c r="H376" s="152" t="s">
        <v>1219</v>
      </c>
      <c r="I376" s="164" t="s">
        <v>1318</v>
      </c>
      <c r="J376" s="75" t="s">
        <v>15</v>
      </c>
      <c r="K376" s="407">
        <v>46062</v>
      </c>
      <c r="L376" s="40" t="s">
        <v>4</v>
      </c>
      <c r="M376" s="40" t="s">
        <v>208</v>
      </c>
      <c r="N376" s="40"/>
      <c r="O376" s="349" t="s">
        <v>1319</v>
      </c>
      <c r="P376" s="75" t="s">
        <v>15</v>
      </c>
      <c r="Q376" s="117"/>
      <c r="R376" s="407"/>
      <c r="S376" s="40" t="s">
        <v>431</v>
      </c>
      <c r="T376" s="83"/>
    </row>
    <row r="377" spans="1:20" ht="15.75" customHeight="1" x14ac:dyDescent="0.3">
      <c r="A377" s="104"/>
      <c r="B377" s="104"/>
      <c r="C377" s="130">
        <f t="shared" ca="1" si="15"/>
        <v>348</v>
      </c>
      <c r="D377" s="181" t="s">
        <v>355</v>
      </c>
      <c r="E377" s="306" t="s">
        <v>200</v>
      </c>
      <c r="F377" s="152" t="s">
        <v>226</v>
      </c>
      <c r="G377" s="163"/>
      <c r="H377" s="152" t="s">
        <v>219</v>
      </c>
      <c r="I377" s="156" t="s">
        <v>1320</v>
      </c>
      <c r="J377" s="75" t="s">
        <v>15</v>
      </c>
      <c r="K377" s="407">
        <v>46063</v>
      </c>
      <c r="L377" s="40" t="s">
        <v>4</v>
      </c>
      <c r="M377" s="40"/>
      <c r="N377" s="40" t="s">
        <v>208</v>
      </c>
      <c r="O377" s="356"/>
      <c r="P377" s="75" t="s">
        <v>15</v>
      </c>
      <c r="Q377" s="117" t="s">
        <v>211</v>
      </c>
      <c r="R377" s="407"/>
      <c r="S377" s="40" t="s">
        <v>431</v>
      </c>
      <c r="T377" s="254" t="s">
        <v>1215</v>
      </c>
    </row>
    <row r="378" spans="1:20" ht="15.75" customHeight="1" x14ac:dyDescent="0.3">
      <c r="A378" s="104"/>
      <c r="B378" s="104"/>
      <c r="C378" s="130">
        <f t="shared" ca="1" si="15"/>
        <v>349</v>
      </c>
      <c r="D378" s="181"/>
      <c r="E378" s="450" t="s">
        <v>200</v>
      </c>
      <c r="F378" s="158"/>
      <c r="G378" s="152"/>
      <c r="H378" s="152" t="s">
        <v>1321</v>
      </c>
      <c r="I378" s="164" t="s">
        <v>1132</v>
      </c>
      <c r="J378" s="75" t="s">
        <v>15</v>
      </c>
      <c r="K378" s="407">
        <v>46062</v>
      </c>
      <c r="L378" s="40" t="s">
        <v>4</v>
      </c>
      <c r="M378" s="40" t="s">
        <v>208</v>
      </c>
      <c r="N378" s="40"/>
      <c r="O378" s="349" t="s">
        <v>1322</v>
      </c>
      <c r="P378" s="75" t="s">
        <v>15</v>
      </c>
      <c r="Q378" s="117" t="s">
        <v>211</v>
      </c>
      <c r="R378" s="407"/>
      <c r="S378" s="40" t="s">
        <v>431</v>
      </c>
      <c r="T378" s="254" t="s">
        <v>1218</v>
      </c>
    </row>
    <row r="379" spans="1:20" ht="15.75" customHeight="1" x14ac:dyDescent="0.3">
      <c r="A379" s="104"/>
      <c r="B379" s="104"/>
      <c r="C379" s="130">
        <f t="shared" ca="1" si="15"/>
        <v>350</v>
      </c>
      <c r="D379" s="181"/>
      <c r="E379" s="450"/>
      <c r="F379" s="158"/>
      <c r="G379" s="163"/>
      <c r="H379" s="152" t="s">
        <v>1219</v>
      </c>
      <c r="I379" s="164" t="s">
        <v>1323</v>
      </c>
      <c r="J379" s="75" t="s">
        <v>15</v>
      </c>
      <c r="K379" s="407">
        <v>46062</v>
      </c>
      <c r="L379" s="40" t="s">
        <v>4</v>
      </c>
      <c r="M379" s="40" t="s">
        <v>208</v>
      </c>
      <c r="N379" s="40"/>
      <c r="O379" s="349" t="s">
        <v>1324</v>
      </c>
      <c r="P379" s="75" t="s">
        <v>15</v>
      </c>
      <c r="Q379" s="117"/>
      <c r="R379" s="407"/>
      <c r="S379" s="40" t="s">
        <v>431</v>
      </c>
      <c r="T379" s="83"/>
    </row>
    <row r="380" spans="1:20" ht="15.75" customHeight="1" x14ac:dyDescent="0.3">
      <c r="A380" s="104"/>
      <c r="B380" s="104"/>
      <c r="C380" s="130">
        <f t="shared" ca="1" si="15"/>
        <v>351</v>
      </c>
      <c r="D380" s="181" t="s">
        <v>322</v>
      </c>
      <c r="E380" s="333" t="s">
        <v>198</v>
      </c>
      <c r="F380" s="152" t="s">
        <v>226</v>
      </c>
      <c r="G380" s="163"/>
      <c r="H380" s="152" t="s">
        <v>219</v>
      </c>
      <c r="I380" s="156" t="s">
        <v>1146</v>
      </c>
      <c r="J380" s="75" t="s">
        <v>15</v>
      </c>
      <c r="K380" s="407">
        <v>46063</v>
      </c>
      <c r="L380" s="40" t="s">
        <v>4</v>
      </c>
      <c r="M380" s="40"/>
      <c r="N380" s="40" t="s">
        <v>208</v>
      </c>
      <c r="O380" s="356"/>
      <c r="P380" s="75" t="s">
        <v>15</v>
      </c>
      <c r="Q380" s="117"/>
      <c r="R380" s="407"/>
      <c r="S380" s="40" t="s">
        <v>431</v>
      </c>
      <c r="T380" s="83"/>
    </row>
    <row r="381" spans="1:20" ht="15.75" customHeight="1" x14ac:dyDescent="0.3">
      <c r="A381" s="104"/>
      <c r="B381" s="104"/>
      <c r="C381" s="666" t="s">
        <v>1325</v>
      </c>
      <c r="D381" s="602"/>
      <c r="E381" s="602"/>
      <c r="F381" s="602"/>
      <c r="G381" s="602"/>
      <c r="H381" s="602"/>
      <c r="I381" s="602"/>
      <c r="J381" s="602"/>
      <c r="K381" s="602"/>
      <c r="L381" s="602"/>
      <c r="M381" s="602"/>
      <c r="N381" s="602"/>
      <c r="O381" s="602"/>
      <c r="P381" s="602"/>
      <c r="Q381" s="602"/>
      <c r="R381" s="602"/>
      <c r="S381" s="602"/>
      <c r="T381" s="602"/>
    </row>
    <row r="382" spans="1:20" ht="15.75" customHeight="1" x14ac:dyDescent="0.3">
      <c r="A382" s="104"/>
      <c r="B382" s="104"/>
      <c r="C382" s="130">
        <f t="shared" ref="C382:C385" ca="1" si="16">1+COUNT(INDIRECT("A1:"&amp;(ADDRESS(ROW()-1,COLUMN()))))</f>
        <v>352</v>
      </c>
      <c r="D382" s="485" t="s">
        <v>546</v>
      </c>
      <c r="E382" s="486"/>
      <c r="F382" s="274"/>
      <c r="G382" s="323"/>
      <c r="H382" s="361" t="s">
        <v>1326</v>
      </c>
      <c r="I382" s="443" t="s">
        <v>1327</v>
      </c>
      <c r="J382" s="75" t="s">
        <v>15</v>
      </c>
      <c r="K382" s="407">
        <v>46063</v>
      </c>
      <c r="L382" s="40" t="s">
        <v>4</v>
      </c>
      <c r="M382" s="40" t="s">
        <v>208</v>
      </c>
      <c r="N382" s="40"/>
      <c r="O382" s="349" t="s">
        <v>1328</v>
      </c>
      <c r="P382" s="75" t="s">
        <v>15</v>
      </c>
      <c r="Q382" s="222"/>
      <c r="R382" s="407"/>
      <c r="S382" s="40" t="s">
        <v>234</v>
      </c>
      <c r="T382" s="83"/>
    </row>
    <row r="383" spans="1:20" ht="15.75" customHeight="1" x14ac:dyDescent="0.3">
      <c r="A383" s="104"/>
      <c r="B383" s="104"/>
      <c r="C383" s="130">
        <f t="shared" ca="1" si="16"/>
        <v>353</v>
      </c>
      <c r="D383" s="376" t="s">
        <v>1329</v>
      </c>
      <c r="E383" s="329" t="s">
        <v>217</v>
      </c>
      <c r="F383" s="158" t="s">
        <v>207</v>
      </c>
      <c r="G383" s="162"/>
      <c r="H383" s="361" t="s">
        <v>1330</v>
      </c>
      <c r="I383" s="316" t="s">
        <v>1331</v>
      </c>
      <c r="J383" s="75" t="s">
        <v>15</v>
      </c>
      <c r="K383" s="407">
        <v>46062</v>
      </c>
      <c r="L383" s="40" t="s">
        <v>4</v>
      </c>
      <c r="M383" s="40" t="s">
        <v>208</v>
      </c>
      <c r="N383" s="40"/>
      <c r="O383" s="349" t="s">
        <v>1332</v>
      </c>
      <c r="P383" s="75" t="s">
        <v>15</v>
      </c>
      <c r="Q383" s="117"/>
      <c r="R383" s="407"/>
      <c r="S383" s="40" t="s">
        <v>234</v>
      </c>
      <c r="T383" s="83"/>
    </row>
    <row r="384" spans="1:20" ht="15.75" customHeight="1" x14ac:dyDescent="0.3">
      <c r="A384" s="104"/>
      <c r="B384" s="104"/>
      <c r="C384" s="130">
        <f t="shared" ca="1" si="16"/>
        <v>354</v>
      </c>
      <c r="D384" s="328"/>
      <c r="E384" s="152" t="s">
        <v>432</v>
      </c>
      <c r="F384" s="153"/>
      <c r="G384" s="165"/>
      <c r="H384" s="152" t="s">
        <v>1333</v>
      </c>
      <c r="I384" s="154" t="s">
        <v>1334</v>
      </c>
      <c r="J384" s="75" t="s">
        <v>15</v>
      </c>
      <c r="K384" s="407">
        <v>46062</v>
      </c>
      <c r="L384" s="40" t="s">
        <v>4</v>
      </c>
      <c r="M384" s="40" t="s">
        <v>208</v>
      </c>
      <c r="N384" s="40"/>
      <c r="O384" s="349" t="s">
        <v>1335</v>
      </c>
      <c r="P384" s="75" t="s">
        <v>15</v>
      </c>
      <c r="Q384" s="222"/>
      <c r="R384" s="407"/>
      <c r="S384" s="40" t="s">
        <v>234</v>
      </c>
      <c r="T384" s="129"/>
    </row>
    <row r="385" spans="1:20" ht="15.75" customHeight="1" x14ac:dyDescent="0.3">
      <c r="A385" s="104"/>
      <c r="B385" s="104"/>
      <c r="C385" s="130">
        <f t="shared" ca="1" si="16"/>
        <v>355</v>
      </c>
      <c r="D385" s="181" t="s">
        <v>1336</v>
      </c>
      <c r="E385" s="306" t="s">
        <v>200</v>
      </c>
      <c r="F385" s="158" t="s">
        <v>207</v>
      </c>
      <c r="G385" s="163"/>
      <c r="H385" s="153" t="s">
        <v>207</v>
      </c>
      <c r="I385" s="164" t="s">
        <v>1337</v>
      </c>
      <c r="J385" s="75" t="s">
        <v>15</v>
      </c>
      <c r="K385" s="407">
        <v>46062</v>
      </c>
      <c r="L385" s="40" t="s">
        <v>4</v>
      </c>
      <c r="M385" s="40" t="s">
        <v>208</v>
      </c>
      <c r="N385" s="40"/>
      <c r="O385" s="349" t="s">
        <v>1338</v>
      </c>
      <c r="P385" s="75" t="s">
        <v>15</v>
      </c>
      <c r="Q385" s="222"/>
      <c r="R385" s="407"/>
      <c r="S385" s="40" t="s">
        <v>234</v>
      </c>
      <c r="T385" s="83"/>
    </row>
    <row r="386" spans="1:20" ht="15.75" customHeight="1" x14ac:dyDescent="0.3">
      <c r="A386" s="104"/>
      <c r="B386" s="104"/>
      <c r="C386" s="666" t="s">
        <v>1339</v>
      </c>
      <c r="D386" s="602"/>
      <c r="E386" s="602"/>
      <c r="F386" s="602"/>
      <c r="G386" s="602"/>
      <c r="H386" s="602"/>
      <c r="I386" s="602"/>
      <c r="J386" s="602"/>
      <c r="K386" s="602"/>
      <c r="L386" s="602"/>
      <c r="M386" s="602"/>
      <c r="N386" s="602"/>
      <c r="O386" s="602"/>
      <c r="P386" s="602"/>
      <c r="Q386" s="602"/>
      <c r="R386" s="602"/>
      <c r="S386" s="602"/>
      <c r="T386" s="602"/>
    </row>
    <row r="387" spans="1:20" ht="15.75" customHeight="1" x14ac:dyDescent="0.3">
      <c r="A387" s="104"/>
      <c r="B387" s="104"/>
      <c r="C387" s="130">
        <f t="array" aca="1" ref="C387" ca="1">1+COUNT(INDIRECT("A1:"&amp;(ADDRESS(ROW()-1,COLUMN()))))</f>
        <v>356</v>
      </c>
      <c r="D387" s="289" t="s">
        <v>546</v>
      </c>
      <c r="E387" s="299"/>
      <c r="F387" s="158"/>
      <c r="G387" s="154" t="s">
        <v>1340</v>
      </c>
      <c r="H387" s="152" t="s">
        <v>1341</v>
      </c>
      <c r="I387" s="487" t="s">
        <v>1342</v>
      </c>
      <c r="J387" s="75" t="s">
        <v>15</v>
      </c>
      <c r="K387" s="407">
        <v>46062</v>
      </c>
      <c r="L387" s="40" t="s">
        <v>4</v>
      </c>
      <c r="M387" s="40" t="s">
        <v>208</v>
      </c>
      <c r="N387" s="40"/>
      <c r="O387" s="336" t="s">
        <v>1343</v>
      </c>
      <c r="P387" s="75" t="s">
        <v>15</v>
      </c>
      <c r="Q387" s="275" t="s">
        <v>211</v>
      </c>
      <c r="R387" s="407"/>
      <c r="S387" s="40" t="s">
        <v>234</v>
      </c>
      <c r="T387" s="118" t="s">
        <v>1344</v>
      </c>
    </row>
    <row r="388" spans="1:20" ht="15.75" customHeight="1" x14ac:dyDescent="0.3">
      <c r="A388" s="104"/>
      <c r="B388" s="104"/>
      <c r="C388" s="130">
        <f t="shared" ref="C388:C451" ca="1" si="17">1+COUNT(INDIRECT("A1:"&amp;(ADDRESS(ROW()-1,COLUMN()))))</f>
        <v>357</v>
      </c>
      <c r="D388" s="181" t="s">
        <v>1345</v>
      </c>
      <c r="E388" s="306"/>
      <c r="F388" s="158"/>
      <c r="G388" s="216"/>
      <c r="H388" s="152" t="s">
        <v>1346</v>
      </c>
      <c r="I388" s="164" t="s">
        <v>941</v>
      </c>
      <c r="J388" s="75" t="s">
        <v>15</v>
      </c>
      <c r="K388" s="407">
        <v>46063</v>
      </c>
      <c r="L388" s="40" t="s">
        <v>4</v>
      </c>
      <c r="M388" s="41"/>
      <c r="N388" s="40" t="s">
        <v>208</v>
      </c>
      <c r="O388" s="42"/>
      <c r="P388" s="75" t="s">
        <v>15</v>
      </c>
      <c r="Q388" s="275" t="s">
        <v>211</v>
      </c>
      <c r="R388" s="465"/>
      <c r="S388" s="40" t="s">
        <v>234</v>
      </c>
      <c r="T388" s="367" t="s">
        <v>1347</v>
      </c>
    </row>
    <row r="389" spans="1:20" ht="15.75" customHeight="1" x14ac:dyDescent="0.3">
      <c r="A389" s="104"/>
      <c r="B389" s="104"/>
      <c r="C389" s="130">
        <f t="shared" ca="1" si="17"/>
        <v>358</v>
      </c>
      <c r="D389" s="181" t="s">
        <v>1345</v>
      </c>
      <c r="E389" s="306"/>
      <c r="F389" s="158"/>
      <c r="G389" s="216"/>
      <c r="H389" s="361" t="s">
        <v>673</v>
      </c>
      <c r="I389" s="466" t="s">
        <v>674</v>
      </c>
      <c r="J389" s="75" t="s">
        <v>15</v>
      </c>
      <c r="K389" s="407">
        <v>46063</v>
      </c>
      <c r="L389" s="40" t="s">
        <v>4</v>
      </c>
      <c r="M389" s="41"/>
      <c r="N389" s="40" t="s">
        <v>208</v>
      </c>
      <c r="O389" s="42"/>
      <c r="P389" s="75" t="s">
        <v>15</v>
      </c>
      <c r="Q389" s="275"/>
      <c r="R389" s="465"/>
      <c r="S389" s="40" t="s">
        <v>234</v>
      </c>
      <c r="T389" s="367" t="s">
        <v>1348</v>
      </c>
    </row>
    <row r="390" spans="1:20" ht="15.75" customHeight="1" x14ac:dyDescent="0.3">
      <c r="A390" s="104"/>
      <c r="B390" s="104"/>
      <c r="C390" s="130">
        <f t="shared" ca="1" si="17"/>
        <v>359</v>
      </c>
      <c r="D390" s="181" t="s">
        <v>1345</v>
      </c>
      <c r="E390" s="306"/>
      <c r="F390" s="158"/>
      <c r="G390" s="216"/>
      <c r="H390" s="361" t="s">
        <v>675</v>
      </c>
      <c r="I390" s="466" t="s">
        <v>676</v>
      </c>
      <c r="J390" s="75" t="s">
        <v>15</v>
      </c>
      <c r="K390" s="407">
        <v>46063</v>
      </c>
      <c r="L390" s="40" t="s">
        <v>4</v>
      </c>
      <c r="M390" s="41"/>
      <c r="N390" s="40" t="s">
        <v>208</v>
      </c>
      <c r="O390" s="42"/>
      <c r="P390" s="75" t="s">
        <v>15</v>
      </c>
      <c r="Q390" s="275"/>
      <c r="R390" s="465"/>
      <c r="S390" s="40" t="s">
        <v>234</v>
      </c>
      <c r="T390" s="367" t="s">
        <v>1348</v>
      </c>
    </row>
    <row r="391" spans="1:20" ht="15.75" customHeight="1" x14ac:dyDescent="0.3">
      <c r="A391" s="104"/>
      <c r="B391" s="104"/>
      <c r="C391" s="130">
        <f t="shared" ca="1" si="17"/>
        <v>360</v>
      </c>
      <c r="D391" s="181" t="s">
        <v>1345</v>
      </c>
      <c r="E391" s="306"/>
      <c r="F391" s="158"/>
      <c r="G391" s="216"/>
      <c r="H391" s="361" t="s">
        <v>677</v>
      </c>
      <c r="I391" s="466" t="s">
        <v>678</v>
      </c>
      <c r="J391" s="75" t="s">
        <v>15</v>
      </c>
      <c r="K391" s="407">
        <v>46063</v>
      </c>
      <c r="L391" s="40" t="s">
        <v>4</v>
      </c>
      <c r="M391" s="41"/>
      <c r="N391" s="40" t="s">
        <v>208</v>
      </c>
      <c r="O391" s="42"/>
      <c r="P391" s="75" t="s">
        <v>15</v>
      </c>
      <c r="Q391" s="275"/>
      <c r="R391" s="465"/>
      <c r="S391" s="40" t="s">
        <v>234</v>
      </c>
      <c r="T391" s="367" t="s">
        <v>1348</v>
      </c>
    </row>
    <row r="392" spans="1:20" ht="15.75" customHeight="1" x14ac:dyDescent="0.3">
      <c r="A392" s="104"/>
      <c r="B392" s="104"/>
      <c r="C392" s="130">
        <f t="shared" ca="1" si="17"/>
        <v>361</v>
      </c>
      <c r="D392" s="181" t="s">
        <v>1345</v>
      </c>
      <c r="E392" s="306"/>
      <c r="F392" s="158"/>
      <c r="G392" s="216"/>
      <c r="H392" s="361" t="s">
        <v>679</v>
      </c>
      <c r="I392" s="466" t="s">
        <v>678</v>
      </c>
      <c r="J392" s="75" t="s">
        <v>15</v>
      </c>
      <c r="K392" s="407">
        <v>46063</v>
      </c>
      <c r="L392" s="40" t="s">
        <v>4</v>
      </c>
      <c r="M392" s="41"/>
      <c r="N392" s="40" t="s">
        <v>208</v>
      </c>
      <c r="O392" s="42"/>
      <c r="P392" s="75" t="s">
        <v>15</v>
      </c>
      <c r="Q392" s="275"/>
      <c r="R392" s="465"/>
      <c r="S392" s="40" t="s">
        <v>234</v>
      </c>
      <c r="T392" s="367" t="s">
        <v>1348</v>
      </c>
    </row>
    <row r="393" spans="1:20" ht="196.5" customHeight="1" x14ac:dyDescent="0.3">
      <c r="A393" s="104"/>
      <c r="B393" s="104"/>
      <c r="C393" s="130">
        <f t="shared" ca="1" si="17"/>
        <v>362</v>
      </c>
      <c r="D393" s="181" t="s">
        <v>1345</v>
      </c>
      <c r="E393" s="306"/>
      <c r="F393" s="158"/>
      <c r="G393" s="152" t="s">
        <v>1349</v>
      </c>
      <c r="H393" s="361" t="s">
        <v>1350</v>
      </c>
      <c r="I393" s="466" t="s">
        <v>1351</v>
      </c>
      <c r="J393" s="75" t="s">
        <v>15</v>
      </c>
      <c r="K393" s="407">
        <v>46062</v>
      </c>
      <c r="L393" s="40" t="s">
        <v>4</v>
      </c>
      <c r="M393" s="40" t="s">
        <v>208</v>
      </c>
      <c r="N393" s="41"/>
      <c r="O393" s="267" t="s">
        <v>1352</v>
      </c>
      <c r="P393" s="75" t="s">
        <v>15</v>
      </c>
      <c r="Q393" s="275" t="s">
        <v>211</v>
      </c>
      <c r="R393" s="465"/>
      <c r="S393" s="40" t="s">
        <v>234</v>
      </c>
      <c r="T393" s="367" t="s">
        <v>1353</v>
      </c>
    </row>
    <row r="394" spans="1:20" ht="15.75" customHeight="1" x14ac:dyDescent="0.3">
      <c r="A394" s="104"/>
      <c r="B394" s="104"/>
      <c r="C394" s="130">
        <f t="shared" ca="1" si="17"/>
        <v>363</v>
      </c>
      <c r="D394" s="181"/>
      <c r="E394" s="306"/>
      <c r="F394" s="158"/>
      <c r="G394" s="152" t="s">
        <v>1354</v>
      </c>
      <c r="H394" s="152" t="s">
        <v>1355</v>
      </c>
      <c r="I394" s="164" t="s">
        <v>949</v>
      </c>
      <c r="J394" s="75" t="s">
        <v>15</v>
      </c>
      <c r="K394" s="407">
        <v>46062</v>
      </c>
      <c r="L394" s="40" t="s">
        <v>4</v>
      </c>
      <c r="M394" s="40" t="s">
        <v>208</v>
      </c>
      <c r="N394" s="41"/>
      <c r="O394" s="267" t="s">
        <v>1356</v>
      </c>
      <c r="P394" s="75" t="s">
        <v>15</v>
      </c>
      <c r="Q394" s="275" t="s">
        <v>211</v>
      </c>
      <c r="R394" s="465"/>
      <c r="S394" s="40" t="s">
        <v>234</v>
      </c>
      <c r="T394" s="367" t="s">
        <v>1353</v>
      </c>
    </row>
    <row r="395" spans="1:20" ht="15.75" customHeight="1" x14ac:dyDescent="0.3">
      <c r="A395" s="104"/>
      <c r="B395" s="104"/>
      <c r="C395" s="130">
        <f t="shared" ca="1" si="17"/>
        <v>364</v>
      </c>
      <c r="D395" s="181" t="s">
        <v>1357</v>
      </c>
      <c r="E395" s="152" t="s">
        <v>222</v>
      </c>
      <c r="F395" s="158"/>
      <c r="G395" s="176"/>
      <c r="H395" s="152" t="s">
        <v>688</v>
      </c>
      <c r="I395" s="164" t="s">
        <v>1358</v>
      </c>
      <c r="J395" s="75" t="s">
        <v>15</v>
      </c>
      <c r="K395" s="407">
        <v>46062</v>
      </c>
      <c r="L395" s="40" t="s">
        <v>4</v>
      </c>
      <c r="M395" s="40" t="s">
        <v>208</v>
      </c>
      <c r="N395" s="41"/>
      <c r="O395" s="267" t="s">
        <v>1359</v>
      </c>
      <c r="P395" s="75" t="s">
        <v>15</v>
      </c>
      <c r="Q395" s="275" t="s">
        <v>211</v>
      </c>
      <c r="R395" s="465"/>
      <c r="S395" s="40" t="s">
        <v>234</v>
      </c>
      <c r="T395" s="367" t="s">
        <v>1353</v>
      </c>
    </row>
    <row r="396" spans="1:20" ht="15.75" customHeight="1" x14ac:dyDescent="0.3">
      <c r="A396" s="104"/>
      <c r="B396" s="104"/>
      <c r="C396" s="130">
        <f t="shared" ca="1" si="17"/>
        <v>365</v>
      </c>
      <c r="D396" s="181" t="s">
        <v>1360</v>
      </c>
      <c r="E396" s="152"/>
      <c r="F396" s="158"/>
      <c r="G396" s="176"/>
      <c r="H396" s="152" t="s">
        <v>1361</v>
      </c>
      <c r="I396" s="164" t="s">
        <v>693</v>
      </c>
      <c r="J396" s="182" t="s">
        <v>15</v>
      </c>
      <c r="K396" s="407">
        <v>46063</v>
      </c>
      <c r="L396" s="40" t="s">
        <v>4</v>
      </c>
      <c r="M396" s="40"/>
      <c r="N396" s="40" t="s">
        <v>208</v>
      </c>
      <c r="O396" s="42"/>
      <c r="P396" s="75" t="s">
        <v>15</v>
      </c>
      <c r="Q396" s="275"/>
      <c r="R396" s="465"/>
      <c r="S396" s="40" t="s">
        <v>234</v>
      </c>
      <c r="T396" s="367" t="s">
        <v>1362</v>
      </c>
    </row>
    <row r="397" spans="1:20" ht="15.75" customHeight="1" x14ac:dyDescent="0.3">
      <c r="A397" s="104"/>
      <c r="B397" s="104"/>
      <c r="C397" s="130">
        <f t="shared" ca="1" si="17"/>
        <v>366</v>
      </c>
      <c r="D397" s="124" t="s">
        <v>1363</v>
      </c>
      <c r="E397" s="306" t="s">
        <v>198</v>
      </c>
      <c r="F397" s="152" t="s">
        <v>226</v>
      </c>
      <c r="G397" s="163"/>
      <c r="H397" s="152" t="s">
        <v>219</v>
      </c>
      <c r="I397" s="152" t="s">
        <v>1364</v>
      </c>
      <c r="J397" s="75" t="s">
        <v>15</v>
      </c>
      <c r="K397" s="407">
        <v>46063</v>
      </c>
      <c r="L397" s="40" t="s">
        <v>4</v>
      </c>
      <c r="M397" s="40"/>
      <c r="N397" s="40" t="s">
        <v>208</v>
      </c>
      <c r="O397" s="356"/>
      <c r="P397" s="75" t="s">
        <v>15</v>
      </c>
      <c r="Q397" s="222"/>
      <c r="R397" s="40"/>
      <c r="S397" s="40" t="s">
        <v>234</v>
      </c>
      <c r="T397" s="83"/>
    </row>
    <row r="398" spans="1:20" ht="15.75" customHeight="1" x14ac:dyDescent="0.3">
      <c r="A398" s="104"/>
      <c r="B398" s="104"/>
      <c r="C398" s="130">
        <f t="shared" ca="1" si="17"/>
        <v>367</v>
      </c>
      <c r="D398" s="181" t="s">
        <v>416</v>
      </c>
      <c r="E398" s="333" t="s">
        <v>198</v>
      </c>
      <c r="F398" s="152" t="s">
        <v>226</v>
      </c>
      <c r="G398" s="163"/>
      <c r="H398" s="152" t="s">
        <v>219</v>
      </c>
      <c r="I398" s="156" t="s">
        <v>1365</v>
      </c>
      <c r="J398" s="75" t="s">
        <v>15</v>
      </c>
      <c r="K398" s="407">
        <v>46063</v>
      </c>
      <c r="L398" s="40" t="s">
        <v>4</v>
      </c>
      <c r="M398" s="40"/>
      <c r="N398" s="40" t="s">
        <v>208</v>
      </c>
      <c r="O398" s="356"/>
      <c r="P398" s="75" t="s">
        <v>15</v>
      </c>
      <c r="Q398" s="117"/>
      <c r="R398" s="41"/>
      <c r="S398" s="40" t="s">
        <v>234</v>
      </c>
      <c r="T398" s="83"/>
    </row>
    <row r="399" spans="1:20" ht="15.75" customHeight="1" x14ac:dyDescent="0.3">
      <c r="A399" s="104"/>
      <c r="B399" s="104"/>
      <c r="C399" s="130">
        <f t="shared" ca="1" si="17"/>
        <v>368</v>
      </c>
      <c r="D399" s="181" t="s">
        <v>419</v>
      </c>
      <c r="E399" s="333" t="s">
        <v>198</v>
      </c>
      <c r="F399" s="152" t="s">
        <v>226</v>
      </c>
      <c r="G399" s="163"/>
      <c r="H399" s="152" t="s">
        <v>219</v>
      </c>
      <c r="I399" s="156" t="s">
        <v>1366</v>
      </c>
      <c r="J399" s="75" t="s">
        <v>15</v>
      </c>
      <c r="K399" s="407">
        <v>46063</v>
      </c>
      <c r="L399" s="40" t="s">
        <v>4</v>
      </c>
      <c r="M399" s="40"/>
      <c r="N399" s="40" t="s">
        <v>208</v>
      </c>
      <c r="O399" s="356"/>
      <c r="P399" s="75" t="s">
        <v>15</v>
      </c>
      <c r="Q399" s="117"/>
      <c r="R399" s="41"/>
      <c r="S399" s="40" t="s">
        <v>234</v>
      </c>
      <c r="T399" s="83"/>
    </row>
    <row r="400" spans="1:20" ht="15.75" customHeight="1" x14ac:dyDescent="0.3">
      <c r="A400" s="104"/>
      <c r="B400" s="104"/>
      <c r="C400" s="130">
        <f t="shared" ca="1" si="17"/>
        <v>369</v>
      </c>
      <c r="D400" s="181" t="s">
        <v>423</v>
      </c>
      <c r="E400" s="333" t="s">
        <v>198</v>
      </c>
      <c r="F400" s="152" t="s">
        <v>226</v>
      </c>
      <c r="G400" s="163"/>
      <c r="H400" s="152" t="s">
        <v>219</v>
      </c>
      <c r="I400" s="156" t="s">
        <v>1367</v>
      </c>
      <c r="J400" s="75" t="s">
        <v>15</v>
      </c>
      <c r="K400" s="407">
        <v>46063</v>
      </c>
      <c r="L400" s="40" t="s">
        <v>4</v>
      </c>
      <c r="M400" s="40"/>
      <c r="N400" s="40" t="s">
        <v>208</v>
      </c>
      <c r="O400" s="356"/>
      <c r="P400" s="75" t="s">
        <v>15</v>
      </c>
      <c r="Q400" s="117"/>
      <c r="R400" s="41"/>
      <c r="S400" s="40" t="s">
        <v>234</v>
      </c>
      <c r="T400" s="83"/>
    </row>
    <row r="401" spans="1:20" ht="15.75" customHeight="1" x14ac:dyDescent="0.3">
      <c r="A401" s="104"/>
      <c r="B401" s="104"/>
      <c r="C401" s="130">
        <f t="shared" ca="1" si="17"/>
        <v>370</v>
      </c>
      <c r="D401" s="181" t="s">
        <v>426</v>
      </c>
      <c r="E401" s="333" t="s">
        <v>198</v>
      </c>
      <c r="F401" s="152" t="s">
        <v>226</v>
      </c>
      <c r="G401" s="163"/>
      <c r="H401" s="152" t="s">
        <v>219</v>
      </c>
      <c r="I401" s="156" t="s">
        <v>1368</v>
      </c>
      <c r="J401" s="75" t="s">
        <v>15</v>
      </c>
      <c r="K401" s="407">
        <v>46063</v>
      </c>
      <c r="L401" s="40" t="s">
        <v>4</v>
      </c>
      <c r="M401" s="40"/>
      <c r="N401" s="40" t="s">
        <v>208</v>
      </c>
      <c r="O401" s="356"/>
      <c r="P401" s="75" t="s">
        <v>15</v>
      </c>
      <c r="Q401" s="117"/>
      <c r="R401" s="41"/>
      <c r="S401" s="40" t="s">
        <v>234</v>
      </c>
      <c r="T401" s="83"/>
    </row>
    <row r="402" spans="1:20" ht="15.75" customHeight="1" x14ac:dyDescent="0.3">
      <c r="A402" s="104"/>
      <c r="B402" s="104"/>
      <c r="C402" s="130">
        <f t="shared" ca="1" si="17"/>
        <v>371</v>
      </c>
      <c r="D402" s="181" t="s">
        <v>427</v>
      </c>
      <c r="E402" s="333" t="s">
        <v>198</v>
      </c>
      <c r="F402" s="152" t="s">
        <v>226</v>
      </c>
      <c r="G402" s="163"/>
      <c r="H402" s="152" t="s">
        <v>219</v>
      </c>
      <c r="I402" s="156" t="s">
        <v>1369</v>
      </c>
      <c r="J402" s="75" t="s">
        <v>15</v>
      </c>
      <c r="K402" s="407">
        <v>46063</v>
      </c>
      <c r="L402" s="40" t="s">
        <v>4</v>
      </c>
      <c r="M402" s="40"/>
      <c r="N402" s="40" t="s">
        <v>208</v>
      </c>
      <c r="O402" s="356"/>
      <c r="P402" s="75" t="s">
        <v>15</v>
      </c>
      <c r="Q402" s="117"/>
      <c r="R402" s="40"/>
      <c r="S402" s="40" t="s">
        <v>234</v>
      </c>
      <c r="T402" s="83"/>
    </row>
    <row r="403" spans="1:20" ht="15.75" customHeight="1" x14ac:dyDescent="0.3">
      <c r="A403" s="104"/>
      <c r="B403" s="104"/>
      <c r="C403" s="130">
        <f t="shared" ca="1" si="17"/>
        <v>372</v>
      </c>
      <c r="D403" s="181" t="s">
        <v>1370</v>
      </c>
      <c r="E403" s="450" t="s">
        <v>200</v>
      </c>
      <c r="F403" s="158" t="s">
        <v>207</v>
      </c>
      <c r="G403" s="163"/>
      <c r="H403" s="152" t="s">
        <v>219</v>
      </c>
      <c r="I403" s="156" t="s">
        <v>1371</v>
      </c>
      <c r="J403" s="75" t="s">
        <v>15</v>
      </c>
      <c r="K403" s="407">
        <v>46062</v>
      </c>
      <c r="L403" s="40" t="s">
        <v>4</v>
      </c>
      <c r="M403" s="40" t="s">
        <v>208</v>
      </c>
      <c r="N403" s="40"/>
      <c r="O403" s="349" t="s">
        <v>1372</v>
      </c>
      <c r="P403" s="75" t="s">
        <v>15</v>
      </c>
      <c r="Q403" s="117"/>
      <c r="R403" s="407"/>
      <c r="S403" s="40" t="s">
        <v>234</v>
      </c>
      <c r="T403" s="83"/>
    </row>
    <row r="404" spans="1:20" ht="15.75" customHeight="1" x14ac:dyDescent="0.3">
      <c r="A404" s="104"/>
      <c r="B404" s="104"/>
      <c r="C404" s="130">
        <f t="shared" ca="1" si="17"/>
        <v>373</v>
      </c>
      <c r="D404" s="181" t="s">
        <v>304</v>
      </c>
      <c r="E404" s="450" t="s">
        <v>200</v>
      </c>
      <c r="F404" s="158" t="s">
        <v>207</v>
      </c>
      <c r="G404" s="163"/>
      <c r="H404" s="152" t="s">
        <v>219</v>
      </c>
      <c r="I404" s="156" t="s">
        <v>960</v>
      </c>
      <c r="J404" s="75" t="s">
        <v>15</v>
      </c>
      <c r="K404" s="407">
        <v>46062</v>
      </c>
      <c r="L404" s="40" t="s">
        <v>4</v>
      </c>
      <c r="M404" s="40" t="s">
        <v>208</v>
      </c>
      <c r="N404" s="40"/>
      <c r="O404" s="349" t="s">
        <v>1373</v>
      </c>
      <c r="P404" s="75" t="s">
        <v>15</v>
      </c>
      <c r="Q404" s="117"/>
      <c r="R404" s="407"/>
      <c r="S404" s="40" t="s">
        <v>234</v>
      </c>
      <c r="T404" s="83"/>
    </row>
    <row r="405" spans="1:20" ht="15.75" customHeight="1" x14ac:dyDescent="0.3">
      <c r="A405" s="104"/>
      <c r="B405" s="104"/>
      <c r="C405" s="130">
        <f t="shared" ca="1" si="17"/>
        <v>374</v>
      </c>
      <c r="D405" s="181" t="s">
        <v>1374</v>
      </c>
      <c r="E405" s="333" t="s">
        <v>198</v>
      </c>
      <c r="F405" s="152" t="s">
        <v>226</v>
      </c>
      <c r="G405" s="163"/>
      <c r="H405" s="152" t="s">
        <v>219</v>
      </c>
      <c r="I405" s="156" t="s">
        <v>1375</v>
      </c>
      <c r="J405" s="75" t="s">
        <v>15</v>
      </c>
      <c r="K405" s="407">
        <v>46062</v>
      </c>
      <c r="L405" s="40" t="s">
        <v>4</v>
      </c>
      <c r="M405" s="40" t="s">
        <v>208</v>
      </c>
      <c r="N405" s="40"/>
      <c r="O405" s="336" t="s">
        <v>1376</v>
      </c>
      <c r="P405" s="75" t="s">
        <v>15</v>
      </c>
      <c r="Q405" s="117" t="s">
        <v>211</v>
      </c>
      <c r="R405" s="40"/>
      <c r="S405" s="40" t="s">
        <v>234</v>
      </c>
      <c r="T405" s="83" t="s">
        <v>1377</v>
      </c>
    </row>
    <row r="406" spans="1:20" ht="15.75" customHeight="1" x14ac:dyDescent="0.3">
      <c r="A406" s="104"/>
      <c r="B406" s="104"/>
      <c r="C406" s="130">
        <f t="shared" ca="1" si="17"/>
        <v>375</v>
      </c>
      <c r="D406" s="181" t="s">
        <v>1378</v>
      </c>
      <c r="E406" s="450" t="s">
        <v>200</v>
      </c>
      <c r="F406" s="158" t="s">
        <v>207</v>
      </c>
      <c r="G406" s="163"/>
      <c r="H406" s="152" t="s">
        <v>219</v>
      </c>
      <c r="I406" s="156" t="s">
        <v>1379</v>
      </c>
      <c r="J406" s="75" t="s">
        <v>15</v>
      </c>
      <c r="K406" s="407">
        <v>46063</v>
      </c>
      <c r="L406" s="40" t="s">
        <v>4</v>
      </c>
      <c r="M406" s="40" t="s">
        <v>208</v>
      </c>
      <c r="N406" s="40"/>
      <c r="O406" s="349" t="s">
        <v>1380</v>
      </c>
      <c r="P406" s="75" t="s">
        <v>15</v>
      </c>
      <c r="Q406" s="117"/>
      <c r="R406" s="40"/>
      <c r="S406" s="40" t="s">
        <v>234</v>
      </c>
      <c r="T406" s="83"/>
    </row>
    <row r="407" spans="1:20" ht="15.75" customHeight="1" x14ac:dyDescent="0.3">
      <c r="A407" s="104"/>
      <c r="B407" s="104"/>
      <c r="C407" s="130">
        <f t="shared" ca="1" si="17"/>
        <v>376</v>
      </c>
      <c r="D407" s="181" t="s">
        <v>1381</v>
      </c>
      <c r="E407" s="450" t="s">
        <v>200</v>
      </c>
      <c r="F407" s="158" t="s">
        <v>207</v>
      </c>
      <c r="G407" s="163"/>
      <c r="H407" s="152" t="s">
        <v>219</v>
      </c>
      <c r="I407" s="156" t="s">
        <v>1382</v>
      </c>
      <c r="J407" s="75" t="s">
        <v>15</v>
      </c>
      <c r="K407" s="407">
        <v>46063</v>
      </c>
      <c r="L407" s="40" t="s">
        <v>4</v>
      </c>
      <c r="M407" s="40" t="s">
        <v>208</v>
      </c>
      <c r="O407" s="349" t="s">
        <v>1383</v>
      </c>
      <c r="P407" s="75" t="s">
        <v>15</v>
      </c>
      <c r="Q407" s="117"/>
      <c r="R407" s="40"/>
      <c r="S407" s="40"/>
      <c r="T407" s="301"/>
    </row>
    <row r="408" spans="1:20" ht="15.75" customHeight="1" x14ac:dyDescent="0.3">
      <c r="A408" s="104"/>
      <c r="B408" s="104"/>
      <c r="C408" s="130">
        <f t="shared" ca="1" si="17"/>
        <v>377</v>
      </c>
      <c r="D408" s="181" t="s">
        <v>1384</v>
      </c>
      <c r="E408" s="450" t="s">
        <v>200</v>
      </c>
      <c r="F408" s="158" t="s">
        <v>207</v>
      </c>
      <c r="G408" s="163"/>
      <c r="H408" s="152" t="s">
        <v>219</v>
      </c>
      <c r="I408" s="156" t="s">
        <v>1385</v>
      </c>
      <c r="J408" s="75" t="s">
        <v>15</v>
      </c>
      <c r="K408" s="407">
        <v>46063</v>
      </c>
      <c r="L408" s="40" t="s">
        <v>4</v>
      </c>
      <c r="M408" s="40" t="s">
        <v>208</v>
      </c>
      <c r="N408" s="40"/>
      <c r="O408" s="349" t="s">
        <v>1386</v>
      </c>
      <c r="P408" s="75" t="s">
        <v>15</v>
      </c>
      <c r="Q408" s="117"/>
      <c r="R408" s="407"/>
      <c r="S408" s="40"/>
      <c r="T408" s="301"/>
    </row>
    <row r="409" spans="1:20" ht="15.75" customHeight="1" x14ac:dyDescent="0.3">
      <c r="A409" s="104"/>
      <c r="B409" s="104"/>
      <c r="C409" s="130">
        <f t="shared" ca="1" si="17"/>
        <v>378</v>
      </c>
      <c r="D409" s="181" t="s">
        <v>1387</v>
      </c>
      <c r="E409" s="450" t="s">
        <v>200</v>
      </c>
      <c r="F409" s="158" t="s">
        <v>207</v>
      </c>
      <c r="G409" s="163"/>
      <c r="H409" s="152" t="s">
        <v>219</v>
      </c>
      <c r="I409" s="156" t="s">
        <v>1388</v>
      </c>
      <c r="J409" s="75" t="s">
        <v>15</v>
      </c>
      <c r="K409" s="407">
        <v>46063</v>
      </c>
      <c r="L409" s="40" t="s">
        <v>4</v>
      </c>
      <c r="M409" s="40" t="s">
        <v>208</v>
      </c>
      <c r="N409" s="40"/>
      <c r="O409" s="349" t="s">
        <v>1389</v>
      </c>
      <c r="P409" s="75" t="s">
        <v>15</v>
      </c>
      <c r="Q409" s="117" t="s">
        <v>211</v>
      </c>
      <c r="R409" s="407"/>
      <c r="S409" s="40"/>
      <c r="T409" s="83" t="s">
        <v>1390</v>
      </c>
    </row>
    <row r="410" spans="1:20" ht="15.75" customHeight="1" x14ac:dyDescent="0.3">
      <c r="A410" s="104"/>
      <c r="B410" s="104"/>
      <c r="C410" s="130">
        <f t="shared" ca="1" si="17"/>
        <v>379</v>
      </c>
      <c r="D410" s="181" t="s">
        <v>1391</v>
      </c>
      <c r="E410" s="450" t="s">
        <v>200</v>
      </c>
      <c r="F410" s="158" t="s">
        <v>207</v>
      </c>
      <c r="G410" s="163"/>
      <c r="H410" s="152" t="s">
        <v>219</v>
      </c>
      <c r="I410" s="156" t="s">
        <v>1392</v>
      </c>
      <c r="J410" s="75" t="s">
        <v>15</v>
      </c>
      <c r="K410" s="407">
        <v>46063</v>
      </c>
      <c r="L410" s="40" t="s">
        <v>4</v>
      </c>
      <c r="M410" s="40" t="s">
        <v>208</v>
      </c>
      <c r="N410" s="40"/>
      <c r="O410" s="349" t="s">
        <v>1393</v>
      </c>
      <c r="P410" s="75" t="s">
        <v>15</v>
      </c>
      <c r="Q410" s="117" t="s">
        <v>211</v>
      </c>
      <c r="R410" s="407"/>
      <c r="S410" s="40"/>
      <c r="T410" s="83" t="s">
        <v>1394</v>
      </c>
    </row>
    <row r="411" spans="1:20" ht="15.75" customHeight="1" x14ac:dyDescent="0.3">
      <c r="A411" s="104"/>
      <c r="B411" s="104"/>
      <c r="C411" s="130">
        <f t="shared" ca="1" si="17"/>
        <v>380</v>
      </c>
      <c r="D411" s="181" t="s">
        <v>418</v>
      </c>
      <c r="E411" s="333" t="s">
        <v>198</v>
      </c>
      <c r="F411" s="152" t="s">
        <v>226</v>
      </c>
      <c r="G411" s="163"/>
      <c r="H411" s="152" t="s">
        <v>219</v>
      </c>
      <c r="I411" s="156" t="s">
        <v>1395</v>
      </c>
      <c r="J411" s="75" t="s">
        <v>15</v>
      </c>
      <c r="K411" s="407">
        <v>46063</v>
      </c>
      <c r="L411" s="40" t="s">
        <v>4</v>
      </c>
      <c r="M411" s="40"/>
      <c r="N411" s="40" t="s">
        <v>208</v>
      </c>
      <c r="O411" s="356"/>
      <c r="P411" s="75" t="s">
        <v>15</v>
      </c>
      <c r="Q411" s="117"/>
      <c r="R411" s="407"/>
      <c r="S411" s="40"/>
      <c r="T411" s="301"/>
    </row>
    <row r="412" spans="1:20" ht="15.75" customHeight="1" x14ac:dyDescent="0.3">
      <c r="A412" s="104"/>
      <c r="B412" s="104"/>
      <c r="C412" s="130">
        <f t="shared" ca="1" si="17"/>
        <v>381</v>
      </c>
      <c r="D412" s="181" t="s">
        <v>1396</v>
      </c>
      <c r="E412" s="306" t="s">
        <v>200</v>
      </c>
      <c r="F412" s="158" t="s">
        <v>207</v>
      </c>
      <c r="G412" s="163"/>
      <c r="H412" s="153" t="s">
        <v>207</v>
      </c>
      <c r="I412" s="164" t="s">
        <v>1397</v>
      </c>
      <c r="J412" s="75" t="s">
        <v>15</v>
      </c>
      <c r="K412" s="407">
        <v>46062</v>
      </c>
      <c r="L412" s="40" t="s">
        <v>4</v>
      </c>
      <c r="M412" s="40" t="s">
        <v>208</v>
      </c>
      <c r="N412" s="40"/>
      <c r="O412" s="349" t="s">
        <v>1398</v>
      </c>
      <c r="P412" s="75" t="s">
        <v>15</v>
      </c>
      <c r="Q412" s="117"/>
      <c r="R412" s="407"/>
      <c r="S412" s="40"/>
      <c r="T412" s="301"/>
    </row>
    <row r="413" spans="1:20" ht="15.75" customHeight="1" x14ac:dyDescent="0.3">
      <c r="A413" s="104"/>
      <c r="B413" s="104"/>
      <c r="C413" s="130">
        <f t="shared" ca="1" si="17"/>
        <v>382</v>
      </c>
      <c r="D413" s="181" t="s">
        <v>1399</v>
      </c>
      <c r="E413" s="672" t="s">
        <v>758</v>
      </c>
      <c r="F413" s="171"/>
      <c r="G413" s="152" t="s">
        <v>713</v>
      </c>
      <c r="H413" s="152" t="s">
        <v>714</v>
      </c>
      <c r="I413" s="152" t="s">
        <v>976</v>
      </c>
      <c r="J413" s="75" t="s">
        <v>15</v>
      </c>
      <c r="K413" s="407">
        <v>46062</v>
      </c>
      <c r="L413" s="40" t="s">
        <v>4</v>
      </c>
      <c r="M413" s="40" t="s">
        <v>208</v>
      </c>
      <c r="N413" s="40"/>
      <c r="O413" s="349" t="s">
        <v>1400</v>
      </c>
      <c r="P413" s="75" t="s">
        <v>15</v>
      </c>
      <c r="Q413" s="117"/>
      <c r="R413" s="407"/>
      <c r="S413" s="40"/>
      <c r="T413" s="301"/>
    </row>
    <row r="414" spans="1:20" ht="15.75" customHeight="1" x14ac:dyDescent="0.3">
      <c r="A414" s="104"/>
      <c r="B414" s="104"/>
      <c r="C414" s="130">
        <f t="shared" ca="1" si="17"/>
        <v>383</v>
      </c>
      <c r="D414" s="401"/>
      <c r="E414" s="635"/>
      <c r="F414" s="171"/>
      <c r="G414" s="152" t="s">
        <v>717</v>
      </c>
      <c r="H414" s="152" t="s">
        <v>718</v>
      </c>
      <c r="I414" s="152" t="s">
        <v>1401</v>
      </c>
      <c r="J414" s="75" t="s">
        <v>15</v>
      </c>
      <c r="K414" s="407">
        <v>46062</v>
      </c>
      <c r="L414" s="40" t="s">
        <v>4</v>
      </c>
      <c r="M414" s="40" t="s">
        <v>208</v>
      </c>
      <c r="N414" s="40"/>
      <c r="O414" s="349" t="s">
        <v>1402</v>
      </c>
      <c r="P414" s="75" t="s">
        <v>15</v>
      </c>
      <c r="Q414" s="117"/>
      <c r="R414" s="407"/>
      <c r="S414" s="40"/>
      <c r="T414" s="301"/>
    </row>
    <row r="415" spans="1:20" ht="15.75" customHeight="1" x14ac:dyDescent="0.3">
      <c r="A415" s="104"/>
      <c r="B415" s="104"/>
      <c r="C415" s="130">
        <f t="shared" ca="1" si="17"/>
        <v>384</v>
      </c>
      <c r="D415" s="181" t="s">
        <v>420</v>
      </c>
      <c r="E415" s="333" t="s">
        <v>198</v>
      </c>
      <c r="F415" s="152" t="s">
        <v>226</v>
      </c>
      <c r="G415" s="163"/>
      <c r="H415" s="152" t="s">
        <v>219</v>
      </c>
      <c r="I415" s="156" t="s">
        <v>1403</v>
      </c>
      <c r="J415" s="75" t="s">
        <v>15</v>
      </c>
      <c r="K415" s="407">
        <v>46063</v>
      </c>
      <c r="L415" s="40" t="s">
        <v>4</v>
      </c>
      <c r="M415" s="40"/>
      <c r="N415" s="40" t="s">
        <v>208</v>
      </c>
      <c r="O415" s="356"/>
      <c r="P415" s="75" t="s">
        <v>15</v>
      </c>
      <c r="Q415" s="117"/>
      <c r="R415" s="407"/>
      <c r="S415" s="40"/>
      <c r="T415" s="301"/>
    </row>
    <row r="416" spans="1:20" ht="15.75" customHeight="1" x14ac:dyDescent="0.3">
      <c r="A416" s="104"/>
      <c r="B416" s="104"/>
      <c r="C416" s="130">
        <f t="shared" ca="1" si="17"/>
        <v>385</v>
      </c>
      <c r="D416" s="181" t="s">
        <v>1404</v>
      </c>
      <c r="E416" s="306" t="s">
        <v>200</v>
      </c>
      <c r="F416" s="158" t="s">
        <v>207</v>
      </c>
      <c r="G416" s="163"/>
      <c r="H416" s="153" t="s">
        <v>207</v>
      </c>
      <c r="I416" s="164" t="s">
        <v>1405</v>
      </c>
      <c r="J416" s="75" t="s">
        <v>15</v>
      </c>
      <c r="K416" s="407">
        <v>46062</v>
      </c>
      <c r="L416" s="40" t="s">
        <v>4</v>
      </c>
      <c r="M416" s="40" t="s">
        <v>208</v>
      </c>
      <c r="N416" s="40"/>
      <c r="O416" s="349" t="s">
        <v>1406</v>
      </c>
      <c r="P416" s="75" t="s">
        <v>15</v>
      </c>
      <c r="Q416" s="117"/>
      <c r="R416" s="407"/>
      <c r="S416" s="40"/>
      <c r="T416" s="301"/>
    </row>
    <row r="417" spans="1:20" ht="15.75" customHeight="1" x14ac:dyDescent="0.3">
      <c r="A417" s="104"/>
      <c r="B417" s="104"/>
      <c r="C417" s="130">
        <f t="shared" ca="1" si="17"/>
        <v>386</v>
      </c>
      <c r="D417" s="181" t="s">
        <v>1407</v>
      </c>
      <c r="E417" s="672" t="s">
        <v>758</v>
      </c>
      <c r="F417" s="171"/>
      <c r="G417" s="152" t="s">
        <v>713</v>
      </c>
      <c r="H417" s="152" t="s">
        <v>714</v>
      </c>
      <c r="I417" s="152" t="s">
        <v>976</v>
      </c>
      <c r="J417" s="75" t="s">
        <v>15</v>
      </c>
      <c r="K417" s="407">
        <v>46062</v>
      </c>
      <c r="L417" s="40" t="s">
        <v>4</v>
      </c>
      <c r="M417" s="40" t="s">
        <v>208</v>
      </c>
      <c r="N417" s="40"/>
      <c r="O417" s="349" t="s">
        <v>1408</v>
      </c>
      <c r="P417" s="75" t="s">
        <v>15</v>
      </c>
      <c r="Q417" s="117"/>
      <c r="R417" s="407"/>
      <c r="S417" s="40"/>
      <c r="T417" s="301"/>
    </row>
    <row r="418" spans="1:20" ht="15.75" customHeight="1" x14ac:dyDescent="0.3">
      <c r="A418" s="104"/>
      <c r="B418" s="104"/>
      <c r="C418" s="130">
        <f t="shared" ca="1" si="17"/>
        <v>387</v>
      </c>
      <c r="D418" s="401"/>
      <c r="E418" s="635"/>
      <c r="F418" s="171"/>
      <c r="G418" s="152" t="s">
        <v>717</v>
      </c>
      <c r="H418" s="152" t="s">
        <v>718</v>
      </c>
      <c r="I418" s="152" t="s">
        <v>1409</v>
      </c>
      <c r="J418" s="75" t="s">
        <v>15</v>
      </c>
      <c r="K418" s="407">
        <v>46062</v>
      </c>
      <c r="L418" s="40" t="s">
        <v>4</v>
      </c>
      <c r="M418" s="40" t="s">
        <v>208</v>
      </c>
      <c r="N418" s="40"/>
      <c r="O418" s="349" t="s">
        <v>1410</v>
      </c>
      <c r="P418" s="75" t="s">
        <v>15</v>
      </c>
      <c r="Q418" s="117"/>
      <c r="R418" s="407"/>
      <c r="S418" s="40"/>
      <c r="T418" s="301"/>
    </row>
    <row r="419" spans="1:20" ht="55.5" customHeight="1" x14ac:dyDescent="0.3">
      <c r="A419" s="104"/>
      <c r="B419" s="104"/>
      <c r="C419" s="130">
        <f t="shared" ca="1" si="17"/>
        <v>388</v>
      </c>
      <c r="D419" s="181" t="s">
        <v>421</v>
      </c>
      <c r="E419" s="333" t="s">
        <v>198</v>
      </c>
      <c r="F419" s="152" t="s">
        <v>226</v>
      </c>
      <c r="G419" s="163"/>
      <c r="H419" s="152" t="s">
        <v>219</v>
      </c>
      <c r="I419" s="156" t="s">
        <v>1411</v>
      </c>
      <c r="J419" s="75" t="s">
        <v>15</v>
      </c>
      <c r="K419" s="407">
        <v>46063</v>
      </c>
      <c r="L419" s="40" t="s">
        <v>4</v>
      </c>
      <c r="M419" s="40"/>
      <c r="N419" s="40" t="s">
        <v>208</v>
      </c>
      <c r="O419" s="356"/>
      <c r="P419" s="75" t="s">
        <v>15</v>
      </c>
      <c r="Q419" s="117"/>
      <c r="R419" s="407"/>
      <c r="S419" s="40"/>
      <c r="T419" s="301"/>
    </row>
    <row r="420" spans="1:20" ht="84.75" customHeight="1" x14ac:dyDescent="0.3">
      <c r="A420" s="104"/>
      <c r="B420" s="104"/>
      <c r="C420" s="130">
        <f t="shared" ca="1" si="17"/>
        <v>389</v>
      </c>
      <c r="D420" s="181" t="s">
        <v>1412</v>
      </c>
      <c r="E420" s="306" t="s">
        <v>200</v>
      </c>
      <c r="F420" s="158" t="s">
        <v>207</v>
      </c>
      <c r="G420" s="163"/>
      <c r="H420" s="153" t="s">
        <v>207</v>
      </c>
      <c r="I420" s="164" t="s">
        <v>1413</v>
      </c>
      <c r="J420" s="75" t="s">
        <v>15</v>
      </c>
      <c r="K420" s="407">
        <v>46062</v>
      </c>
      <c r="L420" s="40" t="s">
        <v>4</v>
      </c>
      <c r="M420" s="40" t="s">
        <v>208</v>
      </c>
      <c r="N420" s="40"/>
      <c r="O420" s="349" t="s">
        <v>1414</v>
      </c>
      <c r="P420" s="75" t="s">
        <v>15</v>
      </c>
      <c r="Q420" s="117"/>
      <c r="R420" s="407"/>
      <c r="S420" s="40"/>
      <c r="T420" s="301"/>
    </row>
    <row r="421" spans="1:20" ht="15.75" customHeight="1" x14ac:dyDescent="0.3">
      <c r="A421" s="104"/>
      <c r="B421" s="104"/>
      <c r="C421" s="130">
        <f t="shared" ca="1" si="17"/>
        <v>390</v>
      </c>
      <c r="D421" s="181" t="s">
        <v>1415</v>
      </c>
      <c r="E421" s="672" t="s">
        <v>758</v>
      </c>
      <c r="F421" s="171"/>
      <c r="G421" s="152" t="s">
        <v>713</v>
      </c>
      <c r="H421" s="152" t="s">
        <v>714</v>
      </c>
      <c r="I421" s="152" t="s">
        <v>976</v>
      </c>
      <c r="J421" s="75" t="s">
        <v>15</v>
      </c>
      <c r="K421" s="407">
        <v>46062</v>
      </c>
      <c r="L421" s="40" t="s">
        <v>4</v>
      </c>
      <c r="M421" s="40" t="s">
        <v>208</v>
      </c>
      <c r="N421" s="40"/>
      <c r="O421" s="349" t="s">
        <v>1416</v>
      </c>
      <c r="P421" s="75" t="s">
        <v>15</v>
      </c>
      <c r="Q421" s="117"/>
      <c r="R421" s="407"/>
      <c r="S421" s="40"/>
      <c r="T421" s="301"/>
    </row>
    <row r="422" spans="1:20" ht="15.75" customHeight="1" x14ac:dyDescent="0.3">
      <c r="A422" s="104"/>
      <c r="B422" s="104"/>
      <c r="C422" s="130">
        <f t="shared" ca="1" si="17"/>
        <v>391</v>
      </c>
      <c r="D422" s="401"/>
      <c r="E422" s="635"/>
      <c r="F422" s="171"/>
      <c r="G422" s="152" t="s">
        <v>717</v>
      </c>
      <c r="H422" s="152" t="s">
        <v>718</v>
      </c>
      <c r="I422" s="152" t="s">
        <v>1417</v>
      </c>
      <c r="J422" s="75" t="s">
        <v>15</v>
      </c>
      <c r="K422" s="407">
        <v>46062</v>
      </c>
      <c r="L422" s="40" t="s">
        <v>4</v>
      </c>
      <c r="M422" s="40" t="s">
        <v>208</v>
      </c>
      <c r="N422" s="40"/>
      <c r="O422" s="349" t="s">
        <v>1418</v>
      </c>
      <c r="P422" s="75" t="s">
        <v>15</v>
      </c>
      <c r="Q422" s="117"/>
      <c r="R422" s="407"/>
      <c r="S422" s="40"/>
      <c r="T422" s="301"/>
    </row>
    <row r="423" spans="1:20" ht="15.75" customHeight="1" x14ac:dyDescent="0.3">
      <c r="A423" s="104"/>
      <c r="B423" s="104"/>
      <c r="C423" s="130">
        <f t="shared" ca="1" si="17"/>
        <v>392</v>
      </c>
      <c r="D423" s="376" t="s">
        <v>422</v>
      </c>
      <c r="E423" s="488" t="s">
        <v>198</v>
      </c>
      <c r="F423" s="361" t="s">
        <v>226</v>
      </c>
      <c r="G423" s="489"/>
      <c r="H423" s="361" t="s">
        <v>219</v>
      </c>
      <c r="I423" s="443" t="s">
        <v>1419</v>
      </c>
      <c r="J423" s="75" t="s">
        <v>15</v>
      </c>
      <c r="K423" s="407">
        <v>46100</v>
      </c>
      <c r="L423" s="40" t="s">
        <v>4</v>
      </c>
      <c r="M423" s="40"/>
      <c r="N423" s="40" t="s">
        <v>208</v>
      </c>
      <c r="O423" s="356"/>
      <c r="P423" s="75" t="s">
        <v>15</v>
      </c>
      <c r="Q423" s="117"/>
      <c r="R423" s="407"/>
      <c r="S423" s="40"/>
      <c r="T423" s="301"/>
    </row>
    <row r="424" spans="1:20" ht="15.75" customHeight="1" x14ac:dyDescent="0.3">
      <c r="A424" s="104"/>
      <c r="B424" s="104"/>
      <c r="C424" s="130">
        <f t="shared" ca="1" si="17"/>
        <v>393</v>
      </c>
      <c r="D424" s="490" t="s">
        <v>1420</v>
      </c>
      <c r="E424" s="491" t="s">
        <v>200</v>
      </c>
      <c r="F424" s="492" t="s">
        <v>207</v>
      </c>
      <c r="G424" s="493"/>
      <c r="H424" s="494" t="s">
        <v>207</v>
      </c>
      <c r="I424" s="495" t="s">
        <v>1421</v>
      </c>
      <c r="J424" s="75"/>
      <c r="K424" s="407"/>
      <c r="L424" s="40"/>
      <c r="M424" s="40"/>
      <c r="N424" s="40"/>
      <c r="O424" s="356"/>
      <c r="P424" s="75"/>
      <c r="Q424" s="117"/>
      <c r="R424" s="407"/>
      <c r="S424" s="40"/>
      <c r="T424" s="301"/>
    </row>
    <row r="425" spans="1:20" ht="15.75" customHeight="1" x14ac:dyDescent="0.3">
      <c r="A425" s="104"/>
      <c r="B425" s="104"/>
      <c r="C425" s="130">
        <f t="shared" ca="1" si="17"/>
        <v>394</v>
      </c>
      <c r="D425" s="490" t="s">
        <v>1422</v>
      </c>
      <c r="E425" s="681" t="s">
        <v>758</v>
      </c>
      <c r="F425" s="496"/>
      <c r="G425" s="497" t="s">
        <v>713</v>
      </c>
      <c r="H425" s="497" t="s">
        <v>714</v>
      </c>
      <c r="I425" s="497" t="s">
        <v>976</v>
      </c>
      <c r="J425" s="75"/>
      <c r="K425" s="407"/>
      <c r="L425" s="40"/>
      <c r="M425" s="40"/>
      <c r="N425" s="40"/>
      <c r="O425" s="356"/>
      <c r="P425" s="75"/>
      <c r="Q425" s="117"/>
      <c r="R425" s="407"/>
      <c r="S425" s="40"/>
      <c r="T425" s="301"/>
    </row>
    <row r="426" spans="1:20" ht="15.75" customHeight="1" x14ac:dyDescent="0.3">
      <c r="A426" s="104"/>
      <c r="B426" s="104"/>
      <c r="C426" s="130">
        <f t="shared" ca="1" si="17"/>
        <v>395</v>
      </c>
      <c r="D426" s="498"/>
      <c r="E426" s="635"/>
      <c r="F426" s="496"/>
      <c r="G426" s="497" t="s">
        <v>717</v>
      </c>
      <c r="H426" s="497" t="s">
        <v>718</v>
      </c>
      <c r="I426" s="497" t="s">
        <v>1423</v>
      </c>
      <c r="J426" s="75"/>
      <c r="K426" s="407"/>
      <c r="L426" s="40"/>
      <c r="M426" s="40"/>
      <c r="N426" s="40"/>
      <c r="O426" s="356"/>
      <c r="P426" s="75"/>
      <c r="Q426" s="117"/>
      <c r="R426" s="407"/>
      <c r="S426" s="40"/>
      <c r="T426" s="301"/>
    </row>
    <row r="427" spans="1:20" ht="15.75" customHeight="1" x14ac:dyDescent="0.3">
      <c r="A427" s="104"/>
      <c r="B427" s="104"/>
      <c r="C427" s="130">
        <f t="shared" ca="1" si="17"/>
        <v>396</v>
      </c>
      <c r="D427" s="181" t="s">
        <v>424</v>
      </c>
      <c r="E427" s="333" t="s">
        <v>198</v>
      </c>
      <c r="F427" s="152" t="s">
        <v>226</v>
      </c>
      <c r="G427" s="163"/>
      <c r="H427" s="152" t="s">
        <v>219</v>
      </c>
      <c r="I427" s="156" t="s">
        <v>1424</v>
      </c>
      <c r="J427" s="75" t="s">
        <v>15</v>
      </c>
      <c r="K427" s="407">
        <v>46063</v>
      </c>
      <c r="L427" s="40" t="s">
        <v>4</v>
      </c>
      <c r="M427" s="40"/>
      <c r="N427" s="40" t="s">
        <v>208</v>
      </c>
      <c r="O427" s="356"/>
      <c r="P427" s="75" t="s">
        <v>15</v>
      </c>
      <c r="Q427" s="117"/>
      <c r="R427" s="407"/>
      <c r="S427" s="40"/>
      <c r="T427" s="301"/>
    </row>
    <row r="428" spans="1:20" ht="15.75" customHeight="1" x14ac:dyDescent="0.3">
      <c r="A428" s="104"/>
      <c r="B428" s="104"/>
      <c r="C428" s="130">
        <f t="shared" ca="1" si="17"/>
        <v>397</v>
      </c>
      <c r="D428" s="181" t="s">
        <v>1425</v>
      </c>
      <c r="E428" s="306" t="s">
        <v>200</v>
      </c>
      <c r="F428" s="158" t="s">
        <v>207</v>
      </c>
      <c r="G428" s="163"/>
      <c r="H428" s="153" t="s">
        <v>207</v>
      </c>
      <c r="I428" s="164" t="s">
        <v>1426</v>
      </c>
      <c r="J428" s="75" t="s">
        <v>15</v>
      </c>
      <c r="K428" s="407">
        <v>46062</v>
      </c>
      <c r="L428" s="40" t="s">
        <v>4</v>
      </c>
      <c r="M428" s="40" t="s">
        <v>208</v>
      </c>
      <c r="N428" s="40"/>
      <c r="O428" s="349" t="s">
        <v>1427</v>
      </c>
      <c r="P428" s="75" t="s">
        <v>15</v>
      </c>
      <c r="Q428" s="117"/>
      <c r="R428" s="407"/>
      <c r="S428" s="40"/>
      <c r="T428" s="301"/>
    </row>
    <row r="429" spans="1:20" ht="15.75" customHeight="1" x14ac:dyDescent="0.3">
      <c r="A429" s="104"/>
      <c r="B429" s="104"/>
      <c r="C429" s="130">
        <f t="shared" ca="1" si="17"/>
        <v>398</v>
      </c>
      <c r="D429" s="181" t="s">
        <v>1428</v>
      </c>
      <c r="E429" s="672" t="s">
        <v>758</v>
      </c>
      <c r="F429" s="171"/>
      <c r="G429" s="152" t="s">
        <v>713</v>
      </c>
      <c r="H429" s="152" t="s">
        <v>714</v>
      </c>
      <c r="I429" s="152" t="s">
        <v>976</v>
      </c>
      <c r="J429" s="75" t="s">
        <v>15</v>
      </c>
      <c r="K429" s="407">
        <v>46062</v>
      </c>
      <c r="L429" s="40" t="s">
        <v>4</v>
      </c>
      <c r="M429" s="40" t="s">
        <v>208</v>
      </c>
      <c r="N429" s="40"/>
      <c r="O429" s="349" t="s">
        <v>1429</v>
      </c>
      <c r="P429" s="75" t="s">
        <v>15</v>
      </c>
      <c r="Q429" s="117"/>
      <c r="R429" s="407"/>
      <c r="S429" s="40"/>
      <c r="T429" s="301"/>
    </row>
    <row r="430" spans="1:20" ht="15.75" customHeight="1" x14ac:dyDescent="0.3">
      <c r="A430" s="104"/>
      <c r="B430" s="104"/>
      <c r="C430" s="130">
        <f t="shared" ca="1" si="17"/>
        <v>399</v>
      </c>
      <c r="D430" s="401"/>
      <c r="E430" s="635"/>
      <c r="F430" s="171"/>
      <c r="G430" s="152" t="s">
        <v>717</v>
      </c>
      <c r="H430" s="152" t="s">
        <v>718</v>
      </c>
      <c r="I430" s="152" t="s">
        <v>1430</v>
      </c>
      <c r="J430" s="75" t="s">
        <v>15</v>
      </c>
      <c r="K430" s="407">
        <v>46062</v>
      </c>
      <c r="L430" s="40" t="s">
        <v>4</v>
      </c>
      <c r="M430" s="40" t="s">
        <v>208</v>
      </c>
      <c r="N430" s="40"/>
      <c r="O430" s="349" t="s">
        <v>1431</v>
      </c>
      <c r="P430" s="75" t="s">
        <v>15</v>
      </c>
      <c r="Q430" s="117"/>
      <c r="R430" s="407"/>
      <c r="S430" s="40"/>
      <c r="T430" s="301"/>
    </row>
    <row r="431" spans="1:20" ht="15.75" customHeight="1" x14ac:dyDescent="0.3">
      <c r="A431" s="104"/>
      <c r="B431" s="104"/>
      <c r="C431" s="130">
        <f t="shared" ca="1" si="17"/>
        <v>400</v>
      </c>
      <c r="D431" s="181" t="s">
        <v>425</v>
      </c>
      <c r="E431" s="333" t="s">
        <v>198</v>
      </c>
      <c r="F431" s="152" t="s">
        <v>226</v>
      </c>
      <c r="G431" s="163"/>
      <c r="H431" s="152" t="s">
        <v>219</v>
      </c>
      <c r="I431" s="156" t="s">
        <v>1432</v>
      </c>
      <c r="J431" s="75" t="s">
        <v>15</v>
      </c>
      <c r="K431" s="407">
        <v>46063</v>
      </c>
      <c r="L431" s="40" t="s">
        <v>4</v>
      </c>
      <c r="M431" s="40"/>
      <c r="N431" s="40" t="s">
        <v>208</v>
      </c>
      <c r="O431" s="356"/>
      <c r="P431" s="75" t="s">
        <v>15</v>
      </c>
      <c r="Q431" s="117"/>
      <c r="R431" s="407"/>
      <c r="S431" s="40"/>
      <c r="T431" s="301"/>
    </row>
    <row r="432" spans="1:20" ht="15.75" customHeight="1" x14ac:dyDescent="0.3">
      <c r="A432" s="104"/>
      <c r="B432" s="104"/>
      <c r="C432" s="130">
        <f t="shared" ca="1" si="17"/>
        <v>401</v>
      </c>
      <c r="D432" s="181" t="s">
        <v>1433</v>
      </c>
      <c r="E432" s="306" t="s">
        <v>200</v>
      </c>
      <c r="F432" s="158" t="s">
        <v>207</v>
      </c>
      <c r="G432" s="163"/>
      <c r="H432" s="153" t="s">
        <v>207</v>
      </c>
      <c r="I432" s="164" t="s">
        <v>1434</v>
      </c>
      <c r="J432" s="75" t="s">
        <v>15</v>
      </c>
      <c r="K432" s="407">
        <v>46062</v>
      </c>
      <c r="L432" s="40" t="s">
        <v>4</v>
      </c>
      <c r="M432" s="40" t="s">
        <v>208</v>
      </c>
      <c r="N432" s="40"/>
      <c r="O432" s="349" t="s">
        <v>1435</v>
      </c>
      <c r="P432" s="75" t="s">
        <v>15</v>
      </c>
      <c r="Q432" s="117"/>
      <c r="R432" s="407"/>
      <c r="S432" s="40"/>
      <c r="T432" s="301"/>
    </row>
    <row r="433" spans="1:20" ht="15.75" customHeight="1" x14ac:dyDescent="0.3">
      <c r="A433" s="104"/>
      <c r="B433" s="104"/>
      <c r="C433" s="130">
        <f t="shared" ca="1" si="17"/>
        <v>402</v>
      </c>
      <c r="D433" s="181" t="s">
        <v>1436</v>
      </c>
      <c r="E433" s="672" t="s">
        <v>758</v>
      </c>
      <c r="F433" s="171"/>
      <c r="G433" s="152" t="s">
        <v>713</v>
      </c>
      <c r="H433" s="152" t="s">
        <v>714</v>
      </c>
      <c r="I433" s="152" t="s">
        <v>976</v>
      </c>
      <c r="J433" s="75" t="s">
        <v>15</v>
      </c>
      <c r="K433" s="407">
        <v>46062</v>
      </c>
      <c r="L433" s="40" t="s">
        <v>4</v>
      </c>
      <c r="M433" s="40" t="s">
        <v>208</v>
      </c>
      <c r="N433" s="40"/>
      <c r="O433" s="349" t="s">
        <v>1437</v>
      </c>
      <c r="P433" s="75" t="s">
        <v>15</v>
      </c>
      <c r="Q433" s="117"/>
      <c r="R433" s="407"/>
      <c r="S433" s="40"/>
      <c r="T433" s="301"/>
    </row>
    <row r="434" spans="1:20" ht="15.75" customHeight="1" x14ac:dyDescent="0.3">
      <c r="A434" s="104"/>
      <c r="B434" s="104"/>
      <c r="C434" s="130">
        <f t="shared" ca="1" si="17"/>
        <v>403</v>
      </c>
      <c r="D434" s="401"/>
      <c r="E434" s="635"/>
      <c r="F434" s="171"/>
      <c r="G434" s="152" t="s">
        <v>717</v>
      </c>
      <c r="H434" s="152" t="s">
        <v>718</v>
      </c>
      <c r="I434" s="152" t="s">
        <v>1438</v>
      </c>
      <c r="J434" s="75" t="s">
        <v>15</v>
      </c>
      <c r="K434" s="407">
        <v>46062</v>
      </c>
      <c r="L434" s="40" t="s">
        <v>4</v>
      </c>
      <c r="M434" s="40" t="s">
        <v>208</v>
      </c>
      <c r="N434" s="40"/>
      <c r="O434" s="349" t="s">
        <v>1439</v>
      </c>
      <c r="P434" s="75" t="s">
        <v>15</v>
      </c>
      <c r="Q434" s="117"/>
      <c r="R434" s="407"/>
      <c r="S434" s="40"/>
      <c r="T434" s="301"/>
    </row>
    <row r="435" spans="1:20" ht="15.75" customHeight="1" x14ac:dyDescent="0.3">
      <c r="A435" s="104"/>
      <c r="B435" s="104"/>
      <c r="C435" s="130">
        <f t="shared" ca="1" si="17"/>
        <v>404</v>
      </c>
      <c r="D435" s="181" t="s">
        <v>1440</v>
      </c>
      <c r="E435" s="333" t="s">
        <v>198</v>
      </c>
      <c r="F435" s="152" t="s">
        <v>226</v>
      </c>
      <c r="G435" s="163"/>
      <c r="H435" s="152" t="s">
        <v>219</v>
      </c>
      <c r="I435" s="156" t="s">
        <v>1441</v>
      </c>
      <c r="J435" s="75" t="s">
        <v>15</v>
      </c>
      <c r="K435" s="407">
        <v>46063</v>
      </c>
      <c r="L435" s="40" t="s">
        <v>4</v>
      </c>
      <c r="M435" s="40"/>
      <c r="N435" s="40" t="s">
        <v>208</v>
      </c>
      <c r="O435" s="356"/>
      <c r="P435" s="75" t="s">
        <v>15</v>
      </c>
      <c r="Q435" s="117"/>
      <c r="R435" s="407"/>
      <c r="S435" s="40"/>
      <c r="T435" s="301"/>
    </row>
    <row r="436" spans="1:20" ht="15.75" customHeight="1" x14ac:dyDescent="0.3">
      <c r="A436" s="104"/>
      <c r="B436" s="104"/>
      <c r="C436" s="130">
        <f t="shared" ca="1" si="17"/>
        <v>405</v>
      </c>
      <c r="D436" s="181" t="s">
        <v>1442</v>
      </c>
      <c r="E436" s="306" t="s">
        <v>200</v>
      </c>
      <c r="F436" s="158" t="s">
        <v>207</v>
      </c>
      <c r="G436" s="163"/>
      <c r="H436" s="153" t="s">
        <v>207</v>
      </c>
      <c r="I436" s="164" t="s">
        <v>1443</v>
      </c>
      <c r="J436" s="75" t="s">
        <v>15</v>
      </c>
      <c r="K436" s="407">
        <v>46062</v>
      </c>
      <c r="L436" s="40" t="s">
        <v>4</v>
      </c>
      <c r="M436" s="40" t="s">
        <v>208</v>
      </c>
      <c r="N436" s="40"/>
      <c r="O436" s="349" t="s">
        <v>1444</v>
      </c>
      <c r="P436" s="75" t="s">
        <v>15</v>
      </c>
      <c r="Q436" s="117"/>
      <c r="R436" s="407"/>
      <c r="S436" s="40"/>
      <c r="T436" s="301"/>
    </row>
    <row r="437" spans="1:20" ht="15.75" customHeight="1" x14ac:dyDescent="0.3">
      <c r="A437" s="104"/>
      <c r="B437" s="104"/>
      <c r="C437" s="130">
        <f t="shared" ca="1" si="17"/>
        <v>406</v>
      </c>
      <c r="D437" s="181" t="s">
        <v>1445</v>
      </c>
      <c r="E437" s="672" t="s">
        <v>758</v>
      </c>
      <c r="F437" s="171"/>
      <c r="G437" s="152" t="s">
        <v>713</v>
      </c>
      <c r="H437" s="152" t="s">
        <v>1446</v>
      </c>
      <c r="I437" s="152" t="s">
        <v>976</v>
      </c>
      <c r="J437" s="75" t="s">
        <v>15</v>
      </c>
      <c r="K437" s="407">
        <v>46062</v>
      </c>
      <c r="L437" s="40" t="s">
        <v>4</v>
      </c>
      <c r="M437" s="40" t="s">
        <v>208</v>
      </c>
      <c r="N437" s="40"/>
      <c r="O437" s="349" t="s">
        <v>1447</v>
      </c>
      <c r="P437" s="75" t="s">
        <v>15</v>
      </c>
      <c r="Q437" s="117"/>
      <c r="R437" s="407"/>
      <c r="S437" s="40"/>
      <c r="T437" s="301"/>
    </row>
    <row r="438" spans="1:20" ht="15.75" customHeight="1" x14ac:dyDescent="0.3">
      <c r="A438" s="104"/>
      <c r="B438" s="104"/>
      <c r="C438" s="130">
        <f t="shared" ca="1" si="17"/>
        <v>407</v>
      </c>
      <c r="D438" s="401"/>
      <c r="E438" s="635"/>
      <c r="F438" s="171"/>
      <c r="G438" s="152" t="s">
        <v>717</v>
      </c>
      <c r="H438" s="152" t="s">
        <v>718</v>
      </c>
      <c r="I438" s="152" t="s">
        <v>1448</v>
      </c>
      <c r="J438" s="75" t="s">
        <v>15</v>
      </c>
      <c r="K438" s="407">
        <v>46062</v>
      </c>
      <c r="L438" s="40" t="s">
        <v>4</v>
      </c>
      <c r="M438" s="40" t="s">
        <v>208</v>
      </c>
      <c r="N438" s="40"/>
      <c r="O438" s="349" t="s">
        <v>1449</v>
      </c>
      <c r="P438" s="75" t="s">
        <v>15</v>
      </c>
      <c r="Q438" s="117"/>
      <c r="R438" s="407"/>
      <c r="S438" s="40"/>
      <c r="T438" s="301"/>
    </row>
    <row r="439" spans="1:20" ht="15.75" customHeight="1" x14ac:dyDescent="0.3">
      <c r="A439" s="104"/>
      <c r="B439" s="104"/>
      <c r="C439" s="130">
        <f t="shared" ca="1" si="17"/>
        <v>408</v>
      </c>
      <c r="D439" s="181" t="s">
        <v>417</v>
      </c>
      <c r="E439" s="333" t="s">
        <v>198</v>
      </c>
      <c r="F439" s="152" t="s">
        <v>226</v>
      </c>
      <c r="G439" s="163"/>
      <c r="H439" s="152" t="s">
        <v>219</v>
      </c>
      <c r="I439" s="156" t="s">
        <v>1450</v>
      </c>
      <c r="J439" s="75" t="s">
        <v>15</v>
      </c>
      <c r="K439" s="407">
        <v>46063</v>
      </c>
      <c r="L439" s="40" t="s">
        <v>4</v>
      </c>
      <c r="M439" s="40"/>
      <c r="N439" s="40" t="s">
        <v>208</v>
      </c>
      <c r="O439" s="356"/>
      <c r="P439" s="75" t="s">
        <v>15</v>
      </c>
      <c r="Q439" s="117"/>
      <c r="R439" s="465"/>
      <c r="S439" s="40"/>
      <c r="T439" s="301"/>
    </row>
    <row r="440" spans="1:20" ht="15.75" customHeight="1" x14ac:dyDescent="0.3">
      <c r="A440" s="104"/>
      <c r="B440" s="104"/>
      <c r="C440" s="130">
        <f t="shared" ca="1" si="17"/>
        <v>409</v>
      </c>
      <c r="D440" s="181"/>
      <c r="E440" s="306" t="s">
        <v>200</v>
      </c>
      <c r="F440" s="158" t="s">
        <v>207</v>
      </c>
      <c r="G440" s="176"/>
      <c r="H440" s="153" t="s">
        <v>207</v>
      </c>
      <c r="I440" s="164" t="s">
        <v>1451</v>
      </c>
      <c r="J440" s="75" t="s">
        <v>15</v>
      </c>
      <c r="K440" s="407">
        <v>46063</v>
      </c>
      <c r="L440" s="40" t="s">
        <v>4</v>
      </c>
      <c r="M440" s="40"/>
      <c r="N440" s="40" t="s">
        <v>208</v>
      </c>
      <c r="O440" s="356"/>
      <c r="P440" s="75" t="s">
        <v>15</v>
      </c>
      <c r="Q440" s="117"/>
      <c r="R440" s="465"/>
      <c r="S440" s="40"/>
      <c r="T440" s="301"/>
    </row>
    <row r="441" spans="1:20" ht="15.75" customHeight="1" x14ac:dyDescent="0.3">
      <c r="A441" s="104"/>
      <c r="B441" s="104"/>
      <c r="C441" s="130">
        <f t="shared" ca="1" si="17"/>
        <v>410</v>
      </c>
      <c r="D441" s="181"/>
      <c r="E441" s="450" t="s">
        <v>200</v>
      </c>
      <c r="F441" s="158"/>
      <c r="G441" s="152"/>
      <c r="H441" s="152" t="s">
        <v>1223</v>
      </c>
      <c r="I441" s="164" t="s">
        <v>1132</v>
      </c>
      <c r="J441" s="75" t="s">
        <v>15</v>
      </c>
      <c r="K441" s="407">
        <v>46062</v>
      </c>
      <c r="L441" s="40" t="s">
        <v>4</v>
      </c>
      <c r="M441" s="40" t="s">
        <v>208</v>
      </c>
      <c r="N441" s="40"/>
      <c r="O441" s="349" t="s">
        <v>1452</v>
      </c>
      <c r="P441" s="75" t="s">
        <v>15</v>
      </c>
      <c r="Q441" s="117"/>
      <c r="R441" s="465"/>
      <c r="S441" s="40"/>
      <c r="T441" s="301"/>
    </row>
    <row r="442" spans="1:20" ht="15.75" customHeight="1" x14ac:dyDescent="0.3">
      <c r="A442" s="104"/>
      <c r="B442" s="104"/>
      <c r="C442" s="130">
        <f t="shared" ca="1" si="17"/>
        <v>411</v>
      </c>
      <c r="D442" s="181"/>
      <c r="E442" s="450"/>
      <c r="F442" s="158"/>
      <c r="G442" s="163"/>
      <c r="H442" s="152" t="s">
        <v>1135</v>
      </c>
      <c r="I442" s="164" t="s">
        <v>1453</v>
      </c>
      <c r="J442" s="75" t="s">
        <v>15</v>
      </c>
      <c r="K442" s="407">
        <v>46062</v>
      </c>
      <c r="L442" s="40" t="s">
        <v>4</v>
      </c>
      <c r="M442" s="40" t="s">
        <v>208</v>
      </c>
      <c r="N442" s="40"/>
      <c r="O442" s="349" t="s">
        <v>1454</v>
      </c>
      <c r="P442" s="75" t="s">
        <v>15</v>
      </c>
      <c r="Q442" s="117"/>
      <c r="R442" s="407"/>
      <c r="S442" s="40"/>
      <c r="T442" s="301"/>
    </row>
    <row r="443" spans="1:20" ht="15.75" customHeight="1" x14ac:dyDescent="0.3">
      <c r="A443" s="104"/>
      <c r="B443" s="104"/>
      <c r="C443" s="130">
        <f t="shared" ca="1" si="17"/>
        <v>412</v>
      </c>
      <c r="D443" s="181" t="s">
        <v>1455</v>
      </c>
      <c r="E443" s="333" t="s">
        <v>198</v>
      </c>
      <c r="F443" s="152" t="s">
        <v>226</v>
      </c>
      <c r="G443" s="163"/>
      <c r="H443" s="152" t="s">
        <v>219</v>
      </c>
      <c r="I443" s="156" t="s">
        <v>1456</v>
      </c>
      <c r="J443" s="75" t="s">
        <v>15</v>
      </c>
      <c r="K443" s="407">
        <v>46063</v>
      </c>
      <c r="L443" s="40" t="s">
        <v>4</v>
      </c>
      <c r="M443" s="40"/>
      <c r="N443" s="40" t="s">
        <v>208</v>
      </c>
      <c r="O443" s="356"/>
      <c r="P443" s="75" t="s">
        <v>15</v>
      </c>
      <c r="Q443" s="117"/>
      <c r="R443" s="465"/>
      <c r="S443" s="40"/>
      <c r="T443" s="301"/>
    </row>
    <row r="444" spans="1:20" ht="15.75" customHeight="1" x14ac:dyDescent="0.3">
      <c r="A444" s="104"/>
      <c r="B444" s="104"/>
      <c r="C444" s="130">
        <f t="shared" ca="1" si="17"/>
        <v>413</v>
      </c>
      <c r="D444" s="181"/>
      <c r="E444" s="306" t="s">
        <v>200</v>
      </c>
      <c r="F444" s="158" t="s">
        <v>207</v>
      </c>
      <c r="G444" s="176"/>
      <c r="H444" s="153" t="s">
        <v>207</v>
      </c>
      <c r="I444" s="164" t="s">
        <v>1457</v>
      </c>
      <c r="J444" s="75" t="s">
        <v>15</v>
      </c>
      <c r="K444" s="407">
        <v>46063</v>
      </c>
      <c r="L444" s="40" t="s">
        <v>4</v>
      </c>
      <c r="M444" s="40" t="s">
        <v>208</v>
      </c>
      <c r="N444" s="40"/>
      <c r="O444" s="349" t="s">
        <v>1458</v>
      </c>
      <c r="P444" s="75" t="s">
        <v>15</v>
      </c>
      <c r="Q444" s="117"/>
      <c r="R444" s="465"/>
      <c r="S444" s="40"/>
      <c r="T444" s="301"/>
    </row>
    <row r="445" spans="1:20" ht="15.75" customHeight="1" x14ac:dyDescent="0.3">
      <c r="A445" s="104"/>
      <c r="B445" s="104"/>
      <c r="C445" s="130">
        <f t="shared" ca="1" si="17"/>
        <v>414</v>
      </c>
      <c r="D445" s="181"/>
      <c r="E445" s="450" t="s">
        <v>200</v>
      </c>
      <c r="F445" s="158"/>
      <c r="G445" s="152"/>
      <c r="H445" s="152" t="s">
        <v>1223</v>
      </c>
      <c r="I445" s="164" t="s">
        <v>1132</v>
      </c>
      <c r="J445" s="75" t="s">
        <v>15</v>
      </c>
      <c r="K445" s="407">
        <v>46062</v>
      </c>
      <c r="L445" s="40" t="s">
        <v>4</v>
      </c>
      <c r="M445" s="40" t="s">
        <v>208</v>
      </c>
      <c r="N445" s="40"/>
      <c r="O445" s="349" t="s">
        <v>1459</v>
      </c>
      <c r="P445" s="75" t="s">
        <v>15</v>
      </c>
      <c r="Q445" s="117"/>
      <c r="R445" s="465"/>
      <c r="S445" s="40"/>
      <c r="T445" s="301"/>
    </row>
    <row r="446" spans="1:20" ht="15.75" customHeight="1" x14ac:dyDescent="0.3">
      <c r="A446" s="104"/>
      <c r="B446" s="104"/>
      <c r="C446" s="130">
        <f t="shared" ca="1" si="17"/>
        <v>415</v>
      </c>
      <c r="D446" s="181"/>
      <c r="E446" s="450"/>
      <c r="F446" s="158"/>
      <c r="G446" s="163"/>
      <c r="H446" s="152" t="s">
        <v>1135</v>
      </c>
      <c r="I446" s="164" t="s">
        <v>1460</v>
      </c>
      <c r="J446" s="75" t="s">
        <v>15</v>
      </c>
      <c r="K446" s="407">
        <v>46062</v>
      </c>
      <c r="L446" s="40" t="s">
        <v>4</v>
      </c>
      <c r="M446" s="40" t="s">
        <v>208</v>
      </c>
      <c r="N446" s="40"/>
      <c r="O446" s="349" t="s">
        <v>1461</v>
      </c>
      <c r="P446" s="75" t="s">
        <v>15</v>
      </c>
      <c r="Q446" s="117"/>
      <c r="R446" s="407"/>
      <c r="S446" s="40"/>
      <c r="T446" s="301"/>
    </row>
    <row r="447" spans="1:20" ht="15.75" customHeight="1" x14ac:dyDescent="0.3">
      <c r="A447" s="104"/>
      <c r="B447" s="104"/>
      <c r="C447" s="130">
        <f t="shared" ca="1" si="17"/>
        <v>416</v>
      </c>
      <c r="D447" s="181" t="s">
        <v>1462</v>
      </c>
      <c r="E447" s="333" t="s">
        <v>198</v>
      </c>
      <c r="F447" s="152" t="s">
        <v>226</v>
      </c>
      <c r="G447" s="163"/>
      <c r="H447" s="152" t="s">
        <v>219</v>
      </c>
      <c r="I447" s="156" t="s">
        <v>1463</v>
      </c>
      <c r="J447" s="75" t="s">
        <v>15</v>
      </c>
      <c r="K447" s="407">
        <v>46063</v>
      </c>
      <c r="L447" s="40" t="s">
        <v>4</v>
      </c>
      <c r="M447" s="40"/>
      <c r="N447" s="40" t="s">
        <v>208</v>
      </c>
      <c r="O447" s="356"/>
      <c r="P447" s="75" t="s">
        <v>15</v>
      </c>
      <c r="Q447" s="117"/>
      <c r="R447" s="465"/>
      <c r="S447" s="40"/>
      <c r="T447" s="301"/>
    </row>
    <row r="448" spans="1:20" ht="15.75" customHeight="1" x14ac:dyDescent="0.3">
      <c r="A448" s="104"/>
      <c r="B448" s="104"/>
      <c r="C448" s="130">
        <f t="shared" ca="1" si="17"/>
        <v>417</v>
      </c>
      <c r="D448" s="181"/>
      <c r="E448" s="306" t="s">
        <v>200</v>
      </c>
      <c r="F448" s="158" t="s">
        <v>207</v>
      </c>
      <c r="G448" s="176"/>
      <c r="H448" s="153" t="s">
        <v>207</v>
      </c>
      <c r="I448" s="164" t="s">
        <v>1464</v>
      </c>
      <c r="J448" s="75" t="s">
        <v>15</v>
      </c>
      <c r="K448" s="407">
        <v>46063</v>
      </c>
      <c r="L448" s="40" t="s">
        <v>4</v>
      </c>
      <c r="M448" s="40" t="s">
        <v>208</v>
      </c>
      <c r="N448" s="40"/>
      <c r="O448" s="349" t="s">
        <v>1465</v>
      </c>
      <c r="P448" s="75" t="s">
        <v>15</v>
      </c>
      <c r="Q448" s="117"/>
      <c r="R448" s="465"/>
      <c r="S448" s="40"/>
      <c r="T448" s="301"/>
    </row>
    <row r="449" spans="1:20" ht="15.75" customHeight="1" x14ac:dyDescent="0.3">
      <c r="A449" s="104"/>
      <c r="B449" s="104"/>
      <c r="C449" s="130">
        <f t="shared" ca="1" si="17"/>
        <v>418</v>
      </c>
      <c r="D449" s="181"/>
      <c r="E449" s="450" t="s">
        <v>200</v>
      </c>
      <c r="F449" s="158"/>
      <c r="G449" s="152"/>
      <c r="H449" s="152" t="s">
        <v>1466</v>
      </c>
      <c r="I449" s="164" t="s">
        <v>1132</v>
      </c>
      <c r="J449" s="75" t="s">
        <v>15</v>
      </c>
      <c r="K449" s="407">
        <v>46062</v>
      </c>
      <c r="L449" s="40" t="s">
        <v>4</v>
      </c>
      <c r="M449" s="40" t="s">
        <v>208</v>
      </c>
      <c r="N449" s="40"/>
      <c r="O449" s="349" t="s">
        <v>1467</v>
      </c>
      <c r="P449" s="75" t="s">
        <v>15</v>
      </c>
      <c r="Q449" s="117"/>
      <c r="R449" s="465"/>
      <c r="S449" s="40"/>
      <c r="T449" s="301"/>
    </row>
    <row r="450" spans="1:20" ht="191.25" customHeight="1" x14ac:dyDescent="0.3">
      <c r="A450" s="104"/>
      <c r="B450" s="104"/>
      <c r="C450" s="130">
        <f t="shared" ca="1" si="17"/>
        <v>419</v>
      </c>
      <c r="D450" s="181"/>
      <c r="E450" s="450"/>
      <c r="F450" s="158"/>
      <c r="G450" s="163"/>
      <c r="H450" s="152" t="s">
        <v>1135</v>
      </c>
      <c r="I450" s="164" t="s">
        <v>1468</v>
      </c>
      <c r="J450" s="75" t="s">
        <v>15</v>
      </c>
      <c r="K450" s="407">
        <v>46062</v>
      </c>
      <c r="L450" s="40" t="s">
        <v>4</v>
      </c>
      <c r="M450" s="40" t="s">
        <v>208</v>
      </c>
      <c r="N450" s="40"/>
      <c r="O450" s="349" t="s">
        <v>1469</v>
      </c>
      <c r="P450" s="75" t="s">
        <v>15</v>
      </c>
      <c r="Q450" s="117"/>
      <c r="R450" s="407"/>
      <c r="S450" s="40"/>
      <c r="T450" s="301"/>
    </row>
    <row r="451" spans="1:20" ht="15.75" customHeight="1" x14ac:dyDescent="0.3">
      <c r="A451" s="104"/>
      <c r="B451" s="104"/>
      <c r="C451" s="130">
        <f t="shared" ca="1" si="17"/>
        <v>420</v>
      </c>
      <c r="D451" s="478" t="s">
        <v>322</v>
      </c>
      <c r="E451" s="479" t="s">
        <v>198</v>
      </c>
      <c r="F451" s="480" t="s">
        <v>226</v>
      </c>
      <c r="G451" s="481"/>
      <c r="H451" s="480" t="s">
        <v>219</v>
      </c>
      <c r="I451" s="482" t="s">
        <v>1146</v>
      </c>
      <c r="J451" s="75"/>
      <c r="K451" s="407"/>
      <c r="L451" s="40"/>
      <c r="M451" s="40"/>
      <c r="N451" s="40"/>
      <c r="O451" s="356"/>
      <c r="P451" s="75"/>
      <c r="Q451" s="117"/>
      <c r="R451" s="465"/>
      <c r="S451" s="40"/>
      <c r="T451" s="301"/>
    </row>
    <row r="452" spans="1:20" ht="15.75" customHeight="1" x14ac:dyDescent="0.3">
      <c r="A452" s="104"/>
      <c r="B452" s="652" t="s">
        <v>201</v>
      </c>
      <c r="C452" s="602"/>
      <c r="D452" s="602"/>
      <c r="E452" s="602"/>
      <c r="F452" s="602"/>
      <c r="G452" s="602"/>
      <c r="H452" s="602"/>
      <c r="I452" s="602"/>
      <c r="J452" s="602"/>
      <c r="K452" s="602"/>
      <c r="L452" s="602"/>
      <c r="M452" s="602"/>
      <c r="N452" s="602"/>
      <c r="O452" s="602"/>
      <c r="P452" s="602"/>
      <c r="Q452" s="602"/>
      <c r="R452" s="602"/>
      <c r="S452" s="602"/>
      <c r="T452" s="602"/>
    </row>
    <row r="453" spans="1:20" ht="15.75" customHeight="1" x14ac:dyDescent="0.3">
      <c r="A453" s="341"/>
      <c r="B453" s="499"/>
      <c r="C453" s="500">
        <f t="shared" ref="C453:C464" ca="1" si="18">1+COUNT(INDIRECT("A1:"&amp;(ADDRESS(ROW()-1,COLUMN()))))</f>
        <v>421</v>
      </c>
      <c r="D453" s="501" t="s">
        <v>202</v>
      </c>
      <c r="E453" s="501"/>
      <c r="F453" s="502"/>
      <c r="G453" s="480" t="s">
        <v>221</v>
      </c>
      <c r="H453" s="503" t="s">
        <v>1470</v>
      </c>
      <c r="I453" s="503" t="s">
        <v>1471</v>
      </c>
      <c r="J453" s="504"/>
      <c r="K453" s="505"/>
      <c r="L453" s="406" t="s">
        <v>4</v>
      </c>
      <c r="M453" s="406"/>
      <c r="N453" s="406"/>
      <c r="O453" s="506"/>
      <c r="P453" s="504"/>
      <c r="Q453" s="507"/>
      <c r="R453" s="508"/>
      <c r="S453" s="406"/>
      <c r="T453" s="509"/>
    </row>
    <row r="454" spans="1:20" ht="15.75" customHeight="1" x14ac:dyDescent="0.3">
      <c r="A454" s="104"/>
      <c r="B454" s="190"/>
      <c r="C454" s="207">
        <f t="shared" ca="1" si="18"/>
        <v>422</v>
      </c>
      <c r="D454" s="299"/>
      <c r="E454" s="299"/>
      <c r="F454" s="176"/>
      <c r="G454" s="152" t="s">
        <v>221</v>
      </c>
      <c r="H454" s="133" t="s">
        <v>1472</v>
      </c>
      <c r="I454" s="133" t="s">
        <v>1473</v>
      </c>
      <c r="J454" s="75" t="s">
        <v>15</v>
      </c>
      <c r="K454" s="407">
        <v>46062</v>
      </c>
      <c r="L454" s="40" t="s">
        <v>4</v>
      </c>
      <c r="M454" s="40" t="s">
        <v>208</v>
      </c>
      <c r="N454" s="40"/>
      <c r="O454" s="349" t="s">
        <v>1474</v>
      </c>
      <c r="P454" s="75" t="s">
        <v>15</v>
      </c>
      <c r="Q454" s="117"/>
      <c r="R454" s="465"/>
      <c r="S454" s="40"/>
      <c r="T454" s="208"/>
    </row>
    <row r="455" spans="1:20" ht="15.75" customHeight="1" x14ac:dyDescent="0.3">
      <c r="A455" s="341"/>
      <c r="B455" s="499"/>
      <c r="C455" s="500">
        <f t="shared" ca="1" si="18"/>
        <v>423</v>
      </c>
      <c r="D455" s="510"/>
      <c r="E455" s="510"/>
      <c r="F455" s="502"/>
      <c r="G455" s="480" t="s">
        <v>221</v>
      </c>
      <c r="H455" s="503" t="s">
        <v>1475</v>
      </c>
      <c r="I455" s="503" t="s">
        <v>1476</v>
      </c>
      <c r="J455" s="504"/>
      <c r="K455" s="505">
        <v>46062</v>
      </c>
      <c r="L455" s="406" t="s">
        <v>4</v>
      </c>
      <c r="M455" s="406"/>
      <c r="N455" s="406"/>
      <c r="O455" s="506"/>
      <c r="P455" s="504"/>
      <c r="Q455" s="507"/>
      <c r="R455" s="508"/>
      <c r="S455" s="406"/>
      <c r="T455" s="509"/>
    </row>
    <row r="456" spans="1:20" ht="15.75" customHeight="1" x14ac:dyDescent="0.3">
      <c r="A456" s="104"/>
      <c r="B456" s="190"/>
      <c r="C456" s="207">
        <f t="shared" ca="1" si="18"/>
        <v>424</v>
      </c>
      <c r="D456" s="299"/>
      <c r="E456" s="299"/>
      <c r="F456" s="287"/>
      <c r="G456" s="152" t="s">
        <v>1477</v>
      </c>
      <c r="H456" s="133" t="s">
        <v>1478</v>
      </c>
      <c r="I456" s="133" t="s">
        <v>1479</v>
      </c>
      <c r="J456" s="75" t="s">
        <v>15</v>
      </c>
      <c r="K456" s="407">
        <v>46062</v>
      </c>
      <c r="L456" s="40" t="s">
        <v>4</v>
      </c>
      <c r="M456" s="40" t="s">
        <v>208</v>
      </c>
      <c r="N456" s="40"/>
      <c r="O456" s="349" t="s">
        <v>1480</v>
      </c>
      <c r="P456" s="75" t="s">
        <v>15</v>
      </c>
      <c r="Q456" s="117"/>
      <c r="R456" s="465"/>
      <c r="S456" s="40"/>
      <c r="T456" s="208"/>
    </row>
    <row r="457" spans="1:20" ht="15.75" customHeight="1" x14ac:dyDescent="0.3">
      <c r="A457" s="104"/>
      <c r="B457" s="190"/>
      <c r="C457" s="207">
        <f t="shared" ca="1" si="18"/>
        <v>425</v>
      </c>
      <c r="D457" s="299"/>
      <c r="E457" s="299"/>
      <c r="F457" s="287"/>
      <c r="G457" s="152" t="s">
        <v>1481</v>
      </c>
      <c r="H457" s="133" t="s">
        <v>1482</v>
      </c>
      <c r="I457" s="133" t="s">
        <v>1483</v>
      </c>
      <c r="J457" s="75" t="s">
        <v>15</v>
      </c>
      <c r="K457" s="407">
        <v>46062</v>
      </c>
      <c r="L457" s="40" t="s">
        <v>4</v>
      </c>
      <c r="M457" s="40" t="s">
        <v>208</v>
      </c>
      <c r="N457" s="40"/>
      <c r="O457" s="349" t="s">
        <v>1484</v>
      </c>
      <c r="P457" s="75" t="s">
        <v>15</v>
      </c>
      <c r="Q457" s="117"/>
      <c r="R457" s="465"/>
      <c r="S457" s="40"/>
      <c r="T457" s="208"/>
    </row>
    <row r="458" spans="1:20" ht="15.75" customHeight="1" x14ac:dyDescent="0.3">
      <c r="A458" s="104"/>
      <c r="B458" s="190"/>
      <c r="C458" s="207">
        <f t="shared" ca="1" si="18"/>
        <v>426</v>
      </c>
      <c r="D458" s="299"/>
      <c r="E458" s="299"/>
      <c r="F458" s="287"/>
      <c r="G458" s="152" t="s">
        <v>1485</v>
      </c>
      <c r="H458" s="133" t="s">
        <v>1486</v>
      </c>
      <c r="I458" s="133" t="s">
        <v>1487</v>
      </c>
      <c r="J458" s="75" t="s">
        <v>15</v>
      </c>
      <c r="K458" s="407">
        <v>46062</v>
      </c>
      <c r="L458" s="40" t="s">
        <v>4</v>
      </c>
      <c r="M458" s="40" t="s">
        <v>208</v>
      </c>
      <c r="N458" s="40"/>
      <c r="O458" s="349" t="s">
        <v>1488</v>
      </c>
      <c r="P458" s="75" t="s">
        <v>15</v>
      </c>
      <c r="Q458" s="117"/>
      <c r="R458" s="465"/>
      <c r="S458" s="40"/>
      <c r="T458" s="208"/>
    </row>
    <row r="459" spans="1:20" ht="15.75" customHeight="1" x14ac:dyDescent="0.3">
      <c r="A459" s="104"/>
      <c r="B459" s="190"/>
      <c r="C459" s="207">
        <f t="shared" ca="1" si="18"/>
        <v>427</v>
      </c>
      <c r="D459" s="299"/>
      <c r="E459" s="299"/>
      <c r="F459" s="287"/>
      <c r="G459" s="152" t="s">
        <v>1489</v>
      </c>
      <c r="H459" s="133" t="s">
        <v>1490</v>
      </c>
      <c r="I459" s="133" t="s">
        <v>1491</v>
      </c>
      <c r="J459" s="75" t="s">
        <v>15</v>
      </c>
      <c r="K459" s="407">
        <v>46062</v>
      </c>
      <c r="L459" s="40" t="s">
        <v>4</v>
      </c>
      <c r="M459" s="40" t="s">
        <v>208</v>
      </c>
      <c r="N459" s="40"/>
      <c r="O459" s="349" t="s">
        <v>1492</v>
      </c>
      <c r="P459" s="75" t="s">
        <v>15</v>
      </c>
      <c r="Q459" s="117"/>
      <c r="R459" s="465"/>
      <c r="S459" s="40"/>
      <c r="T459" s="208"/>
    </row>
    <row r="460" spans="1:20" ht="15.75" customHeight="1" x14ac:dyDescent="0.3">
      <c r="A460" s="104"/>
      <c r="B460" s="190"/>
      <c r="C460" s="207">
        <f t="shared" ca="1" si="18"/>
        <v>428</v>
      </c>
      <c r="D460" s="299"/>
      <c r="E460" s="299"/>
      <c r="F460" s="287"/>
      <c r="G460" s="152" t="s">
        <v>1493</v>
      </c>
      <c r="H460" s="133" t="s">
        <v>1494</v>
      </c>
      <c r="I460" s="133" t="s">
        <v>1495</v>
      </c>
      <c r="J460" s="75" t="s">
        <v>15</v>
      </c>
      <c r="K460" s="407">
        <v>46062</v>
      </c>
      <c r="L460" s="40" t="s">
        <v>4</v>
      </c>
      <c r="M460" s="40" t="s">
        <v>208</v>
      </c>
      <c r="N460" s="40"/>
      <c r="O460" s="349" t="s">
        <v>1496</v>
      </c>
      <c r="P460" s="75" t="s">
        <v>15</v>
      </c>
      <c r="Q460" s="117"/>
      <c r="R460" s="465"/>
      <c r="S460" s="40"/>
      <c r="T460" s="208"/>
    </row>
    <row r="461" spans="1:20" ht="15.75" customHeight="1" x14ac:dyDescent="0.3">
      <c r="A461" s="104"/>
      <c r="B461" s="190"/>
      <c r="C461" s="207">
        <f t="shared" ca="1" si="18"/>
        <v>429</v>
      </c>
      <c r="D461" s="299"/>
      <c r="E461" s="299"/>
      <c r="F461" s="287"/>
      <c r="G461" s="152" t="s">
        <v>1497</v>
      </c>
      <c r="H461" s="133" t="s">
        <v>1498</v>
      </c>
      <c r="I461" s="133" t="s">
        <v>1499</v>
      </c>
      <c r="J461" s="75" t="s">
        <v>15</v>
      </c>
      <c r="K461" s="407">
        <v>46062</v>
      </c>
      <c r="L461" s="40" t="s">
        <v>4</v>
      </c>
      <c r="M461" s="40" t="s">
        <v>208</v>
      </c>
      <c r="N461" s="40"/>
      <c r="O461" s="349" t="s">
        <v>1500</v>
      </c>
      <c r="P461" s="75" t="s">
        <v>15</v>
      </c>
      <c r="Q461" s="117"/>
      <c r="R461" s="465"/>
      <c r="S461" s="40"/>
      <c r="T461" s="208"/>
    </row>
    <row r="462" spans="1:20" ht="15.75" customHeight="1" x14ac:dyDescent="0.3">
      <c r="A462" s="104"/>
      <c r="B462" s="190"/>
      <c r="C462" s="207">
        <f t="shared" ca="1" si="18"/>
        <v>430</v>
      </c>
      <c r="D462" s="299"/>
      <c r="E462" s="299"/>
      <c r="F462" s="287"/>
      <c r="G462" s="152" t="s">
        <v>1501</v>
      </c>
      <c r="H462" s="133" t="s">
        <v>1502</v>
      </c>
      <c r="I462" s="133" t="s">
        <v>1503</v>
      </c>
      <c r="J462" s="75" t="s">
        <v>15</v>
      </c>
      <c r="K462" s="407">
        <v>46062</v>
      </c>
      <c r="L462" s="40" t="s">
        <v>4</v>
      </c>
      <c r="M462" s="40" t="s">
        <v>208</v>
      </c>
      <c r="N462" s="40"/>
      <c r="O462" s="349" t="s">
        <v>1504</v>
      </c>
      <c r="P462" s="75" t="s">
        <v>15</v>
      </c>
      <c r="Q462" s="117"/>
      <c r="R462" s="465"/>
      <c r="S462" s="40"/>
      <c r="T462" s="208"/>
    </row>
    <row r="463" spans="1:20" ht="15.75" customHeight="1" x14ac:dyDescent="0.3">
      <c r="A463" s="104"/>
      <c r="B463" s="190"/>
      <c r="C463" s="207">
        <f t="shared" ca="1" si="18"/>
        <v>431</v>
      </c>
      <c r="D463" s="310"/>
      <c r="E463" s="310"/>
      <c r="F463" s="287"/>
      <c r="G463" s="152" t="s">
        <v>1505</v>
      </c>
      <c r="H463" s="133" t="s">
        <v>1506</v>
      </c>
      <c r="I463" s="133" t="s">
        <v>1507</v>
      </c>
      <c r="J463" s="75" t="s">
        <v>15</v>
      </c>
      <c r="K463" s="407">
        <v>46062</v>
      </c>
      <c r="L463" s="40" t="s">
        <v>4</v>
      </c>
      <c r="M463" s="40" t="s">
        <v>208</v>
      </c>
      <c r="N463" s="40"/>
      <c r="O463" s="349" t="s">
        <v>1508</v>
      </c>
      <c r="P463" s="75" t="s">
        <v>15</v>
      </c>
      <c r="Q463" s="117"/>
      <c r="R463" s="465"/>
      <c r="S463" s="40"/>
      <c r="T463" s="208"/>
    </row>
    <row r="464" spans="1:20" ht="15.75" customHeight="1" x14ac:dyDescent="0.3">
      <c r="A464" s="104"/>
      <c r="B464" s="190"/>
      <c r="C464" s="207">
        <f t="shared" ca="1" si="18"/>
        <v>432</v>
      </c>
      <c r="D464" s="399"/>
      <c r="E464" s="399"/>
      <c r="F464" s="396"/>
      <c r="G464" s="361" t="s">
        <v>1509</v>
      </c>
      <c r="H464" s="316" t="s">
        <v>1510</v>
      </c>
      <c r="I464" s="316" t="s">
        <v>1511</v>
      </c>
      <c r="J464" s="182" t="s">
        <v>15</v>
      </c>
      <c r="K464" s="407">
        <v>46062</v>
      </c>
      <c r="L464" s="40" t="s">
        <v>4</v>
      </c>
      <c r="M464" s="41" t="s">
        <v>208</v>
      </c>
      <c r="N464" s="41"/>
      <c r="O464" s="267" t="s">
        <v>1512</v>
      </c>
      <c r="P464" s="75" t="s">
        <v>15</v>
      </c>
      <c r="Q464" s="75"/>
      <c r="R464" s="117"/>
      <c r="S464" s="193"/>
      <c r="T464" s="40"/>
    </row>
    <row r="465" spans="1:20" ht="21.75" customHeight="1" x14ac:dyDescent="0.3">
      <c r="A465" s="104"/>
      <c r="B465" s="652" t="s">
        <v>467</v>
      </c>
      <c r="C465" s="602"/>
      <c r="D465" s="602"/>
      <c r="E465" s="602"/>
      <c r="F465" s="602"/>
      <c r="G465" s="602"/>
      <c r="H465" s="602"/>
      <c r="I465" s="602"/>
      <c r="J465" s="602"/>
      <c r="K465" s="602"/>
      <c r="L465" s="602"/>
      <c r="M465" s="602"/>
      <c r="N465" s="602"/>
      <c r="O465" s="602"/>
      <c r="P465" s="602"/>
      <c r="Q465" s="602"/>
      <c r="R465" s="602"/>
      <c r="S465" s="602"/>
      <c r="T465" s="602"/>
    </row>
    <row r="466" spans="1:20" ht="15.75" customHeight="1" x14ac:dyDescent="0.3">
      <c r="A466" s="88"/>
      <c r="B466" s="104"/>
      <c r="C466" s="74">
        <f t="shared" ref="C466:C468" ca="1" si="19">1+COUNT(INDIRECT("A1:"&amp;(ADDRESS(ROW()-1,COLUMN()))))</f>
        <v>433</v>
      </c>
      <c r="D466" s="511"/>
      <c r="E466" s="292"/>
      <c r="F466" s="435" t="s">
        <v>207</v>
      </c>
      <c r="G466" s="127"/>
      <c r="H466" s="348" t="s">
        <v>1513</v>
      </c>
      <c r="I466" s="350" t="s">
        <v>1514</v>
      </c>
      <c r="J466" s="75" t="s">
        <v>15</v>
      </c>
      <c r="K466" s="407">
        <v>46089</v>
      </c>
      <c r="L466" s="40" t="s">
        <v>4</v>
      </c>
      <c r="M466" s="41" t="s">
        <v>208</v>
      </c>
      <c r="N466" s="194"/>
      <c r="O466" s="445" t="s">
        <v>1515</v>
      </c>
      <c r="P466" s="75" t="s">
        <v>15</v>
      </c>
      <c r="Q466" s="75"/>
      <c r="R466" s="117"/>
      <c r="S466" s="193"/>
      <c r="T466" s="40"/>
    </row>
    <row r="467" spans="1:20" ht="15.75" customHeight="1" x14ac:dyDescent="0.3">
      <c r="A467" s="88"/>
      <c r="B467" s="104"/>
      <c r="C467" s="74">
        <f t="shared" ca="1" si="19"/>
        <v>434</v>
      </c>
      <c r="D467" s="288"/>
      <c r="E467" s="211"/>
      <c r="F467" s="211"/>
      <c r="G467" s="288"/>
      <c r="H467" s="348" t="s">
        <v>1516</v>
      </c>
      <c r="I467" s="156" t="s">
        <v>1517</v>
      </c>
      <c r="J467" s="75" t="s">
        <v>15</v>
      </c>
      <c r="K467" s="407">
        <v>46089</v>
      </c>
      <c r="L467" s="40" t="s">
        <v>4</v>
      </c>
      <c r="M467" s="41" t="s">
        <v>208</v>
      </c>
      <c r="N467" s="194"/>
      <c r="O467" s="445" t="s">
        <v>1518</v>
      </c>
      <c r="P467" s="75" t="s">
        <v>15</v>
      </c>
      <c r="Q467" s="75"/>
      <c r="R467" s="117"/>
      <c r="S467" s="193"/>
      <c r="T467" s="40"/>
    </row>
    <row r="468" spans="1:20" ht="15.75" customHeight="1" x14ac:dyDescent="0.3">
      <c r="A468" s="88"/>
      <c r="B468" s="104"/>
      <c r="C468" s="74">
        <f t="shared" ca="1" si="19"/>
        <v>435</v>
      </c>
      <c r="D468" s="211"/>
      <c r="E468" s="211"/>
      <c r="F468" s="211"/>
      <c r="G468" s="288"/>
      <c r="H468" s="238" t="s">
        <v>1519</v>
      </c>
      <c r="I468" s="156" t="s">
        <v>1520</v>
      </c>
      <c r="J468" s="75" t="s">
        <v>15</v>
      </c>
      <c r="K468" s="407">
        <v>46089</v>
      </c>
      <c r="L468" s="40" t="s">
        <v>4</v>
      </c>
      <c r="M468" s="41" t="s">
        <v>208</v>
      </c>
      <c r="N468" s="194"/>
      <c r="O468" s="445" t="s">
        <v>1521</v>
      </c>
      <c r="P468" s="75" t="s">
        <v>15</v>
      </c>
      <c r="Q468" s="75"/>
      <c r="R468" s="117"/>
      <c r="S468" s="193"/>
      <c r="T468" s="40"/>
    </row>
  </sheetData>
  <mergeCells count="59">
    <mergeCell ref="E12:E13"/>
    <mergeCell ref="F12:F13"/>
    <mergeCell ref="E106:E107"/>
    <mergeCell ref="E197:E198"/>
    <mergeCell ref="E202:E203"/>
    <mergeCell ref="E223:E224"/>
    <mergeCell ref="E413:E414"/>
    <mergeCell ref="E417:E418"/>
    <mergeCell ref="E421:E422"/>
    <mergeCell ref="C381:T381"/>
    <mergeCell ref="C386:T386"/>
    <mergeCell ref="E271:E272"/>
    <mergeCell ref="E301:E302"/>
    <mergeCell ref="E305:E306"/>
    <mergeCell ref="E229:E230"/>
    <mergeCell ref="E234:E235"/>
    <mergeCell ref="E239:E240"/>
    <mergeCell ref="D241:T241"/>
    <mergeCell ref="D259:T259"/>
    <mergeCell ref="C273:T273"/>
    <mergeCell ref="C286:T286"/>
    <mergeCell ref="E429:E430"/>
    <mergeCell ref="E433:E434"/>
    <mergeCell ref="E437:E438"/>
    <mergeCell ref="G1:I3"/>
    <mergeCell ref="I12:I13"/>
    <mergeCell ref="C177:T177"/>
    <mergeCell ref="D178:T178"/>
    <mergeCell ref="B15:T15"/>
    <mergeCell ref="B21:T21"/>
    <mergeCell ref="D22:T22"/>
    <mergeCell ref="C56:T56"/>
    <mergeCell ref="D89:T89"/>
    <mergeCell ref="D129:T129"/>
    <mergeCell ref="C155:T155"/>
    <mergeCell ref="C311:T311"/>
    <mergeCell ref="E207:E208"/>
    <mergeCell ref="B6:D6"/>
    <mergeCell ref="B7:D7"/>
    <mergeCell ref="B8:D8"/>
    <mergeCell ref="B9:D9"/>
    <mergeCell ref="B12:C13"/>
    <mergeCell ref="D12:D13"/>
    <mergeCell ref="B452:T452"/>
    <mergeCell ref="B465:T465"/>
    <mergeCell ref="T12:T13"/>
    <mergeCell ref="G12:G13"/>
    <mergeCell ref="H12:H13"/>
    <mergeCell ref="J12:J13"/>
    <mergeCell ref="K12:K13"/>
    <mergeCell ref="L12:L13"/>
    <mergeCell ref="M12:M13"/>
    <mergeCell ref="N12:N13"/>
    <mergeCell ref="O12:O13"/>
    <mergeCell ref="P12:P13"/>
    <mergeCell ref="Q12:Q13"/>
    <mergeCell ref="R12:R13"/>
    <mergeCell ref="S12:S13"/>
    <mergeCell ref="E425:E426"/>
  </mergeCells>
  <conditionalFormatting sqref="B1:T468 A1:A465">
    <cfRule type="cellIs" dxfId="34" priority="5" operator="equal">
      <formula>"OK"</formula>
    </cfRule>
    <cfRule type="cellIs" dxfId="33" priority="6" operator="equal">
      <formula>"NG"</formula>
    </cfRule>
    <cfRule type="cellIs" dxfId="32" priority="7" operator="equal">
      <formula>"Pending"</formula>
    </cfRule>
  </conditionalFormatting>
  <conditionalFormatting sqref="G5:G9 J5:K9 I5:I10 T5:T10 L5:S13 A6:F9 H6:H9 B12:K13 T12:T13 A14:A465 B16:B468 J17:J20 P17:Q20 D22 K22 R22 J22:J272 P22:P272 Q22:Q451 C56 E74:E88 D74:D89 R74:R89 K74:K129 E95:E96 E102:E103 G102:G103 E106:E107 E110:E111 E114:E115 E118:E119 E122:E123 E128 D129 R129 E133:E272 C151:C451 D156:D178 K156:K178 R156:R178 I177 L177:O177 T177 D180:D189 R180:R189 K180:K191 D241:D259 K241:K259 R241:R272 R274:R285 E274:E382 P274:P451 J274:J468 D275:D276 K275:K276 R287:R310 D289:D297 K289:K297 K301:K302 R312:R380 D314 K314 K317 K320 K323 K326 K329 K332 K335 K338 K344 K347 K350 K355 K358 K361 K364 K367 K370 K373 K376 K379 E384:E451 D388:D396 K388:K396 R388:R396 P453:P464 Q453:Q468 R464:R468 P466:P468">
    <cfRule type="cellIs" dxfId="31" priority="1" operator="equal">
      <formula>"x"</formula>
    </cfRule>
    <cfRule type="expression" dxfId="30" priority="2">
      <formula>"Not Used"</formula>
    </cfRule>
    <cfRule type="cellIs" dxfId="29" priority="3" operator="equal">
      <formula>"Cancelled"</formula>
    </cfRule>
  </conditionalFormatting>
  <conditionalFormatting sqref="I5:K9 L6:T6 J17:L20 O17:T20 J23:T55 J57:T88 E74:E88 J90:T128 E95:E96 E102:E103 G102:G103 E106:E107 E110:E111 E114:E115 E118:E119 E122:E123 E128 J130:T154 E133:E154 J156:T176 E179:E240 J179:P240 R179:T240 Q179:Q451 J242:O258 R242:S258 E243 E260:E272 J260:P272 R260:T272 E274:E285 J274:P285 R274:T285 E287:E310 J287:P310 R287:T310 E312:E380 J312:J380 L312:P380 R312:T380 K312:K451 E382 J382:J385 L382:P385 E384:E385 E387:E451 J387:J451 L387:P451 R387:T451 J453:T464 J466:T468 M16:N20 R382:T385">
    <cfRule type="expression" dxfId="28" priority="4" stopIfTrue="1">
      <formula>#REF!="X"</formula>
    </cfRule>
  </conditionalFormatting>
  <dataValidations count="6">
    <dataValidation type="list" allowBlank="1" showErrorMessage="1" sqref="Q464 J466:J468 P466:Q468" xr:uid="{00000000-0002-0000-5200-000000000000}">
      <formula1>"OK,NG,N/A,Pending,Q&amp;A"</formula1>
    </dataValidation>
    <dataValidation type="list" allowBlank="1" showErrorMessage="1" sqref="J17:J20 J23:J55 J57:J88 J90:J128 J130:J154 J156:J176 J179:J240 J242:J258 J260:J272 J274:J285 J287:J310 J312:J380 J382:J385 J387:J451 J453:J464" xr:uid="{00000000-0002-0000-5200-000001000000}">
      <formula1>"OK,NG,N/A,Pending,Q&amp;A,ROC"</formula1>
    </dataValidation>
    <dataValidation type="list" allowBlank="1" showErrorMessage="1" sqref="P12 P17:P20 P23:P55 P57:P88 P90:P128 P130:P154 P156:P176 P179:P240 P242:P258 P260:P272 P274:P285 P287:P310 P312:P380 P382:P385 P387:P451 P453:P464" xr:uid="{00000000-0002-0000-5200-000002000000}">
      <formula1>"OK,NG,N/A,Pending,Q&amp;A,ROC,Test  UT Result"</formula1>
    </dataValidation>
    <dataValidation type="custom" allowBlank="1" showDropDown="1" showErrorMessage="1" sqref="S464 S466:S468" xr:uid="{00000000-0002-0000-5200-000003000000}">
      <formula1>OR(NOT(ISERROR(DATEVALUE(S464))), AND(ISNUMBER(S464), LEFT(CELL("format", S464))="D"))</formula1>
    </dataValidation>
    <dataValidation type="list" allowBlank="1" showErrorMessage="1" sqref="Q17:Q20 Q23:Q55 Q57:Q88 Q90:Q128 Q130:Q154 Q156:Q176 Q179:Q240 Q242:Q258 Q260:Q272 Q274:Q284 Q287:Q310 Q312:Q380 Q382:Q385 Q387:Q450 Q453:Q463 R464 R466:R468" xr:uid="{00000000-0002-0000-5200-000004000000}">
      <formula1>"Todo,Done"</formula1>
    </dataValidation>
    <dataValidation type="list" allowBlank="1" showErrorMessage="1" sqref="I6:I9" xr:uid="{00000000-0002-0000-5200-000005000000}">
      <formula1>"OK,N/A,Pending,NG"</formula1>
    </dataValidation>
  </dataValidations>
  <hyperlinks>
    <hyperlink ref="O17" r:id="rId1" xr:uid="{00000000-0004-0000-5200-000000000000}"/>
    <hyperlink ref="O18" r:id="rId2" xr:uid="{00000000-0004-0000-5200-000001000000}"/>
    <hyperlink ref="O19" r:id="rId3" xr:uid="{00000000-0004-0000-5200-000002000000}"/>
    <hyperlink ref="O20" r:id="rId4" xr:uid="{00000000-0004-0000-5200-000003000000}"/>
    <hyperlink ref="O23" r:id="rId5" xr:uid="{00000000-0004-0000-5200-000004000000}"/>
    <hyperlink ref="O24" r:id="rId6" xr:uid="{00000000-0004-0000-5200-000005000000}"/>
    <hyperlink ref="T24" r:id="rId7" xr:uid="{00000000-0004-0000-5200-000006000000}"/>
    <hyperlink ref="O25" r:id="rId8" xr:uid="{00000000-0004-0000-5200-000007000000}"/>
    <hyperlink ref="T25" r:id="rId9" xr:uid="{00000000-0004-0000-5200-000008000000}"/>
    <hyperlink ref="O26" r:id="rId10" xr:uid="{00000000-0004-0000-5200-000009000000}"/>
    <hyperlink ref="T26" r:id="rId11" xr:uid="{00000000-0004-0000-5200-00000A000000}"/>
    <hyperlink ref="O27" r:id="rId12" xr:uid="{00000000-0004-0000-5200-00000B000000}"/>
    <hyperlink ref="O28" r:id="rId13" xr:uid="{00000000-0004-0000-5200-00000C000000}"/>
    <hyperlink ref="O29" r:id="rId14" xr:uid="{00000000-0004-0000-5200-00000D000000}"/>
    <hyperlink ref="O30" r:id="rId15" xr:uid="{00000000-0004-0000-5200-00000E000000}"/>
    <hyperlink ref="O31" r:id="rId16" xr:uid="{00000000-0004-0000-5200-00000F000000}"/>
    <hyperlink ref="O32" r:id="rId17" xr:uid="{00000000-0004-0000-5200-000010000000}"/>
    <hyperlink ref="O33" r:id="rId18" xr:uid="{00000000-0004-0000-5200-000011000000}"/>
    <hyperlink ref="O34" r:id="rId19" xr:uid="{00000000-0004-0000-5200-000012000000}"/>
    <hyperlink ref="O35" r:id="rId20" xr:uid="{00000000-0004-0000-5200-000013000000}"/>
    <hyperlink ref="O36" r:id="rId21" xr:uid="{00000000-0004-0000-5200-000014000000}"/>
    <hyperlink ref="I37" r:id="rId22" xr:uid="{00000000-0004-0000-5200-000015000000}"/>
    <hyperlink ref="O37" r:id="rId23" xr:uid="{00000000-0004-0000-5200-000016000000}"/>
    <hyperlink ref="O38" r:id="rId24" xr:uid="{00000000-0004-0000-5200-000017000000}"/>
    <hyperlink ref="O44" r:id="rId25" xr:uid="{00000000-0004-0000-5200-000018000000}"/>
    <hyperlink ref="O45" r:id="rId26" xr:uid="{00000000-0004-0000-5200-000019000000}"/>
    <hyperlink ref="O46" r:id="rId27" xr:uid="{00000000-0004-0000-5200-00001A000000}"/>
    <hyperlink ref="O47" r:id="rId28" xr:uid="{00000000-0004-0000-5200-00001B000000}"/>
    <hyperlink ref="O48" r:id="rId29" xr:uid="{00000000-0004-0000-5200-00001C000000}"/>
    <hyperlink ref="O49" r:id="rId30" xr:uid="{00000000-0004-0000-5200-00001D000000}"/>
    <hyperlink ref="O50" r:id="rId31" xr:uid="{00000000-0004-0000-5200-00001E000000}"/>
    <hyperlink ref="O51" r:id="rId32" xr:uid="{00000000-0004-0000-5200-00001F000000}"/>
    <hyperlink ref="O52" r:id="rId33" xr:uid="{00000000-0004-0000-5200-000020000000}"/>
    <hyperlink ref="O53" r:id="rId34" xr:uid="{00000000-0004-0000-5200-000021000000}"/>
    <hyperlink ref="O54" r:id="rId35" xr:uid="{00000000-0004-0000-5200-000022000000}"/>
    <hyperlink ref="O55" r:id="rId36" xr:uid="{00000000-0004-0000-5200-000023000000}"/>
    <hyperlink ref="O57" r:id="rId37" xr:uid="{00000000-0004-0000-5200-000024000000}"/>
    <hyperlink ref="I58" r:id="rId38" xr:uid="{00000000-0004-0000-5200-000025000000}"/>
    <hyperlink ref="O63" r:id="rId39" xr:uid="{00000000-0004-0000-5200-000026000000}"/>
    <hyperlink ref="O64" r:id="rId40" xr:uid="{00000000-0004-0000-5200-000027000000}"/>
    <hyperlink ref="O65" r:id="rId41" xr:uid="{00000000-0004-0000-5200-000028000000}"/>
    <hyperlink ref="O66" r:id="rId42" xr:uid="{00000000-0004-0000-5200-000029000000}"/>
    <hyperlink ref="O67" r:id="rId43" xr:uid="{00000000-0004-0000-5200-00002A000000}"/>
    <hyperlink ref="O68" r:id="rId44" xr:uid="{00000000-0004-0000-5200-00002B000000}"/>
    <hyperlink ref="O69" r:id="rId45" xr:uid="{00000000-0004-0000-5200-00002C000000}"/>
    <hyperlink ref="O70" r:id="rId46" xr:uid="{00000000-0004-0000-5200-00002D000000}"/>
    <hyperlink ref="O71" r:id="rId47" xr:uid="{00000000-0004-0000-5200-00002E000000}"/>
    <hyperlink ref="O72" r:id="rId48" xr:uid="{00000000-0004-0000-5200-00002F000000}"/>
    <hyperlink ref="O73" r:id="rId49" xr:uid="{00000000-0004-0000-5200-000030000000}"/>
    <hyperlink ref="O74" r:id="rId50" xr:uid="{00000000-0004-0000-5200-000031000000}"/>
    <hyperlink ref="O75" r:id="rId51" xr:uid="{00000000-0004-0000-5200-000032000000}"/>
    <hyperlink ref="O76" r:id="rId52" xr:uid="{00000000-0004-0000-5200-000033000000}"/>
    <hyperlink ref="O77" r:id="rId53" xr:uid="{00000000-0004-0000-5200-000034000000}"/>
    <hyperlink ref="O78" r:id="rId54" xr:uid="{00000000-0004-0000-5200-000035000000}"/>
    <hyperlink ref="O80" r:id="rId55" xr:uid="{00000000-0004-0000-5200-000036000000}"/>
    <hyperlink ref="O85" r:id="rId56" xr:uid="{00000000-0004-0000-5200-000037000000}"/>
    <hyperlink ref="O86" r:id="rId57" xr:uid="{00000000-0004-0000-5200-000038000000}"/>
    <hyperlink ref="O87" r:id="rId58" xr:uid="{00000000-0004-0000-5200-000039000000}"/>
    <hyperlink ref="O88" r:id="rId59" xr:uid="{00000000-0004-0000-5200-00003A000000}"/>
    <hyperlink ref="O90" r:id="rId60" xr:uid="{00000000-0004-0000-5200-00003B000000}"/>
    <hyperlink ref="O91" r:id="rId61" xr:uid="{00000000-0004-0000-5200-00003C000000}"/>
    <hyperlink ref="O92" r:id="rId62" xr:uid="{00000000-0004-0000-5200-00003D000000}"/>
    <hyperlink ref="O93" r:id="rId63" xr:uid="{00000000-0004-0000-5200-00003E000000}"/>
    <hyperlink ref="O95" r:id="rId64" xr:uid="{00000000-0004-0000-5200-00003F000000}"/>
    <hyperlink ref="O96" r:id="rId65" xr:uid="{00000000-0004-0000-5200-000040000000}"/>
    <hyperlink ref="O97" r:id="rId66" xr:uid="{00000000-0004-0000-5200-000041000000}"/>
    <hyperlink ref="O98" r:id="rId67" xr:uid="{00000000-0004-0000-5200-000042000000}"/>
    <hyperlink ref="O99" r:id="rId68" xr:uid="{00000000-0004-0000-5200-000043000000}"/>
    <hyperlink ref="O102" r:id="rId69" xr:uid="{00000000-0004-0000-5200-000044000000}"/>
    <hyperlink ref="O103" r:id="rId70" xr:uid="{00000000-0004-0000-5200-000045000000}"/>
    <hyperlink ref="O105" r:id="rId71" xr:uid="{00000000-0004-0000-5200-000046000000}"/>
    <hyperlink ref="O106" r:id="rId72" xr:uid="{00000000-0004-0000-5200-000047000000}"/>
    <hyperlink ref="O107" r:id="rId73" xr:uid="{00000000-0004-0000-5200-000048000000}"/>
    <hyperlink ref="O109" r:id="rId74" xr:uid="{00000000-0004-0000-5200-000049000000}"/>
    <hyperlink ref="O110" r:id="rId75" xr:uid="{00000000-0004-0000-5200-00004A000000}"/>
    <hyperlink ref="O111" r:id="rId76" xr:uid="{00000000-0004-0000-5200-00004B000000}"/>
    <hyperlink ref="O113" r:id="rId77" xr:uid="{00000000-0004-0000-5200-00004C000000}"/>
    <hyperlink ref="O114" r:id="rId78" xr:uid="{00000000-0004-0000-5200-00004D000000}"/>
    <hyperlink ref="O115" r:id="rId79" xr:uid="{00000000-0004-0000-5200-00004E000000}"/>
    <hyperlink ref="O117" r:id="rId80" xr:uid="{00000000-0004-0000-5200-00004F000000}"/>
    <hyperlink ref="O118" r:id="rId81" xr:uid="{00000000-0004-0000-5200-000050000000}"/>
    <hyperlink ref="O119" r:id="rId82" xr:uid="{00000000-0004-0000-5200-000051000000}"/>
    <hyperlink ref="O121" r:id="rId83" xr:uid="{00000000-0004-0000-5200-000052000000}"/>
    <hyperlink ref="O122" r:id="rId84" xr:uid="{00000000-0004-0000-5200-000053000000}"/>
    <hyperlink ref="O123" r:id="rId85" xr:uid="{00000000-0004-0000-5200-000054000000}"/>
    <hyperlink ref="O125" r:id="rId86" xr:uid="{00000000-0004-0000-5200-000055000000}"/>
    <hyperlink ref="O126" r:id="rId87" xr:uid="{00000000-0004-0000-5200-000056000000}"/>
    <hyperlink ref="O127" r:id="rId88" xr:uid="{00000000-0004-0000-5200-000057000000}"/>
    <hyperlink ref="O128" r:id="rId89" xr:uid="{00000000-0004-0000-5200-000058000000}"/>
    <hyperlink ref="O132" r:id="rId90" xr:uid="{00000000-0004-0000-5200-000059000000}"/>
    <hyperlink ref="O133" r:id="rId91" xr:uid="{00000000-0004-0000-5200-00005A000000}"/>
    <hyperlink ref="O134" r:id="rId92" xr:uid="{00000000-0004-0000-5200-00005B000000}"/>
    <hyperlink ref="O136" r:id="rId93" xr:uid="{00000000-0004-0000-5200-00005C000000}"/>
    <hyperlink ref="O137" r:id="rId94" xr:uid="{00000000-0004-0000-5200-00005D000000}"/>
    <hyperlink ref="O138" r:id="rId95" xr:uid="{00000000-0004-0000-5200-00005E000000}"/>
    <hyperlink ref="O140" r:id="rId96" xr:uid="{00000000-0004-0000-5200-00005F000000}"/>
    <hyperlink ref="O141" r:id="rId97" xr:uid="{00000000-0004-0000-5200-000060000000}"/>
    <hyperlink ref="O142" r:id="rId98" xr:uid="{00000000-0004-0000-5200-000061000000}"/>
    <hyperlink ref="O144" r:id="rId99" xr:uid="{00000000-0004-0000-5200-000062000000}"/>
    <hyperlink ref="O145" r:id="rId100" xr:uid="{00000000-0004-0000-5200-000063000000}"/>
    <hyperlink ref="O146" r:id="rId101" xr:uid="{00000000-0004-0000-5200-000064000000}"/>
    <hyperlink ref="O148" r:id="rId102" xr:uid="{00000000-0004-0000-5200-000065000000}"/>
    <hyperlink ref="O149" r:id="rId103" xr:uid="{00000000-0004-0000-5200-000066000000}"/>
    <hyperlink ref="O150" r:id="rId104" xr:uid="{00000000-0004-0000-5200-000067000000}"/>
    <hyperlink ref="O152" r:id="rId105" xr:uid="{00000000-0004-0000-5200-000068000000}"/>
    <hyperlink ref="O153" r:id="rId106" xr:uid="{00000000-0004-0000-5200-000069000000}"/>
    <hyperlink ref="O154" r:id="rId107" xr:uid="{00000000-0004-0000-5200-00006A000000}"/>
    <hyperlink ref="O156" r:id="rId108" xr:uid="{00000000-0004-0000-5200-00006B000000}"/>
    <hyperlink ref="I157" r:id="rId109" xr:uid="{00000000-0004-0000-5200-00006C000000}"/>
    <hyperlink ref="O157" r:id="rId110" xr:uid="{00000000-0004-0000-5200-00006D000000}"/>
    <hyperlink ref="O158" r:id="rId111" xr:uid="{00000000-0004-0000-5200-00006E000000}"/>
    <hyperlink ref="O159" r:id="rId112" xr:uid="{00000000-0004-0000-5200-00006F000000}"/>
    <hyperlink ref="G161" r:id="rId113" xr:uid="{00000000-0004-0000-5200-000070000000}"/>
    <hyperlink ref="O161" r:id="rId114" xr:uid="{00000000-0004-0000-5200-000071000000}"/>
    <hyperlink ref="O162" r:id="rId115" xr:uid="{00000000-0004-0000-5200-000072000000}"/>
    <hyperlink ref="O164" r:id="rId116" xr:uid="{00000000-0004-0000-5200-000073000000}"/>
    <hyperlink ref="O165" r:id="rId117" xr:uid="{00000000-0004-0000-5200-000074000000}"/>
    <hyperlink ref="O167" r:id="rId118" xr:uid="{00000000-0004-0000-5200-000075000000}"/>
    <hyperlink ref="O168" r:id="rId119" xr:uid="{00000000-0004-0000-5200-000076000000}"/>
    <hyperlink ref="O170" r:id="rId120" xr:uid="{00000000-0004-0000-5200-000077000000}"/>
    <hyperlink ref="O171" r:id="rId121" xr:uid="{00000000-0004-0000-5200-000078000000}"/>
    <hyperlink ref="O173" r:id="rId122" xr:uid="{00000000-0004-0000-5200-000079000000}"/>
    <hyperlink ref="O174" r:id="rId123" xr:uid="{00000000-0004-0000-5200-00007A000000}"/>
    <hyperlink ref="O176" r:id="rId124" xr:uid="{00000000-0004-0000-5200-00007B000000}"/>
    <hyperlink ref="O179" r:id="rId125" xr:uid="{00000000-0004-0000-5200-00007C000000}"/>
    <hyperlink ref="O186" r:id="rId126" xr:uid="{00000000-0004-0000-5200-00007D000000}"/>
    <hyperlink ref="O187" r:id="rId127" xr:uid="{00000000-0004-0000-5200-00007E000000}"/>
    <hyperlink ref="O188" r:id="rId128" xr:uid="{00000000-0004-0000-5200-00007F000000}"/>
    <hyperlink ref="O191" r:id="rId129" xr:uid="{00000000-0004-0000-5200-000080000000}"/>
    <hyperlink ref="O192" r:id="rId130" xr:uid="{00000000-0004-0000-5200-000081000000}"/>
    <hyperlink ref="O193" r:id="rId131" xr:uid="{00000000-0004-0000-5200-000082000000}"/>
    <hyperlink ref="O195" r:id="rId132" xr:uid="{00000000-0004-0000-5200-000083000000}"/>
    <hyperlink ref="O197" r:id="rId133" xr:uid="{00000000-0004-0000-5200-000084000000}"/>
    <hyperlink ref="O198" r:id="rId134" xr:uid="{00000000-0004-0000-5200-000085000000}"/>
    <hyperlink ref="O200" r:id="rId135" xr:uid="{00000000-0004-0000-5200-000086000000}"/>
    <hyperlink ref="O202" r:id="rId136" xr:uid="{00000000-0004-0000-5200-000087000000}"/>
    <hyperlink ref="O203" r:id="rId137" xr:uid="{00000000-0004-0000-5200-000088000000}"/>
    <hyperlink ref="O205" r:id="rId138" xr:uid="{00000000-0004-0000-5200-000089000000}"/>
    <hyperlink ref="O207" r:id="rId139" xr:uid="{00000000-0004-0000-5200-00008A000000}"/>
    <hyperlink ref="O208" r:id="rId140" xr:uid="{00000000-0004-0000-5200-00008B000000}"/>
    <hyperlink ref="O211" r:id="rId141" xr:uid="{00000000-0004-0000-5200-00008C000000}"/>
    <hyperlink ref="O213" r:id="rId142" xr:uid="{00000000-0004-0000-5200-00008D000000}"/>
    <hyperlink ref="O214" r:id="rId143" xr:uid="{00000000-0004-0000-5200-00008E000000}"/>
    <hyperlink ref="O216" r:id="rId144" xr:uid="{00000000-0004-0000-5200-00008F000000}"/>
    <hyperlink ref="O218" r:id="rId145" xr:uid="{00000000-0004-0000-5200-000090000000}"/>
    <hyperlink ref="O219" r:id="rId146" xr:uid="{00000000-0004-0000-5200-000091000000}"/>
    <hyperlink ref="O221" r:id="rId147" xr:uid="{00000000-0004-0000-5200-000092000000}"/>
    <hyperlink ref="O223" r:id="rId148" xr:uid="{00000000-0004-0000-5200-000093000000}"/>
    <hyperlink ref="O224" r:id="rId149" xr:uid="{00000000-0004-0000-5200-000094000000}"/>
    <hyperlink ref="O227" r:id="rId150" xr:uid="{00000000-0004-0000-5200-000095000000}"/>
    <hyperlink ref="O229" r:id="rId151" xr:uid="{00000000-0004-0000-5200-000096000000}"/>
    <hyperlink ref="O230" r:id="rId152" xr:uid="{00000000-0004-0000-5200-000097000000}"/>
    <hyperlink ref="O232" r:id="rId153" xr:uid="{00000000-0004-0000-5200-000098000000}"/>
    <hyperlink ref="O234" r:id="rId154" xr:uid="{00000000-0004-0000-5200-000099000000}"/>
    <hyperlink ref="O235" r:id="rId155" xr:uid="{00000000-0004-0000-5200-00009A000000}"/>
    <hyperlink ref="O237" r:id="rId156" xr:uid="{00000000-0004-0000-5200-00009B000000}"/>
    <hyperlink ref="O239" r:id="rId157" xr:uid="{00000000-0004-0000-5200-00009C000000}"/>
    <hyperlink ref="O240" r:id="rId158" xr:uid="{00000000-0004-0000-5200-00009D000000}"/>
    <hyperlink ref="I242" r:id="rId159" xr:uid="{00000000-0004-0000-5200-00009E000000}"/>
    <hyperlink ref="O243" r:id="rId160" xr:uid="{00000000-0004-0000-5200-00009F000000}"/>
    <hyperlink ref="I246" r:id="rId161" xr:uid="{00000000-0004-0000-5200-0000A0000000}"/>
    <hyperlink ref="I249" r:id="rId162" xr:uid="{00000000-0004-0000-5200-0000A1000000}"/>
    <hyperlink ref="O260" r:id="rId163" xr:uid="{00000000-0004-0000-5200-0000A2000000}"/>
    <hyperlink ref="O263" r:id="rId164" xr:uid="{00000000-0004-0000-5200-0000A3000000}"/>
    <hyperlink ref="O264" r:id="rId165" xr:uid="{00000000-0004-0000-5200-0000A4000000}"/>
    <hyperlink ref="O265" r:id="rId166" xr:uid="{00000000-0004-0000-5200-0000A5000000}"/>
    <hyperlink ref="O266" r:id="rId167" xr:uid="{00000000-0004-0000-5200-0000A6000000}"/>
    <hyperlink ref="O267" r:id="rId168" xr:uid="{00000000-0004-0000-5200-0000A7000000}"/>
    <hyperlink ref="O268" r:id="rId169" xr:uid="{00000000-0004-0000-5200-0000A8000000}"/>
    <hyperlink ref="O269" r:id="rId170" xr:uid="{00000000-0004-0000-5200-0000A9000000}"/>
    <hyperlink ref="O270" r:id="rId171" xr:uid="{00000000-0004-0000-5200-0000AA000000}"/>
    <hyperlink ref="O271" r:id="rId172" xr:uid="{00000000-0004-0000-5200-0000AB000000}"/>
    <hyperlink ref="O272" r:id="rId173" xr:uid="{00000000-0004-0000-5200-0000AC000000}"/>
    <hyperlink ref="O274" r:id="rId174" xr:uid="{00000000-0004-0000-5200-0000AD000000}"/>
    <hyperlink ref="O275" r:id="rId175" xr:uid="{00000000-0004-0000-5200-0000AE000000}"/>
    <hyperlink ref="O276" r:id="rId176" xr:uid="{00000000-0004-0000-5200-0000AF000000}"/>
    <hyperlink ref="O278" r:id="rId177" xr:uid="{00000000-0004-0000-5200-0000B0000000}"/>
    <hyperlink ref="O280" r:id="rId178" xr:uid="{00000000-0004-0000-5200-0000B1000000}"/>
    <hyperlink ref="O281" r:id="rId179" xr:uid="{00000000-0004-0000-5200-0000B2000000}"/>
    <hyperlink ref="O283" r:id="rId180" xr:uid="{00000000-0004-0000-5200-0000B3000000}"/>
    <hyperlink ref="O284" r:id="rId181" xr:uid="{00000000-0004-0000-5200-0000B4000000}"/>
    <hyperlink ref="O287" r:id="rId182" xr:uid="{00000000-0004-0000-5200-0000B5000000}"/>
    <hyperlink ref="O288" r:id="rId183" xr:uid="{00000000-0004-0000-5200-0000B6000000}"/>
    <hyperlink ref="O294" r:id="rId184" xr:uid="{00000000-0004-0000-5200-0000B7000000}"/>
    <hyperlink ref="O295" r:id="rId185" xr:uid="{00000000-0004-0000-5200-0000B8000000}"/>
    <hyperlink ref="O296" r:id="rId186" xr:uid="{00000000-0004-0000-5200-0000B9000000}"/>
    <hyperlink ref="O297" r:id="rId187" xr:uid="{00000000-0004-0000-5200-0000BA000000}"/>
    <hyperlink ref="O298" r:id="rId188" xr:uid="{00000000-0004-0000-5200-0000BB000000}"/>
    <hyperlink ref="O299" r:id="rId189" xr:uid="{00000000-0004-0000-5200-0000BC000000}"/>
    <hyperlink ref="O300" r:id="rId190" xr:uid="{00000000-0004-0000-5200-0000BD000000}"/>
    <hyperlink ref="O301" r:id="rId191" xr:uid="{00000000-0004-0000-5200-0000BE000000}"/>
    <hyperlink ref="O302" r:id="rId192" xr:uid="{00000000-0004-0000-5200-0000BF000000}"/>
    <hyperlink ref="O303" r:id="rId193" xr:uid="{00000000-0004-0000-5200-0000C0000000}"/>
    <hyperlink ref="O304" r:id="rId194" xr:uid="{00000000-0004-0000-5200-0000C1000000}"/>
    <hyperlink ref="O305" r:id="rId195" xr:uid="{00000000-0004-0000-5200-0000C2000000}"/>
    <hyperlink ref="O306" r:id="rId196" xr:uid="{00000000-0004-0000-5200-0000C3000000}"/>
    <hyperlink ref="O307" r:id="rId197" xr:uid="{00000000-0004-0000-5200-0000C4000000}"/>
    <hyperlink ref="O308" r:id="rId198" xr:uid="{00000000-0004-0000-5200-0000C5000000}"/>
    <hyperlink ref="O309" r:id="rId199" xr:uid="{00000000-0004-0000-5200-0000C6000000}"/>
    <hyperlink ref="O310" r:id="rId200" xr:uid="{00000000-0004-0000-5200-0000C7000000}"/>
    <hyperlink ref="O313" r:id="rId201" xr:uid="{00000000-0004-0000-5200-0000C8000000}"/>
    <hyperlink ref="O314" r:id="rId202" xr:uid="{00000000-0004-0000-5200-0000C9000000}"/>
    <hyperlink ref="O316" r:id="rId203" xr:uid="{00000000-0004-0000-5200-0000CA000000}"/>
    <hyperlink ref="O317" r:id="rId204" xr:uid="{00000000-0004-0000-5200-0000CB000000}"/>
    <hyperlink ref="O319" r:id="rId205" xr:uid="{00000000-0004-0000-5200-0000CC000000}"/>
    <hyperlink ref="O320" r:id="rId206" xr:uid="{00000000-0004-0000-5200-0000CD000000}"/>
    <hyperlink ref="O322" r:id="rId207" xr:uid="{00000000-0004-0000-5200-0000CE000000}"/>
    <hyperlink ref="O323" r:id="rId208" xr:uid="{00000000-0004-0000-5200-0000CF000000}"/>
    <hyperlink ref="O325" r:id="rId209" xr:uid="{00000000-0004-0000-5200-0000D0000000}"/>
    <hyperlink ref="O326" r:id="rId210" xr:uid="{00000000-0004-0000-5200-0000D1000000}"/>
    <hyperlink ref="O328" r:id="rId211" xr:uid="{00000000-0004-0000-5200-0000D2000000}"/>
    <hyperlink ref="O329" r:id="rId212" xr:uid="{00000000-0004-0000-5200-0000D3000000}"/>
    <hyperlink ref="O331" r:id="rId213" xr:uid="{00000000-0004-0000-5200-0000D4000000}"/>
    <hyperlink ref="O332" r:id="rId214" xr:uid="{00000000-0004-0000-5200-0000D5000000}"/>
    <hyperlink ref="O334" r:id="rId215" xr:uid="{00000000-0004-0000-5200-0000D6000000}"/>
    <hyperlink ref="O335" r:id="rId216" xr:uid="{00000000-0004-0000-5200-0000D7000000}"/>
    <hyperlink ref="O337" r:id="rId217" xr:uid="{00000000-0004-0000-5200-0000D8000000}"/>
    <hyperlink ref="O338" r:id="rId218" xr:uid="{00000000-0004-0000-5200-0000D9000000}"/>
    <hyperlink ref="O340" r:id="rId219" xr:uid="{00000000-0004-0000-5200-0000DA000000}"/>
    <hyperlink ref="O341" r:id="rId220" xr:uid="{00000000-0004-0000-5200-0000DB000000}"/>
    <hyperlink ref="O343" r:id="rId221" xr:uid="{00000000-0004-0000-5200-0000DC000000}"/>
    <hyperlink ref="O344" r:id="rId222" xr:uid="{00000000-0004-0000-5200-0000DD000000}"/>
    <hyperlink ref="O346" r:id="rId223" xr:uid="{00000000-0004-0000-5200-0000DE000000}"/>
    <hyperlink ref="O347" r:id="rId224" xr:uid="{00000000-0004-0000-5200-0000DF000000}"/>
    <hyperlink ref="O349" r:id="rId225" xr:uid="{00000000-0004-0000-5200-0000E0000000}"/>
    <hyperlink ref="O350" r:id="rId226" xr:uid="{00000000-0004-0000-5200-0000E1000000}"/>
    <hyperlink ref="O352" r:id="rId227" xr:uid="{00000000-0004-0000-5200-0000E2000000}"/>
    <hyperlink ref="O354" r:id="rId228" xr:uid="{00000000-0004-0000-5200-0000E3000000}"/>
    <hyperlink ref="O355" r:id="rId229" xr:uid="{00000000-0004-0000-5200-0000E4000000}"/>
    <hyperlink ref="O357" r:id="rId230" xr:uid="{00000000-0004-0000-5200-0000E5000000}"/>
    <hyperlink ref="O358" r:id="rId231" xr:uid="{00000000-0004-0000-5200-0000E6000000}"/>
    <hyperlink ref="O360" r:id="rId232" xr:uid="{00000000-0004-0000-5200-0000E7000000}"/>
    <hyperlink ref="O361" r:id="rId233" xr:uid="{00000000-0004-0000-5200-0000E8000000}"/>
    <hyperlink ref="O363" r:id="rId234" xr:uid="{00000000-0004-0000-5200-0000E9000000}"/>
    <hyperlink ref="O364" r:id="rId235" xr:uid="{00000000-0004-0000-5200-0000EA000000}"/>
    <hyperlink ref="O366" r:id="rId236" xr:uid="{00000000-0004-0000-5200-0000EB000000}"/>
    <hyperlink ref="O367" r:id="rId237" xr:uid="{00000000-0004-0000-5200-0000EC000000}"/>
    <hyperlink ref="O369" r:id="rId238" xr:uid="{00000000-0004-0000-5200-0000ED000000}"/>
    <hyperlink ref="O370" r:id="rId239" xr:uid="{00000000-0004-0000-5200-0000EE000000}"/>
    <hyperlink ref="O372" r:id="rId240" xr:uid="{00000000-0004-0000-5200-0000EF000000}"/>
    <hyperlink ref="O373" r:id="rId241" xr:uid="{00000000-0004-0000-5200-0000F0000000}"/>
    <hyperlink ref="O375" r:id="rId242" xr:uid="{00000000-0004-0000-5200-0000F1000000}"/>
    <hyperlink ref="O376" r:id="rId243" xr:uid="{00000000-0004-0000-5200-0000F2000000}"/>
    <hyperlink ref="O378" r:id="rId244" xr:uid="{00000000-0004-0000-5200-0000F3000000}"/>
    <hyperlink ref="O379" r:id="rId245" xr:uid="{00000000-0004-0000-5200-0000F4000000}"/>
    <hyperlink ref="O382" r:id="rId246" xr:uid="{00000000-0004-0000-5200-0000F5000000}"/>
    <hyperlink ref="O383" r:id="rId247" xr:uid="{00000000-0004-0000-5200-0000F6000000}"/>
    <hyperlink ref="O384" r:id="rId248" xr:uid="{00000000-0004-0000-5200-0000F7000000}"/>
    <hyperlink ref="O385" r:id="rId249" xr:uid="{00000000-0004-0000-5200-0000F8000000}"/>
    <hyperlink ref="I387" r:id="rId250" xr:uid="{00000000-0004-0000-5200-0000F9000000}"/>
    <hyperlink ref="O387" r:id="rId251" xr:uid="{00000000-0004-0000-5200-0000FA000000}"/>
    <hyperlink ref="O393" r:id="rId252" xr:uid="{00000000-0004-0000-5200-0000FB000000}"/>
    <hyperlink ref="O394" r:id="rId253" xr:uid="{00000000-0004-0000-5200-0000FC000000}"/>
    <hyperlink ref="O395" r:id="rId254" xr:uid="{00000000-0004-0000-5200-0000FD000000}"/>
    <hyperlink ref="O403" r:id="rId255" xr:uid="{00000000-0004-0000-5200-0000FE000000}"/>
    <hyperlink ref="O404" r:id="rId256" xr:uid="{00000000-0004-0000-5200-0000FF000000}"/>
    <hyperlink ref="O405" r:id="rId257" xr:uid="{00000000-0004-0000-5200-000000010000}"/>
    <hyperlink ref="O406" r:id="rId258" xr:uid="{00000000-0004-0000-5200-000001010000}"/>
    <hyperlink ref="O407" r:id="rId259" xr:uid="{00000000-0004-0000-5200-000002010000}"/>
    <hyperlink ref="O408" r:id="rId260" xr:uid="{00000000-0004-0000-5200-000003010000}"/>
    <hyperlink ref="O409" r:id="rId261" xr:uid="{00000000-0004-0000-5200-000004010000}"/>
    <hyperlink ref="O410" r:id="rId262" xr:uid="{00000000-0004-0000-5200-000005010000}"/>
    <hyperlink ref="O412" r:id="rId263" xr:uid="{00000000-0004-0000-5200-000006010000}"/>
    <hyperlink ref="O413" r:id="rId264" xr:uid="{00000000-0004-0000-5200-000007010000}"/>
    <hyperlink ref="O414" r:id="rId265" xr:uid="{00000000-0004-0000-5200-000008010000}"/>
    <hyperlink ref="O416" r:id="rId266" xr:uid="{00000000-0004-0000-5200-000009010000}"/>
    <hyperlink ref="O417" r:id="rId267" xr:uid="{00000000-0004-0000-5200-00000A010000}"/>
    <hyperlink ref="O418" r:id="rId268" xr:uid="{00000000-0004-0000-5200-00000B010000}"/>
    <hyperlink ref="O420" r:id="rId269" xr:uid="{00000000-0004-0000-5200-00000C010000}"/>
    <hyperlink ref="O421" r:id="rId270" xr:uid="{00000000-0004-0000-5200-00000D010000}"/>
    <hyperlink ref="O422" r:id="rId271" xr:uid="{00000000-0004-0000-5200-00000E010000}"/>
    <hyperlink ref="O428" r:id="rId272" xr:uid="{00000000-0004-0000-5200-00000F010000}"/>
    <hyperlink ref="O429" r:id="rId273" xr:uid="{00000000-0004-0000-5200-000010010000}"/>
    <hyperlink ref="O430" r:id="rId274" xr:uid="{00000000-0004-0000-5200-000011010000}"/>
    <hyperlink ref="O432" r:id="rId275" xr:uid="{00000000-0004-0000-5200-000012010000}"/>
    <hyperlink ref="O433" r:id="rId276" xr:uid="{00000000-0004-0000-5200-000013010000}"/>
    <hyperlink ref="O434" r:id="rId277" xr:uid="{00000000-0004-0000-5200-000014010000}"/>
    <hyperlink ref="O436" r:id="rId278" xr:uid="{00000000-0004-0000-5200-000015010000}"/>
    <hyperlink ref="O437" r:id="rId279" xr:uid="{00000000-0004-0000-5200-000016010000}"/>
    <hyperlink ref="O438" r:id="rId280" xr:uid="{00000000-0004-0000-5200-000017010000}"/>
    <hyperlink ref="O441" r:id="rId281" xr:uid="{00000000-0004-0000-5200-000018010000}"/>
    <hyperlink ref="O442" r:id="rId282" xr:uid="{00000000-0004-0000-5200-000019010000}"/>
    <hyperlink ref="O444" r:id="rId283" xr:uid="{00000000-0004-0000-5200-00001A010000}"/>
    <hyperlink ref="O445" r:id="rId284" xr:uid="{00000000-0004-0000-5200-00001B010000}"/>
    <hyperlink ref="O446" r:id="rId285" xr:uid="{00000000-0004-0000-5200-00001C010000}"/>
    <hyperlink ref="O448" r:id="rId286" xr:uid="{00000000-0004-0000-5200-00001D010000}"/>
    <hyperlink ref="O449" r:id="rId287" xr:uid="{00000000-0004-0000-5200-00001E010000}"/>
    <hyperlink ref="O450" r:id="rId288" xr:uid="{00000000-0004-0000-5200-00001F010000}"/>
    <hyperlink ref="O454" r:id="rId289" xr:uid="{00000000-0004-0000-5200-000020010000}"/>
    <hyperlink ref="O456" r:id="rId290" xr:uid="{00000000-0004-0000-5200-000021010000}"/>
    <hyperlink ref="O457" r:id="rId291" xr:uid="{00000000-0004-0000-5200-000022010000}"/>
    <hyperlink ref="O458" r:id="rId292" xr:uid="{00000000-0004-0000-5200-000023010000}"/>
    <hyperlink ref="O459" r:id="rId293" xr:uid="{00000000-0004-0000-5200-000024010000}"/>
    <hyperlink ref="O460" r:id="rId294" xr:uid="{00000000-0004-0000-5200-000025010000}"/>
    <hyperlink ref="O461" r:id="rId295" xr:uid="{00000000-0004-0000-5200-000026010000}"/>
    <hyperlink ref="O462" r:id="rId296" xr:uid="{00000000-0004-0000-5200-000027010000}"/>
    <hyperlink ref="O463" r:id="rId297" xr:uid="{00000000-0004-0000-5200-000028010000}"/>
    <hyperlink ref="O464" r:id="rId298" xr:uid="{00000000-0004-0000-5200-000029010000}"/>
    <hyperlink ref="O466" r:id="rId299" xr:uid="{00000000-0004-0000-5200-00002A010000}"/>
    <hyperlink ref="O467" r:id="rId300" xr:uid="{00000000-0004-0000-5200-00002B010000}"/>
    <hyperlink ref="O468" r:id="rId301" xr:uid="{00000000-0004-0000-5200-00002C010000}"/>
  </hyperlinks>
  <pageMargins left="0.25" right="0.25" top="0.75" bottom="0.75" header="0" footer="0"/>
  <pageSetup paperSize="9" fitToHeight="0" orientation="landscape"/>
  <drawing r:id="rId302"/>
  <legacyDrawing r:id="rId3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00FF00"/>
    <pageSetUpPr fitToPage="1"/>
  </sheetPr>
  <dimension ref="A1:R278"/>
  <sheetViews>
    <sheetView showGridLines="0" tabSelected="1" topLeftCell="H1" workbookViewId="0">
      <selection activeCell="I22" sqref="I22"/>
    </sheetView>
  </sheetViews>
  <sheetFormatPr defaultColWidth="14.44140625" defaultRowHeight="15" customHeight="1" x14ac:dyDescent="0.3"/>
  <cols>
    <col min="1" max="2" width="3.44140625" customWidth="1"/>
    <col min="3" max="3" width="6.33203125" customWidth="1"/>
    <col min="4" max="7" width="26.5546875" customWidth="1"/>
    <col min="8" max="9" width="38.88671875" customWidth="1"/>
    <col min="10" max="12" width="13.44140625" customWidth="1"/>
    <col min="13" max="13" width="26" customWidth="1"/>
    <col min="14" max="14" width="29.109375" customWidth="1"/>
    <col min="15" max="17" width="13.44140625" customWidth="1"/>
    <col min="18" max="18" width="35.6640625" customWidth="1"/>
  </cols>
  <sheetData>
    <row r="1" spans="1:18" ht="14.4" x14ac:dyDescent="0.3">
      <c r="A1" s="134"/>
      <c r="B1" s="134"/>
      <c r="C1" s="134"/>
      <c r="D1" s="134"/>
      <c r="E1" s="134"/>
      <c r="F1" s="134"/>
      <c r="G1" s="650"/>
      <c r="H1" s="601"/>
      <c r="I1" s="601"/>
      <c r="J1" s="184"/>
      <c r="K1" s="185"/>
      <c r="L1" s="185"/>
      <c r="M1" s="444"/>
      <c r="N1" s="185"/>
      <c r="O1" s="185"/>
      <c r="P1" s="185"/>
      <c r="Q1" s="185"/>
      <c r="R1" s="186"/>
    </row>
    <row r="2" spans="1:18" ht="14.4" x14ac:dyDescent="0.3">
      <c r="A2" s="134"/>
      <c r="B2" s="134"/>
      <c r="C2" s="134"/>
      <c r="D2" s="134"/>
      <c r="E2" s="134"/>
      <c r="F2" s="134"/>
      <c r="G2" s="601"/>
      <c r="H2" s="601"/>
      <c r="I2" s="601"/>
      <c r="J2" s="184"/>
      <c r="K2" s="185"/>
      <c r="L2" s="185"/>
      <c r="M2" s="444"/>
      <c r="N2" s="185"/>
      <c r="O2" s="185"/>
      <c r="P2" s="185"/>
      <c r="Q2" s="185"/>
      <c r="R2" s="186"/>
    </row>
    <row r="3" spans="1:18" ht="14.4" x14ac:dyDescent="0.3">
      <c r="A3" s="134"/>
      <c r="B3" s="134"/>
      <c r="C3" s="134"/>
      <c r="D3" s="134"/>
      <c r="E3" s="134"/>
      <c r="F3" s="134"/>
      <c r="G3" s="601"/>
      <c r="H3" s="601"/>
      <c r="I3" s="601"/>
      <c r="J3" s="184"/>
      <c r="K3" s="185"/>
      <c r="L3" s="185"/>
      <c r="M3" s="444"/>
      <c r="N3" s="185"/>
      <c r="O3" s="185"/>
      <c r="P3" s="185"/>
      <c r="Q3" s="185"/>
      <c r="R3" s="186"/>
    </row>
    <row r="4" spans="1:18" ht="12" customHeight="1" x14ac:dyDescent="0.3">
      <c r="A4" s="135"/>
      <c r="B4" s="135"/>
      <c r="C4" s="135"/>
      <c r="D4" s="135"/>
      <c r="E4" s="135"/>
      <c r="F4" s="135"/>
      <c r="G4" s="135"/>
      <c r="H4" s="135"/>
      <c r="I4" s="135"/>
      <c r="J4" s="187"/>
      <c r="K4" s="135"/>
      <c r="L4" s="135"/>
      <c r="M4" s="429"/>
      <c r="N4" s="135"/>
      <c r="O4" s="135"/>
      <c r="P4" s="135"/>
      <c r="Q4" s="135"/>
      <c r="R4" s="135"/>
    </row>
    <row r="5" spans="1:18" ht="16.5" customHeight="1" x14ac:dyDescent="0.3">
      <c r="A5" s="1"/>
      <c r="B5" s="1"/>
      <c r="C5" s="1"/>
      <c r="D5" s="1"/>
      <c r="E5" s="1"/>
      <c r="F5" s="1"/>
      <c r="G5" s="136"/>
      <c r="H5" s="1"/>
      <c r="I5" s="137" t="s">
        <v>169</v>
      </c>
      <c r="J5" s="207">
        <f ca="1">COUNT(C15:C278)</f>
        <v>255</v>
      </c>
      <c r="K5" s="74">
        <f ca="1">COUNT(C16:C278)</f>
        <v>255</v>
      </c>
      <c r="L5" s="136"/>
      <c r="M5" s="512"/>
      <c r="N5" s="136"/>
      <c r="O5" s="136"/>
      <c r="P5" s="136"/>
      <c r="Q5" s="136"/>
      <c r="R5" s="136"/>
    </row>
    <row r="6" spans="1:18" ht="16.5" customHeight="1" x14ac:dyDescent="0.3">
      <c r="A6" s="188"/>
      <c r="B6" s="653" t="s">
        <v>170</v>
      </c>
      <c r="C6" s="602"/>
      <c r="D6" s="602"/>
      <c r="E6" s="138" t="s">
        <v>449</v>
      </c>
      <c r="F6" s="139" t="s">
        <v>171</v>
      </c>
      <c r="G6" s="140"/>
      <c r="H6" s="1"/>
      <c r="I6" s="141" t="s">
        <v>15</v>
      </c>
      <c r="J6" s="272">
        <f t="shared" ref="J6:J9" si="0">COUNTIF(J$15:J278,I6)</f>
        <v>253</v>
      </c>
      <c r="K6" s="97">
        <f t="shared" ref="K6:K9" si="1">COUNTIF(N$16:N278,I6)</f>
        <v>234</v>
      </c>
      <c r="L6" s="136"/>
      <c r="M6" s="512"/>
      <c r="N6" s="136"/>
      <c r="O6" s="136"/>
      <c r="P6" s="136"/>
      <c r="Q6" s="136"/>
      <c r="R6" s="136"/>
    </row>
    <row r="7" spans="1:18" ht="37.5" customHeight="1" x14ac:dyDescent="0.3">
      <c r="A7" s="188"/>
      <c r="B7" s="653" t="s">
        <v>172</v>
      </c>
      <c r="C7" s="602"/>
      <c r="D7" s="602"/>
      <c r="E7" s="138" t="s">
        <v>1522</v>
      </c>
      <c r="F7" s="139" t="s">
        <v>173</v>
      </c>
      <c r="G7" s="140">
        <v>46007</v>
      </c>
      <c r="H7" s="1"/>
      <c r="I7" s="141" t="s">
        <v>158</v>
      </c>
      <c r="J7" s="272">
        <f t="shared" si="0"/>
        <v>0</v>
      </c>
      <c r="K7" s="97">
        <f t="shared" si="1"/>
        <v>18</v>
      </c>
      <c r="L7" s="136"/>
      <c r="M7" s="512"/>
      <c r="N7" s="136"/>
      <c r="O7" s="136"/>
      <c r="P7" s="136"/>
      <c r="Q7" s="136"/>
      <c r="R7" s="136"/>
    </row>
    <row r="8" spans="1:18" ht="16.5" customHeight="1" x14ac:dyDescent="0.3">
      <c r="A8" s="188"/>
      <c r="B8" s="653" t="s">
        <v>174</v>
      </c>
      <c r="C8" s="602"/>
      <c r="D8" s="602"/>
      <c r="E8" s="138" t="s">
        <v>434</v>
      </c>
      <c r="F8" s="139" t="s">
        <v>175</v>
      </c>
      <c r="G8" s="142" t="s">
        <v>5</v>
      </c>
      <c r="H8" s="1"/>
      <c r="I8" s="141" t="s">
        <v>46</v>
      </c>
      <c r="J8" s="272">
        <f t="shared" si="0"/>
        <v>2</v>
      </c>
      <c r="K8" s="97">
        <f t="shared" si="1"/>
        <v>2</v>
      </c>
      <c r="L8" s="136"/>
      <c r="M8" s="512"/>
      <c r="N8" s="136"/>
      <c r="O8" s="136"/>
      <c r="P8" s="136"/>
      <c r="Q8" s="136"/>
      <c r="R8" s="136"/>
    </row>
    <row r="9" spans="1:18" ht="16.5" customHeight="1" x14ac:dyDescent="0.3">
      <c r="A9" s="188"/>
      <c r="B9" s="653" t="s">
        <v>176</v>
      </c>
      <c r="C9" s="602"/>
      <c r="D9" s="602"/>
      <c r="E9" s="143"/>
      <c r="F9" s="144"/>
      <c r="G9" s="142"/>
      <c r="H9" s="1"/>
      <c r="I9" s="141" t="s">
        <v>47</v>
      </c>
      <c r="J9" s="272">
        <f t="shared" si="0"/>
        <v>0</v>
      </c>
      <c r="K9" s="97">
        <f t="shared" si="1"/>
        <v>1</v>
      </c>
      <c r="L9" s="136"/>
      <c r="M9" s="512"/>
      <c r="N9" s="136"/>
      <c r="O9" s="136"/>
      <c r="P9" s="136"/>
      <c r="Q9" s="136"/>
      <c r="R9" s="136"/>
    </row>
    <row r="10" spans="1:18" ht="16.5" customHeight="1" x14ac:dyDescent="0.3">
      <c r="A10" s="189"/>
      <c r="B10" s="145"/>
      <c r="C10" s="145"/>
      <c r="D10" s="145"/>
      <c r="E10" s="146"/>
      <c r="F10" s="147"/>
      <c r="G10" s="146"/>
      <c r="H10" s="1"/>
      <c r="I10" s="148" t="s">
        <v>177</v>
      </c>
      <c r="J10" s="217">
        <f t="shared" ref="J10:K10" ca="1" si="2">SUM(J6:J8)/J5</f>
        <v>1</v>
      </c>
      <c r="K10" s="217">
        <f t="shared" ca="1" si="2"/>
        <v>0.99607843137254903</v>
      </c>
      <c r="L10" s="1"/>
      <c r="M10" s="430"/>
      <c r="N10" s="1"/>
      <c r="O10" s="1"/>
      <c r="P10" s="1"/>
      <c r="Q10" s="1"/>
      <c r="R10" s="1"/>
    </row>
    <row r="11" spans="1:18" ht="16.5" customHeight="1" x14ac:dyDescent="0.3">
      <c r="A11" s="189"/>
      <c r="B11" s="149"/>
      <c r="C11" s="149"/>
      <c r="D11" s="149"/>
      <c r="E11" s="146"/>
      <c r="F11" s="147"/>
      <c r="G11" s="146"/>
      <c r="H11" s="1"/>
      <c r="I11" s="1"/>
      <c r="J11" s="218" t="s">
        <v>1</v>
      </c>
      <c r="K11" s="87" t="s">
        <v>49</v>
      </c>
      <c r="L11" s="1"/>
      <c r="M11" s="430"/>
      <c r="N11" s="1"/>
      <c r="O11" s="1"/>
      <c r="P11" s="1"/>
      <c r="Q11" s="1"/>
      <c r="R11" s="1"/>
    </row>
    <row r="12" spans="1:18" ht="14.4" x14ac:dyDescent="0.3">
      <c r="A12" s="1"/>
      <c r="B12" s="648" t="s">
        <v>178</v>
      </c>
      <c r="C12" s="605"/>
      <c r="D12" s="649" t="s">
        <v>179</v>
      </c>
      <c r="E12" s="649" t="s">
        <v>180</v>
      </c>
      <c r="F12" s="648" t="s">
        <v>181</v>
      </c>
      <c r="G12" s="647" t="s">
        <v>182</v>
      </c>
      <c r="H12" s="648" t="s">
        <v>183</v>
      </c>
      <c r="I12" s="648" t="s">
        <v>184</v>
      </c>
      <c r="J12" s="647" t="s">
        <v>429</v>
      </c>
      <c r="K12" s="647" t="s">
        <v>185</v>
      </c>
      <c r="L12" s="647" t="s">
        <v>3</v>
      </c>
      <c r="M12" s="693" t="s">
        <v>186</v>
      </c>
      <c r="N12" s="661" t="s">
        <v>187</v>
      </c>
      <c r="O12" s="661" t="s">
        <v>188</v>
      </c>
      <c r="P12" s="661" t="s">
        <v>185</v>
      </c>
      <c r="Q12" s="661" t="s">
        <v>189</v>
      </c>
      <c r="R12" s="651" t="s">
        <v>190</v>
      </c>
    </row>
    <row r="13" spans="1:18" ht="14.4" x14ac:dyDescent="0.3">
      <c r="A13" s="1"/>
      <c r="B13" s="608"/>
      <c r="C13" s="610"/>
      <c r="D13" s="635"/>
      <c r="E13" s="635"/>
      <c r="F13" s="608"/>
      <c r="G13" s="635"/>
      <c r="H13" s="608"/>
      <c r="I13" s="608"/>
      <c r="J13" s="635"/>
      <c r="K13" s="635"/>
      <c r="L13" s="635"/>
      <c r="M13" s="635"/>
      <c r="N13" s="635"/>
      <c r="O13" s="635"/>
      <c r="P13" s="635"/>
      <c r="Q13" s="635"/>
      <c r="R13" s="635"/>
    </row>
    <row r="14" spans="1:18" ht="21.75" customHeight="1" x14ac:dyDescent="0.3">
      <c r="A14" s="190"/>
      <c r="B14" s="105" t="s">
        <v>465</v>
      </c>
      <c r="C14" s="106"/>
      <c r="D14" s="106"/>
      <c r="E14" s="106"/>
      <c r="F14" s="106"/>
      <c r="G14" s="106"/>
      <c r="H14" s="106"/>
      <c r="I14" s="106"/>
      <c r="J14" s="108"/>
      <c r="K14" s="106"/>
      <c r="L14" s="106"/>
      <c r="M14" s="347"/>
      <c r="N14" s="106"/>
      <c r="O14" s="106"/>
      <c r="P14" s="106"/>
      <c r="Q14" s="106"/>
      <c r="R14" s="106"/>
    </row>
    <row r="15" spans="1:18" ht="15.75" customHeight="1" x14ac:dyDescent="0.3">
      <c r="A15" s="190"/>
      <c r="B15" s="652" t="s">
        <v>191</v>
      </c>
      <c r="C15" s="602"/>
      <c r="D15" s="602"/>
      <c r="E15" s="602"/>
      <c r="F15" s="602"/>
      <c r="G15" s="602"/>
      <c r="H15" s="602"/>
      <c r="I15" s="602"/>
      <c r="J15" s="602"/>
      <c r="K15" s="602"/>
      <c r="L15" s="602"/>
      <c r="M15" s="602"/>
      <c r="N15" s="602"/>
      <c r="O15" s="602"/>
      <c r="P15" s="602"/>
      <c r="Q15" s="602"/>
      <c r="R15" s="602"/>
    </row>
    <row r="16" spans="1:18" ht="15.75" customHeight="1" x14ac:dyDescent="0.3">
      <c r="A16" s="190"/>
      <c r="B16" s="190"/>
      <c r="C16" s="191" t="s">
        <v>192</v>
      </c>
      <c r="D16" s="150"/>
      <c r="E16" s="150"/>
      <c r="F16" s="150"/>
      <c r="G16" s="150"/>
      <c r="H16" s="150"/>
      <c r="I16" s="150"/>
      <c r="J16" s="192"/>
      <c r="K16" s="150"/>
      <c r="L16" s="150"/>
      <c r="M16" s="296"/>
      <c r="N16" s="150"/>
      <c r="O16" s="113">
        <f>COUNTIF(O17:O278, "Done")</f>
        <v>58</v>
      </c>
      <c r="P16" s="150"/>
      <c r="Q16" s="150"/>
      <c r="R16" s="150"/>
    </row>
    <row r="17" spans="1:18" ht="15.75" customHeight="1" x14ac:dyDescent="0.3">
      <c r="A17" s="104" t="s">
        <v>208</v>
      </c>
      <c r="B17" s="104"/>
      <c r="C17" s="130">
        <f t="shared" ref="C17:C24" ca="1" si="3">1+COUNT(INDIRECT("A1:"&amp;(ADDRESS(ROW()-1,COLUMN()))))</f>
        <v>1</v>
      </c>
      <c r="D17" s="656" t="s">
        <v>193</v>
      </c>
      <c r="E17" s="151"/>
      <c r="F17" s="154"/>
      <c r="G17" s="152" t="s">
        <v>209</v>
      </c>
      <c r="H17" s="116" t="s">
        <v>1523</v>
      </c>
      <c r="I17" s="156" t="s">
        <v>1524</v>
      </c>
      <c r="J17" s="75" t="s">
        <v>15</v>
      </c>
      <c r="K17" s="407">
        <v>46083</v>
      </c>
      <c r="L17" s="40" t="s">
        <v>6</v>
      </c>
      <c r="M17" s="349" t="s">
        <v>486</v>
      </c>
      <c r="N17" s="75" t="s">
        <v>15</v>
      </c>
      <c r="O17" s="117"/>
      <c r="P17" s="407">
        <v>46076</v>
      </c>
      <c r="Q17" s="40" t="s">
        <v>469</v>
      </c>
      <c r="R17" s="83"/>
    </row>
    <row r="18" spans="1:18" ht="15.75" customHeight="1" x14ac:dyDescent="0.3">
      <c r="A18" s="104"/>
      <c r="B18" s="104"/>
      <c r="C18" s="130">
        <f t="shared" ca="1" si="3"/>
        <v>2</v>
      </c>
      <c r="D18" s="636"/>
      <c r="E18" s="151"/>
      <c r="F18" s="154"/>
      <c r="G18" s="152" t="s">
        <v>209</v>
      </c>
      <c r="H18" s="116" t="s">
        <v>1525</v>
      </c>
      <c r="I18" s="156" t="s">
        <v>1526</v>
      </c>
      <c r="J18" s="75" t="s">
        <v>15</v>
      </c>
      <c r="K18" s="407">
        <v>46083</v>
      </c>
      <c r="L18" s="40" t="s">
        <v>6</v>
      </c>
      <c r="M18" s="349" t="s">
        <v>1527</v>
      </c>
      <c r="N18" s="75" t="s">
        <v>15</v>
      </c>
      <c r="O18" s="117"/>
      <c r="P18" s="407">
        <v>46076</v>
      </c>
      <c r="Q18" s="40" t="s">
        <v>469</v>
      </c>
      <c r="R18" s="83"/>
    </row>
    <row r="19" spans="1:18" ht="15.75" customHeight="1" x14ac:dyDescent="0.3">
      <c r="A19" s="104"/>
      <c r="B19" s="104"/>
      <c r="C19" s="130">
        <f t="shared" ca="1" si="3"/>
        <v>3</v>
      </c>
      <c r="D19" s="635"/>
      <c r="E19" s="157"/>
      <c r="F19" s="154"/>
      <c r="G19" s="152" t="s">
        <v>209</v>
      </c>
      <c r="H19" s="116" t="s">
        <v>1528</v>
      </c>
      <c r="I19" s="156" t="s">
        <v>1529</v>
      </c>
      <c r="J19" s="75" t="s">
        <v>15</v>
      </c>
      <c r="K19" s="407">
        <v>46083</v>
      </c>
      <c r="L19" s="40" t="s">
        <v>6</v>
      </c>
      <c r="M19" s="349" t="s">
        <v>1530</v>
      </c>
      <c r="N19" s="75" t="s">
        <v>15</v>
      </c>
      <c r="O19" s="117"/>
      <c r="P19" s="407">
        <v>46076</v>
      </c>
      <c r="Q19" s="40" t="s">
        <v>469</v>
      </c>
      <c r="R19" s="121"/>
    </row>
    <row r="20" spans="1:18" ht="15.75" customHeight="1" x14ac:dyDescent="0.3">
      <c r="A20" s="104"/>
      <c r="B20" s="104"/>
      <c r="C20" s="130">
        <f t="shared" ca="1" si="3"/>
        <v>4</v>
      </c>
      <c r="D20" s="656" t="s">
        <v>210</v>
      </c>
      <c r="E20" s="157" t="s">
        <v>1531</v>
      </c>
      <c r="F20" s="158"/>
      <c r="G20" s="152" t="s">
        <v>1532</v>
      </c>
      <c r="H20" s="238" t="s">
        <v>1533</v>
      </c>
      <c r="I20" s="156" t="s">
        <v>1534</v>
      </c>
      <c r="J20" s="75" t="s">
        <v>15</v>
      </c>
      <c r="K20" s="407">
        <v>46098</v>
      </c>
      <c r="L20" s="40" t="s">
        <v>6</v>
      </c>
      <c r="M20" s="349" t="s">
        <v>1535</v>
      </c>
      <c r="N20" s="75" t="s">
        <v>15</v>
      </c>
      <c r="O20" s="117"/>
      <c r="P20" s="407">
        <v>46076</v>
      </c>
      <c r="Q20" s="40" t="s">
        <v>469</v>
      </c>
      <c r="R20" s="118" t="s">
        <v>1536</v>
      </c>
    </row>
    <row r="21" spans="1:18" ht="15.75" customHeight="1" x14ac:dyDescent="0.3">
      <c r="A21" s="104"/>
      <c r="B21" s="104"/>
      <c r="C21" s="130">
        <f t="shared" ca="1" si="3"/>
        <v>5</v>
      </c>
      <c r="D21" s="636"/>
      <c r="E21" s="157" t="s">
        <v>1537</v>
      </c>
      <c r="F21" s="158"/>
      <c r="G21" s="152" t="s">
        <v>206</v>
      </c>
      <c r="H21" s="238" t="s">
        <v>1533</v>
      </c>
      <c r="I21" s="156" t="s">
        <v>1534</v>
      </c>
      <c r="J21" s="75" t="s">
        <v>15</v>
      </c>
      <c r="K21" s="407">
        <v>46098</v>
      </c>
      <c r="L21" s="40" t="s">
        <v>6</v>
      </c>
      <c r="M21" s="349" t="s">
        <v>501</v>
      </c>
      <c r="N21" s="75" t="s">
        <v>15</v>
      </c>
      <c r="O21" s="117"/>
      <c r="P21" s="407">
        <v>46076</v>
      </c>
      <c r="Q21" s="40" t="s">
        <v>469</v>
      </c>
      <c r="R21" s="118" t="s">
        <v>1536</v>
      </c>
    </row>
    <row r="22" spans="1:18" ht="15.75" customHeight="1" x14ac:dyDescent="0.3">
      <c r="A22" s="104"/>
      <c r="B22" s="104"/>
      <c r="C22" s="130">
        <f t="shared" ca="1" si="3"/>
        <v>6</v>
      </c>
      <c r="D22" s="636"/>
      <c r="E22" s="157" t="s">
        <v>1538</v>
      </c>
      <c r="F22" s="158"/>
      <c r="G22" s="152" t="s">
        <v>206</v>
      </c>
      <c r="H22" s="238" t="s">
        <v>1533</v>
      </c>
      <c r="I22" s="156" t="s">
        <v>1534</v>
      </c>
      <c r="J22" s="75" t="s">
        <v>46</v>
      </c>
      <c r="K22" s="82"/>
      <c r="L22" s="40"/>
      <c r="M22" s="356"/>
      <c r="N22" s="75" t="s">
        <v>46</v>
      </c>
      <c r="O22" s="117"/>
      <c r="P22" s="407">
        <v>46076</v>
      </c>
      <c r="Q22" s="40" t="s">
        <v>469</v>
      </c>
      <c r="R22" s="118" t="s">
        <v>1536</v>
      </c>
    </row>
    <row r="23" spans="1:18" ht="15.75" customHeight="1" x14ac:dyDescent="0.3">
      <c r="A23" s="104"/>
      <c r="B23" s="104"/>
      <c r="C23" s="130">
        <f t="shared" ca="1" si="3"/>
        <v>7</v>
      </c>
      <c r="D23" s="636"/>
      <c r="E23" s="157" t="s">
        <v>1539</v>
      </c>
      <c r="F23" s="158"/>
      <c r="G23" s="152" t="s">
        <v>206</v>
      </c>
      <c r="H23" s="238" t="s">
        <v>1533</v>
      </c>
      <c r="I23" s="156" t="s">
        <v>1540</v>
      </c>
      <c r="J23" s="75" t="s">
        <v>46</v>
      </c>
      <c r="K23" s="82"/>
      <c r="L23" s="40"/>
      <c r="M23" s="356"/>
      <c r="N23" s="75" t="s">
        <v>46</v>
      </c>
      <c r="O23" s="117"/>
      <c r="P23" s="407">
        <v>46076</v>
      </c>
      <c r="Q23" s="40" t="s">
        <v>469</v>
      </c>
      <c r="R23" s="118" t="s">
        <v>1536</v>
      </c>
    </row>
    <row r="24" spans="1:18" ht="15.75" customHeight="1" x14ac:dyDescent="0.3">
      <c r="A24" s="104"/>
      <c r="B24" s="104"/>
      <c r="C24" s="130">
        <f t="shared" ca="1" si="3"/>
        <v>8</v>
      </c>
      <c r="D24" s="159" t="s">
        <v>212</v>
      </c>
      <c r="E24" s="160"/>
      <c r="F24" s="158"/>
      <c r="G24" s="154" t="s">
        <v>213</v>
      </c>
      <c r="H24" s="152" t="s">
        <v>1541</v>
      </c>
      <c r="I24" s="156" t="s">
        <v>1542</v>
      </c>
      <c r="J24" s="75" t="s">
        <v>15</v>
      </c>
      <c r="K24" s="407">
        <v>46083</v>
      </c>
      <c r="L24" s="40" t="s">
        <v>6</v>
      </c>
      <c r="M24" s="349" t="s">
        <v>1543</v>
      </c>
      <c r="N24" s="75" t="s">
        <v>15</v>
      </c>
      <c r="O24" s="117" t="s">
        <v>211</v>
      </c>
      <c r="P24" s="407">
        <v>46076</v>
      </c>
      <c r="Q24" s="40" t="s">
        <v>469</v>
      </c>
      <c r="R24" s="118" t="s">
        <v>1544</v>
      </c>
    </row>
    <row r="25" spans="1:18" ht="15.75" customHeight="1" x14ac:dyDescent="0.3">
      <c r="A25" s="190"/>
      <c r="B25" s="652" t="s">
        <v>194</v>
      </c>
      <c r="C25" s="602"/>
      <c r="D25" s="602"/>
      <c r="E25" s="602"/>
      <c r="F25" s="602"/>
      <c r="G25" s="602"/>
      <c r="H25" s="602"/>
      <c r="I25" s="602"/>
      <c r="J25" s="602"/>
      <c r="K25" s="602"/>
      <c r="L25" s="602"/>
      <c r="M25" s="602"/>
      <c r="N25" s="602"/>
      <c r="O25" s="602"/>
      <c r="P25" s="602"/>
      <c r="Q25" s="602"/>
      <c r="R25" s="602"/>
    </row>
    <row r="26" spans="1:18" ht="15.75" customHeight="1" x14ac:dyDescent="0.3">
      <c r="A26" s="104"/>
      <c r="B26" s="104"/>
      <c r="C26" s="130">
        <f t="shared" ref="C26:C48" ca="1" si="4">1+COUNT(INDIRECT("A1:"&amp;(ADDRESS(ROW()-1,COLUMN()))))</f>
        <v>9</v>
      </c>
      <c r="D26" s="181" t="s">
        <v>195</v>
      </c>
      <c r="E26" s="201" t="s">
        <v>214</v>
      </c>
      <c r="F26" s="115" t="s">
        <v>215</v>
      </c>
      <c r="G26" s="178"/>
      <c r="H26" s="124" t="s">
        <v>231</v>
      </c>
      <c r="I26" s="411" t="s">
        <v>1545</v>
      </c>
      <c r="J26" s="75" t="s">
        <v>15</v>
      </c>
      <c r="K26" s="407">
        <v>46085</v>
      </c>
      <c r="L26" s="40" t="s">
        <v>6</v>
      </c>
      <c r="M26" s="349" t="s">
        <v>1546</v>
      </c>
      <c r="N26" s="75" t="s">
        <v>15</v>
      </c>
      <c r="O26" s="117" t="s">
        <v>211</v>
      </c>
      <c r="P26" s="407">
        <v>46076</v>
      </c>
      <c r="Q26" s="40" t="s">
        <v>469</v>
      </c>
      <c r="R26" s="437" t="s">
        <v>1547</v>
      </c>
    </row>
    <row r="27" spans="1:18" ht="409.5" customHeight="1" x14ac:dyDescent="0.3">
      <c r="A27" s="104"/>
      <c r="B27" s="104"/>
      <c r="C27" s="130">
        <f t="shared" ca="1" si="4"/>
        <v>10</v>
      </c>
      <c r="D27" s="656" t="s">
        <v>470</v>
      </c>
      <c r="E27" s="656" t="s">
        <v>221</v>
      </c>
      <c r="F27" s="692"/>
      <c r="G27" s="178"/>
      <c r="H27" s="127" t="s">
        <v>471</v>
      </c>
      <c r="I27" s="412" t="s">
        <v>1548</v>
      </c>
      <c r="J27" s="75" t="s">
        <v>15</v>
      </c>
      <c r="K27" s="407">
        <v>46085</v>
      </c>
      <c r="L27" s="40" t="s">
        <v>6</v>
      </c>
      <c r="M27" s="349" t="s">
        <v>1543</v>
      </c>
      <c r="N27" s="75" t="s">
        <v>15</v>
      </c>
      <c r="O27" s="117"/>
      <c r="P27" s="407">
        <v>46076</v>
      </c>
      <c r="Q27" s="40" t="s">
        <v>469</v>
      </c>
      <c r="R27" s="364" t="s">
        <v>1549</v>
      </c>
    </row>
    <row r="28" spans="1:18" ht="34.5" customHeight="1" x14ac:dyDescent="0.3">
      <c r="A28" s="190"/>
      <c r="B28" s="190"/>
      <c r="C28" s="130">
        <f t="shared" ca="1" si="4"/>
        <v>11</v>
      </c>
      <c r="D28" s="635"/>
      <c r="E28" s="635"/>
      <c r="F28" s="608"/>
      <c r="G28" s="179" t="s">
        <v>1550</v>
      </c>
      <c r="H28" s="127" t="s">
        <v>1551</v>
      </c>
      <c r="I28" s="308" t="s">
        <v>1552</v>
      </c>
      <c r="J28" s="75" t="s">
        <v>15</v>
      </c>
      <c r="K28" s="407">
        <v>46085</v>
      </c>
      <c r="L28" s="40" t="s">
        <v>6</v>
      </c>
      <c r="M28" s="445" t="s">
        <v>524</v>
      </c>
      <c r="N28" s="75" t="s">
        <v>15</v>
      </c>
      <c r="O28" s="117"/>
      <c r="P28" s="407">
        <v>46076</v>
      </c>
      <c r="Q28" s="40" t="s">
        <v>469</v>
      </c>
      <c r="R28" s="208"/>
    </row>
    <row r="29" spans="1:18" ht="34.5" customHeight="1" x14ac:dyDescent="0.3">
      <c r="A29" s="190"/>
      <c r="B29" s="190"/>
      <c r="C29" s="130">
        <f t="shared" ca="1" si="4"/>
        <v>12</v>
      </c>
      <c r="D29" s="181" t="s">
        <v>1553</v>
      </c>
      <c r="E29" s="199" t="s">
        <v>198</v>
      </c>
      <c r="F29" s="115"/>
      <c r="G29" s="179"/>
      <c r="H29" s="127" t="s">
        <v>199</v>
      </c>
      <c r="I29" s="308" t="s">
        <v>1554</v>
      </c>
      <c r="J29" s="75" t="s">
        <v>15</v>
      </c>
      <c r="K29" s="407">
        <v>46083</v>
      </c>
      <c r="L29" s="40" t="s">
        <v>6</v>
      </c>
      <c r="M29" s="445" t="s">
        <v>527</v>
      </c>
      <c r="N29" s="75" t="s">
        <v>15</v>
      </c>
      <c r="O29" s="117"/>
      <c r="P29" s="407">
        <v>46076</v>
      </c>
      <c r="Q29" s="40" t="s">
        <v>469</v>
      </c>
      <c r="R29" s="208"/>
    </row>
    <row r="30" spans="1:18" ht="15.75" customHeight="1" x14ac:dyDescent="0.3">
      <c r="A30" s="190"/>
      <c r="B30" s="190"/>
      <c r="C30" s="130">
        <f t="shared" ca="1" si="4"/>
        <v>13</v>
      </c>
      <c r="D30" s="181" t="s">
        <v>472</v>
      </c>
      <c r="E30" s="127" t="s">
        <v>216</v>
      </c>
      <c r="F30" s="200" t="s">
        <v>207</v>
      </c>
      <c r="G30" s="307"/>
      <c r="H30" s="127" t="s">
        <v>441</v>
      </c>
      <c r="I30" s="127" t="s">
        <v>1555</v>
      </c>
      <c r="J30" s="75" t="s">
        <v>15</v>
      </c>
      <c r="K30" s="407">
        <v>46083</v>
      </c>
      <c r="L30" s="40" t="s">
        <v>6</v>
      </c>
      <c r="M30" s="445" t="s">
        <v>530</v>
      </c>
      <c r="N30" s="75" t="s">
        <v>15</v>
      </c>
      <c r="O30" s="117"/>
      <c r="P30" s="407">
        <v>46076</v>
      </c>
      <c r="Q30" s="40" t="s">
        <v>469</v>
      </c>
      <c r="R30" s="208"/>
    </row>
    <row r="31" spans="1:18" ht="14.4" x14ac:dyDescent="0.3">
      <c r="A31" s="190"/>
      <c r="B31" s="190"/>
      <c r="C31" s="130">
        <f t="shared" ca="1" si="4"/>
        <v>14</v>
      </c>
      <c r="D31" s="124" t="s">
        <v>1556</v>
      </c>
      <c r="E31" s="199" t="s">
        <v>415</v>
      </c>
      <c r="F31" s="115"/>
      <c r="G31" s="179"/>
      <c r="H31" s="127" t="s">
        <v>199</v>
      </c>
      <c r="I31" s="308" t="s">
        <v>228</v>
      </c>
      <c r="J31" s="75" t="s">
        <v>15</v>
      </c>
      <c r="K31" s="407">
        <v>46083</v>
      </c>
      <c r="L31" s="40" t="s">
        <v>6</v>
      </c>
      <c r="M31" s="445" t="s">
        <v>534</v>
      </c>
      <c r="N31" s="75" t="s">
        <v>15</v>
      </c>
      <c r="O31" s="117"/>
      <c r="P31" s="407">
        <v>46076</v>
      </c>
      <c r="Q31" s="40" t="s">
        <v>469</v>
      </c>
      <c r="R31" s="208"/>
    </row>
    <row r="32" spans="1:18" ht="82.8" x14ac:dyDescent="0.3">
      <c r="A32" s="190"/>
      <c r="B32" s="190"/>
      <c r="C32" s="130">
        <f t="shared" ca="1" si="4"/>
        <v>15</v>
      </c>
      <c r="D32" s="656" t="s">
        <v>1557</v>
      </c>
      <c r="E32" s="199"/>
      <c r="F32" s="446"/>
      <c r="G32" s="115" t="s">
        <v>1558</v>
      </c>
      <c r="H32" s="203" t="s">
        <v>1559</v>
      </c>
      <c r="I32" s="365" t="s">
        <v>1560</v>
      </c>
      <c r="J32" s="75" t="s">
        <v>15</v>
      </c>
      <c r="K32" s="407">
        <v>46083</v>
      </c>
      <c r="L32" s="40" t="s">
        <v>6</v>
      </c>
      <c r="M32" s="445" t="s">
        <v>537</v>
      </c>
      <c r="N32" s="75" t="s">
        <v>15</v>
      </c>
      <c r="O32" s="117"/>
      <c r="P32" s="407">
        <v>46076</v>
      </c>
      <c r="Q32" s="40" t="s">
        <v>469</v>
      </c>
      <c r="R32" s="208"/>
    </row>
    <row r="33" spans="1:18" ht="96.6" x14ac:dyDescent="0.3">
      <c r="A33" s="190"/>
      <c r="B33" s="190"/>
      <c r="C33" s="130">
        <f t="shared" ca="1" si="4"/>
        <v>16</v>
      </c>
      <c r="D33" s="636"/>
      <c r="E33" s="199" t="s">
        <v>415</v>
      </c>
      <c r="F33" s="115"/>
      <c r="G33" s="115" t="s">
        <v>1561</v>
      </c>
      <c r="H33" s="177" t="s">
        <v>466</v>
      </c>
      <c r="I33" s="365" t="s">
        <v>1562</v>
      </c>
      <c r="J33" s="75" t="s">
        <v>15</v>
      </c>
      <c r="K33" s="407">
        <v>46083</v>
      </c>
      <c r="L33" s="40" t="s">
        <v>6</v>
      </c>
      <c r="M33" s="445" t="s">
        <v>541</v>
      </c>
      <c r="N33" s="75" t="s">
        <v>15</v>
      </c>
      <c r="O33" s="117"/>
      <c r="P33" s="407">
        <v>46076</v>
      </c>
      <c r="Q33" s="40" t="s">
        <v>469</v>
      </c>
      <c r="R33" s="129"/>
    </row>
    <row r="34" spans="1:18" ht="96.6" x14ac:dyDescent="0.3">
      <c r="A34" s="190"/>
      <c r="B34" s="190"/>
      <c r="C34" s="130">
        <f t="shared" ca="1" si="4"/>
        <v>17</v>
      </c>
      <c r="D34" s="636"/>
      <c r="E34" s="199" t="s">
        <v>415</v>
      </c>
      <c r="F34" s="115"/>
      <c r="G34" s="115" t="s">
        <v>1563</v>
      </c>
      <c r="H34" s="177" t="s">
        <v>466</v>
      </c>
      <c r="I34" s="365" t="s">
        <v>1564</v>
      </c>
      <c r="J34" s="75" t="s">
        <v>15</v>
      </c>
      <c r="K34" s="407">
        <v>46083</v>
      </c>
      <c r="L34" s="40" t="s">
        <v>6</v>
      </c>
      <c r="M34" s="445" t="s">
        <v>544</v>
      </c>
      <c r="N34" s="75" t="s">
        <v>15</v>
      </c>
      <c r="O34" s="117"/>
      <c r="P34" s="407">
        <v>46076</v>
      </c>
      <c r="Q34" s="40" t="s">
        <v>469</v>
      </c>
      <c r="R34" s="127"/>
    </row>
    <row r="35" spans="1:18" ht="96.6" x14ac:dyDescent="0.3">
      <c r="A35" s="190"/>
      <c r="B35" s="190"/>
      <c r="C35" s="130">
        <f t="shared" ca="1" si="4"/>
        <v>18</v>
      </c>
      <c r="D35" s="636"/>
      <c r="E35" s="199" t="s">
        <v>415</v>
      </c>
      <c r="F35" s="115"/>
      <c r="G35" s="115" t="s">
        <v>1565</v>
      </c>
      <c r="H35" s="177" t="s">
        <v>466</v>
      </c>
      <c r="I35" s="365" t="s">
        <v>1566</v>
      </c>
      <c r="J35" s="75" t="s">
        <v>15</v>
      </c>
      <c r="K35" s="407">
        <v>46083</v>
      </c>
      <c r="L35" s="40" t="s">
        <v>6</v>
      </c>
      <c r="M35" s="445" t="s">
        <v>549</v>
      </c>
      <c r="N35" s="75" t="s">
        <v>15</v>
      </c>
      <c r="O35" s="117"/>
      <c r="P35" s="407">
        <v>46076</v>
      </c>
      <c r="Q35" s="40" t="s">
        <v>469</v>
      </c>
      <c r="R35" s="127"/>
    </row>
    <row r="36" spans="1:18" ht="110.4" x14ac:dyDescent="0.3">
      <c r="A36" s="190"/>
      <c r="B36" s="190"/>
      <c r="C36" s="130">
        <f t="shared" ca="1" si="4"/>
        <v>19</v>
      </c>
      <c r="D36" s="635"/>
      <c r="E36" s="199" t="s">
        <v>415</v>
      </c>
      <c r="F36" s="115"/>
      <c r="G36" s="115" t="s">
        <v>1567</v>
      </c>
      <c r="H36" s="177" t="s">
        <v>466</v>
      </c>
      <c r="I36" s="365" t="s">
        <v>1568</v>
      </c>
      <c r="J36" s="75" t="s">
        <v>15</v>
      </c>
      <c r="K36" s="407">
        <v>46083</v>
      </c>
      <c r="L36" s="40" t="s">
        <v>6</v>
      </c>
      <c r="M36" s="445" t="s">
        <v>1569</v>
      </c>
      <c r="N36" s="75" t="s">
        <v>15</v>
      </c>
      <c r="O36" s="117"/>
      <c r="P36" s="407">
        <v>46076</v>
      </c>
      <c r="Q36" s="40" t="s">
        <v>469</v>
      </c>
      <c r="R36" s="127"/>
    </row>
    <row r="37" spans="1:18" ht="34.5" customHeight="1" x14ac:dyDescent="0.3">
      <c r="A37" s="190"/>
      <c r="B37" s="190"/>
      <c r="C37" s="130">
        <f t="shared" ca="1" si="4"/>
        <v>20</v>
      </c>
      <c r="D37" s="181" t="s">
        <v>1570</v>
      </c>
      <c r="E37" s="199" t="s">
        <v>198</v>
      </c>
      <c r="F37" s="115"/>
      <c r="G37" s="179"/>
      <c r="H37" s="127" t="s">
        <v>199</v>
      </c>
      <c r="I37" s="308" t="s">
        <v>1571</v>
      </c>
      <c r="J37" s="75" t="s">
        <v>15</v>
      </c>
      <c r="K37" s="407">
        <v>46083</v>
      </c>
      <c r="L37" s="40" t="s">
        <v>6</v>
      </c>
      <c r="M37" s="445" t="s">
        <v>1572</v>
      </c>
      <c r="N37" s="75" t="s">
        <v>15</v>
      </c>
      <c r="O37" s="117"/>
      <c r="P37" s="407">
        <v>46076</v>
      </c>
      <c r="Q37" s="40" t="s">
        <v>469</v>
      </c>
      <c r="R37" s="208"/>
    </row>
    <row r="38" spans="1:18" ht="41.4" x14ac:dyDescent="0.3">
      <c r="A38" s="190"/>
      <c r="B38" s="190"/>
      <c r="C38" s="130">
        <f t="shared" ca="1" si="4"/>
        <v>21</v>
      </c>
      <c r="D38" s="124" t="s">
        <v>1573</v>
      </c>
      <c r="E38" s="199" t="s">
        <v>415</v>
      </c>
      <c r="F38" s="115"/>
      <c r="G38" s="179"/>
      <c r="H38" s="177" t="s">
        <v>466</v>
      </c>
      <c r="I38" s="308" t="s">
        <v>1574</v>
      </c>
      <c r="J38" s="75" t="s">
        <v>15</v>
      </c>
      <c r="K38" s="407">
        <v>46083</v>
      </c>
      <c r="L38" s="40" t="s">
        <v>6</v>
      </c>
      <c r="M38" s="445" t="s">
        <v>1575</v>
      </c>
      <c r="N38" s="75" t="s">
        <v>15</v>
      </c>
      <c r="O38" s="117"/>
      <c r="P38" s="407">
        <v>46076</v>
      </c>
      <c r="Q38" s="40" t="s">
        <v>469</v>
      </c>
      <c r="R38" s="208"/>
    </row>
    <row r="39" spans="1:18" ht="132" x14ac:dyDescent="0.3">
      <c r="A39" s="190"/>
      <c r="B39" s="190"/>
      <c r="C39" s="130">
        <f t="shared" ca="1" si="4"/>
        <v>22</v>
      </c>
      <c r="D39" s="133" t="s">
        <v>1576</v>
      </c>
      <c r="E39" s="127" t="s">
        <v>415</v>
      </c>
      <c r="F39" s="115"/>
      <c r="G39" s="179"/>
      <c r="H39" s="177" t="s">
        <v>466</v>
      </c>
      <c r="I39" s="308" t="s">
        <v>1577</v>
      </c>
      <c r="J39" s="75" t="s">
        <v>15</v>
      </c>
      <c r="K39" s="407">
        <v>46085</v>
      </c>
      <c r="L39" s="40" t="s">
        <v>6</v>
      </c>
      <c r="M39" s="445" t="s">
        <v>1578</v>
      </c>
      <c r="N39" s="75" t="s">
        <v>15</v>
      </c>
      <c r="O39" s="117" t="s">
        <v>211</v>
      </c>
      <c r="P39" s="407">
        <v>46076</v>
      </c>
      <c r="Q39" s="40" t="s">
        <v>469</v>
      </c>
      <c r="R39" s="302" t="s">
        <v>1579</v>
      </c>
    </row>
    <row r="40" spans="1:18" ht="34.5" customHeight="1" x14ac:dyDescent="0.3">
      <c r="A40" s="190"/>
      <c r="B40" s="190"/>
      <c r="C40" s="130">
        <f t="shared" ca="1" si="4"/>
        <v>23</v>
      </c>
      <c r="D40" s="181" t="s">
        <v>1580</v>
      </c>
      <c r="E40" s="199" t="s">
        <v>198</v>
      </c>
      <c r="F40" s="115"/>
      <c r="G40" s="179"/>
      <c r="H40" s="127" t="s">
        <v>199</v>
      </c>
      <c r="I40" s="308" t="s">
        <v>1581</v>
      </c>
      <c r="J40" s="75" t="s">
        <v>15</v>
      </c>
      <c r="K40" s="407">
        <v>46084</v>
      </c>
      <c r="L40" s="40" t="s">
        <v>6</v>
      </c>
      <c r="M40" s="445" t="s">
        <v>1582</v>
      </c>
      <c r="N40" s="75" t="s">
        <v>15</v>
      </c>
      <c r="O40" s="117"/>
      <c r="P40" s="407">
        <v>46076</v>
      </c>
      <c r="Q40" s="40" t="s">
        <v>469</v>
      </c>
      <c r="R40" s="208"/>
    </row>
    <row r="41" spans="1:18" ht="41.4" x14ac:dyDescent="0.3">
      <c r="A41" s="190"/>
      <c r="B41" s="190"/>
      <c r="C41" s="130">
        <f t="shared" ca="1" si="4"/>
        <v>24</v>
      </c>
      <c r="D41" s="124" t="s">
        <v>1583</v>
      </c>
      <c r="E41" s="199" t="s">
        <v>415</v>
      </c>
      <c r="F41" s="115"/>
      <c r="G41" s="179"/>
      <c r="H41" s="177" t="s">
        <v>466</v>
      </c>
      <c r="I41" s="308" t="s">
        <v>1584</v>
      </c>
      <c r="J41" s="75" t="s">
        <v>15</v>
      </c>
      <c r="K41" s="407">
        <v>46084</v>
      </c>
      <c r="L41" s="40" t="s">
        <v>6</v>
      </c>
      <c r="M41" s="445" t="s">
        <v>1585</v>
      </c>
      <c r="N41" s="75" t="s">
        <v>15</v>
      </c>
      <c r="O41" s="117"/>
      <c r="P41" s="407">
        <v>46076</v>
      </c>
      <c r="Q41" s="40" t="s">
        <v>469</v>
      </c>
      <c r="R41" s="208"/>
    </row>
    <row r="42" spans="1:18" ht="41.4" x14ac:dyDescent="0.3">
      <c r="A42" s="190"/>
      <c r="B42" s="190"/>
      <c r="C42" s="130">
        <f t="shared" ca="1" si="4"/>
        <v>25</v>
      </c>
      <c r="D42" s="124" t="s">
        <v>1586</v>
      </c>
      <c r="E42" s="199" t="s">
        <v>415</v>
      </c>
      <c r="F42" s="115"/>
      <c r="G42" s="179"/>
      <c r="H42" s="177" t="s">
        <v>466</v>
      </c>
      <c r="I42" s="308" t="s">
        <v>1587</v>
      </c>
      <c r="J42" s="75" t="s">
        <v>15</v>
      </c>
      <c r="K42" s="407">
        <v>46084</v>
      </c>
      <c r="L42" s="40" t="s">
        <v>6</v>
      </c>
      <c r="M42" s="445" t="s">
        <v>1588</v>
      </c>
      <c r="N42" s="75" t="s">
        <v>15</v>
      </c>
      <c r="O42" s="117"/>
      <c r="P42" s="407">
        <v>46076</v>
      </c>
      <c r="Q42" s="40" t="s">
        <v>469</v>
      </c>
      <c r="R42" s="208"/>
    </row>
    <row r="43" spans="1:18" ht="55.2" x14ac:dyDescent="0.3">
      <c r="A43" s="190"/>
      <c r="B43" s="190"/>
      <c r="C43" s="130">
        <f t="shared" ca="1" si="4"/>
        <v>26</v>
      </c>
      <c r="D43" s="668" t="s">
        <v>1589</v>
      </c>
      <c r="E43" s="199" t="s">
        <v>415</v>
      </c>
      <c r="F43" s="115"/>
      <c r="G43" s="179"/>
      <c r="H43" s="177" t="s">
        <v>466</v>
      </c>
      <c r="I43" s="378" t="s">
        <v>1590</v>
      </c>
      <c r="J43" s="75" t="s">
        <v>15</v>
      </c>
      <c r="K43" s="407">
        <v>46084</v>
      </c>
      <c r="L43" s="40" t="s">
        <v>6</v>
      </c>
      <c r="M43" s="445" t="s">
        <v>1591</v>
      </c>
      <c r="N43" s="75" t="s">
        <v>15</v>
      </c>
      <c r="O43" s="117"/>
      <c r="P43" s="407">
        <v>46076</v>
      </c>
      <c r="Q43" s="40" t="s">
        <v>469</v>
      </c>
      <c r="R43" s="208"/>
    </row>
    <row r="44" spans="1:18" ht="96.6" x14ac:dyDescent="0.3">
      <c r="A44" s="190"/>
      <c r="B44" s="190"/>
      <c r="C44" s="130">
        <f t="shared" ca="1" si="4"/>
        <v>27</v>
      </c>
      <c r="D44" s="635"/>
      <c r="E44" s="199" t="s">
        <v>415</v>
      </c>
      <c r="F44" s="115"/>
      <c r="G44" s="179" t="s">
        <v>1592</v>
      </c>
      <c r="H44" s="177" t="s">
        <v>466</v>
      </c>
      <c r="I44" s="308" t="s">
        <v>1593</v>
      </c>
      <c r="J44" s="75" t="s">
        <v>15</v>
      </c>
      <c r="K44" s="407">
        <v>46084</v>
      </c>
      <c r="L44" s="40" t="s">
        <v>6</v>
      </c>
      <c r="M44" s="445" t="s">
        <v>1594</v>
      </c>
      <c r="N44" s="75" t="s">
        <v>15</v>
      </c>
      <c r="O44" s="117"/>
      <c r="P44" s="407">
        <v>46076</v>
      </c>
      <c r="Q44" s="40" t="s">
        <v>469</v>
      </c>
      <c r="R44" s="208"/>
    </row>
    <row r="45" spans="1:18" ht="82.8" x14ac:dyDescent="0.3">
      <c r="A45" s="190"/>
      <c r="B45" s="190"/>
      <c r="C45" s="130">
        <f t="shared" ca="1" si="4"/>
        <v>28</v>
      </c>
      <c r="D45" s="668" t="s">
        <v>1595</v>
      </c>
      <c r="E45" s="199" t="s">
        <v>415</v>
      </c>
      <c r="F45" s="115"/>
      <c r="G45" s="179"/>
      <c r="H45" s="177" t="s">
        <v>466</v>
      </c>
      <c r="I45" s="308" t="s">
        <v>1596</v>
      </c>
      <c r="J45" s="75" t="s">
        <v>15</v>
      </c>
      <c r="K45" s="407">
        <v>46084</v>
      </c>
      <c r="L45" s="40" t="s">
        <v>6</v>
      </c>
      <c r="M45" s="445" t="s">
        <v>1597</v>
      </c>
      <c r="N45" s="75" t="s">
        <v>15</v>
      </c>
      <c r="O45" s="117"/>
      <c r="P45" s="407">
        <v>46076</v>
      </c>
      <c r="Q45" s="40" t="s">
        <v>469</v>
      </c>
      <c r="R45" s="208"/>
    </row>
    <row r="46" spans="1:18" ht="96.6" x14ac:dyDescent="0.3">
      <c r="A46" s="190"/>
      <c r="B46" s="190"/>
      <c r="C46" s="130">
        <f t="shared" ca="1" si="4"/>
        <v>29</v>
      </c>
      <c r="D46" s="635"/>
      <c r="E46" s="199" t="s">
        <v>415</v>
      </c>
      <c r="F46" s="115"/>
      <c r="G46" s="179" t="s">
        <v>1592</v>
      </c>
      <c r="H46" s="177" t="s">
        <v>466</v>
      </c>
      <c r="I46" s="308" t="s">
        <v>1593</v>
      </c>
      <c r="J46" s="75" t="s">
        <v>15</v>
      </c>
      <c r="K46" s="407">
        <v>46084</v>
      </c>
      <c r="L46" s="40" t="s">
        <v>6</v>
      </c>
      <c r="M46" s="445" t="s">
        <v>1598</v>
      </c>
      <c r="N46" s="75" t="s">
        <v>15</v>
      </c>
      <c r="O46" s="117"/>
      <c r="P46" s="407">
        <v>46076</v>
      </c>
      <c r="Q46" s="40" t="s">
        <v>469</v>
      </c>
      <c r="R46" s="208"/>
    </row>
    <row r="47" spans="1:18" ht="15.75" customHeight="1" x14ac:dyDescent="0.3">
      <c r="A47" s="190"/>
      <c r="B47" s="190"/>
      <c r="C47" s="130">
        <f t="shared" ca="1" si="4"/>
        <v>30</v>
      </c>
      <c r="D47" s="181" t="s">
        <v>1599</v>
      </c>
      <c r="E47" s="127" t="s">
        <v>216</v>
      </c>
      <c r="F47" s="200" t="s">
        <v>207</v>
      </c>
      <c r="G47" s="354"/>
      <c r="H47" s="127" t="s">
        <v>441</v>
      </c>
      <c r="I47" s="127" t="s">
        <v>1600</v>
      </c>
      <c r="J47" s="75" t="s">
        <v>15</v>
      </c>
      <c r="K47" s="407">
        <v>46084</v>
      </c>
      <c r="L47" s="40" t="s">
        <v>6</v>
      </c>
      <c r="M47" s="445" t="s">
        <v>584</v>
      </c>
      <c r="N47" s="75" t="s">
        <v>15</v>
      </c>
      <c r="O47" s="117"/>
      <c r="P47" s="407">
        <v>46076</v>
      </c>
      <c r="Q47" s="40" t="s">
        <v>469</v>
      </c>
      <c r="R47" s="208"/>
    </row>
    <row r="48" spans="1:18" ht="15.75" customHeight="1" x14ac:dyDescent="0.3">
      <c r="A48" s="190"/>
      <c r="B48" s="190"/>
      <c r="C48" s="130">
        <f t="shared" ca="1" si="4"/>
        <v>31</v>
      </c>
      <c r="D48" s="181" t="s">
        <v>1601</v>
      </c>
      <c r="E48" s="127" t="s">
        <v>216</v>
      </c>
      <c r="F48" s="200" t="s">
        <v>207</v>
      </c>
      <c r="G48" s="354"/>
      <c r="H48" s="127" t="s">
        <v>441</v>
      </c>
      <c r="I48" s="127" t="s">
        <v>1602</v>
      </c>
      <c r="J48" s="75" t="s">
        <v>15</v>
      </c>
      <c r="K48" s="407">
        <v>46084</v>
      </c>
      <c r="L48" s="40" t="s">
        <v>6</v>
      </c>
      <c r="M48" s="445" t="s">
        <v>1603</v>
      </c>
      <c r="N48" s="75" t="s">
        <v>15</v>
      </c>
      <c r="O48" s="117"/>
      <c r="P48" s="407">
        <v>46076</v>
      </c>
      <c r="Q48" s="40" t="s">
        <v>469</v>
      </c>
      <c r="R48" s="208"/>
    </row>
    <row r="49" spans="1:18" ht="15.75" customHeight="1" x14ac:dyDescent="0.3">
      <c r="A49" s="190"/>
      <c r="B49" s="190"/>
      <c r="C49" s="652" t="s">
        <v>1604</v>
      </c>
      <c r="D49" s="602"/>
      <c r="E49" s="602"/>
      <c r="F49" s="602"/>
      <c r="G49" s="602"/>
      <c r="H49" s="602"/>
      <c r="I49" s="602"/>
      <c r="J49" s="602"/>
      <c r="K49" s="602"/>
      <c r="L49" s="602"/>
      <c r="M49" s="602"/>
      <c r="N49" s="602"/>
      <c r="O49" s="602"/>
      <c r="P49" s="602"/>
      <c r="Q49" s="602"/>
      <c r="R49" s="602"/>
    </row>
    <row r="50" spans="1:18" ht="15.75" customHeight="1" x14ac:dyDescent="0.3">
      <c r="A50" s="104"/>
      <c r="B50" s="104"/>
      <c r="C50" s="130">
        <f t="shared" ref="C50:C74" ca="1" si="5">1+COUNT(INDIRECT("A1:"&amp;(ADDRESS(ROW()-1,COLUMN()))))</f>
        <v>32</v>
      </c>
      <c r="D50" s="181" t="s">
        <v>195</v>
      </c>
      <c r="E50" s="201" t="s">
        <v>214</v>
      </c>
      <c r="F50" s="115" t="s">
        <v>215</v>
      </c>
      <c r="G50" s="178"/>
      <c r="H50" s="124" t="s">
        <v>231</v>
      </c>
      <c r="I50" s="411" t="s">
        <v>1605</v>
      </c>
      <c r="J50" s="141" t="s">
        <v>15</v>
      </c>
      <c r="K50" s="407">
        <v>46085</v>
      </c>
      <c r="L50" s="40" t="s">
        <v>6</v>
      </c>
      <c r="M50" s="445" t="s">
        <v>1606</v>
      </c>
      <c r="N50" s="141" t="s">
        <v>15</v>
      </c>
      <c r="O50" s="117" t="s">
        <v>211</v>
      </c>
      <c r="P50" s="407">
        <v>46076</v>
      </c>
      <c r="Q50" s="40" t="s">
        <v>469</v>
      </c>
      <c r="R50" s="513" t="s">
        <v>1607</v>
      </c>
    </row>
    <row r="51" spans="1:18" ht="66" x14ac:dyDescent="0.3">
      <c r="A51" s="190"/>
      <c r="B51" s="190"/>
      <c r="C51" s="130">
        <f t="shared" ca="1" si="5"/>
        <v>33</v>
      </c>
      <c r="D51" s="124" t="s">
        <v>1608</v>
      </c>
      <c r="E51" s="199" t="s">
        <v>415</v>
      </c>
      <c r="F51" s="115"/>
      <c r="G51" s="179"/>
      <c r="H51" s="177" t="s">
        <v>466</v>
      </c>
      <c r="I51" s="411" t="s">
        <v>1609</v>
      </c>
      <c r="J51" s="141" t="s">
        <v>15</v>
      </c>
      <c r="K51" s="407">
        <v>46085</v>
      </c>
      <c r="L51" s="40" t="s">
        <v>6</v>
      </c>
      <c r="M51" s="445" t="s">
        <v>1610</v>
      </c>
      <c r="N51" s="141" t="s">
        <v>15</v>
      </c>
      <c r="O51" s="117" t="s">
        <v>211</v>
      </c>
      <c r="P51" s="407">
        <v>46076</v>
      </c>
      <c r="Q51" s="40" t="s">
        <v>469</v>
      </c>
      <c r="R51" s="513" t="s">
        <v>1611</v>
      </c>
    </row>
    <row r="52" spans="1:18" ht="27.6" x14ac:dyDescent="0.3">
      <c r="A52" s="190"/>
      <c r="B52" s="190"/>
      <c r="C52" s="130">
        <f t="shared" ca="1" si="5"/>
        <v>34</v>
      </c>
      <c r="D52" s="124" t="s">
        <v>1612</v>
      </c>
      <c r="E52" s="199" t="s">
        <v>415</v>
      </c>
      <c r="F52" s="115"/>
      <c r="G52" s="179"/>
      <c r="H52" s="177" t="s">
        <v>466</v>
      </c>
      <c r="I52" s="308" t="s">
        <v>1613</v>
      </c>
      <c r="J52" s="75" t="s">
        <v>15</v>
      </c>
      <c r="K52" s="407">
        <v>46084</v>
      </c>
      <c r="L52" s="40" t="s">
        <v>6</v>
      </c>
      <c r="M52" s="445" t="s">
        <v>598</v>
      </c>
      <c r="N52" s="141" t="s">
        <v>15</v>
      </c>
      <c r="O52" s="117"/>
      <c r="P52" s="407">
        <v>46076</v>
      </c>
      <c r="Q52" s="40" t="s">
        <v>469</v>
      </c>
      <c r="R52" s="437"/>
    </row>
    <row r="53" spans="1:18" ht="34.5" customHeight="1" x14ac:dyDescent="0.3">
      <c r="A53" s="190"/>
      <c r="B53" s="190"/>
      <c r="C53" s="130">
        <f t="shared" ca="1" si="5"/>
        <v>35</v>
      </c>
      <c r="D53" s="668" t="s">
        <v>1614</v>
      </c>
      <c r="E53" s="199" t="s">
        <v>415</v>
      </c>
      <c r="F53" s="115"/>
      <c r="G53" s="179"/>
      <c r="H53" s="127" t="s">
        <v>466</v>
      </c>
      <c r="I53" s="308" t="s">
        <v>1615</v>
      </c>
      <c r="J53" s="75" t="s">
        <v>15</v>
      </c>
      <c r="K53" s="407">
        <v>46084</v>
      </c>
      <c r="L53" s="40" t="s">
        <v>6</v>
      </c>
      <c r="M53" s="445" t="s">
        <v>604</v>
      </c>
      <c r="N53" s="141" t="s">
        <v>15</v>
      </c>
      <c r="O53" s="117"/>
      <c r="P53" s="407">
        <v>46076</v>
      </c>
      <c r="Q53" s="40" t="s">
        <v>469</v>
      </c>
      <c r="R53" s="437"/>
    </row>
    <row r="54" spans="1:18" ht="69" x14ac:dyDescent="0.3">
      <c r="A54" s="190"/>
      <c r="B54" s="190"/>
      <c r="C54" s="130">
        <f t="shared" ca="1" si="5"/>
        <v>36</v>
      </c>
      <c r="D54" s="635"/>
      <c r="E54" s="199" t="s">
        <v>415</v>
      </c>
      <c r="F54" s="115"/>
      <c r="G54" s="179"/>
      <c r="H54" s="177" t="s">
        <v>1616</v>
      </c>
      <c r="I54" s="308" t="s">
        <v>1617</v>
      </c>
      <c r="J54" s="75" t="s">
        <v>15</v>
      </c>
      <c r="K54" s="407">
        <v>46084</v>
      </c>
      <c r="L54" s="40" t="s">
        <v>6</v>
      </c>
      <c r="M54" s="445" t="s">
        <v>1618</v>
      </c>
      <c r="N54" s="141" t="s">
        <v>15</v>
      </c>
      <c r="O54" s="117"/>
      <c r="P54" s="407">
        <v>46076</v>
      </c>
      <c r="Q54" s="40" t="s">
        <v>469</v>
      </c>
      <c r="R54" s="208"/>
    </row>
    <row r="55" spans="1:18" ht="41.4" x14ac:dyDescent="0.3">
      <c r="A55" s="190"/>
      <c r="B55" s="190"/>
      <c r="C55" s="130">
        <f t="shared" ca="1" si="5"/>
        <v>37</v>
      </c>
      <c r="D55" s="668" t="s">
        <v>1619</v>
      </c>
      <c r="E55" s="199" t="s">
        <v>198</v>
      </c>
      <c r="F55" s="115"/>
      <c r="G55" s="179"/>
      <c r="H55" s="127" t="s">
        <v>199</v>
      </c>
      <c r="I55" s="308" t="s">
        <v>1620</v>
      </c>
      <c r="J55" s="75" t="s">
        <v>15</v>
      </c>
      <c r="K55" s="407">
        <v>46084</v>
      </c>
      <c r="L55" s="40" t="s">
        <v>6</v>
      </c>
      <c r="M55" s="445" t="s">
        <v>1621</v>
      </c>
      <c r="N55" s="141" t="s">
        <v>15</v>
      </c>
      <c r="O55" s="117"/>
      <c r="P55" s="407">
        <v>46076</v>
      </c>
      <c r="Q55" s="40" t="s">
        <v>469</v>
      </c>
      <c r="R55" s="208"/>
    </row>
    <row r="56" spans="1:18" ht="41.4" x14ac:dyDescent="0.3">
      <c r="A56" s="190"/>
      <c r="B56" s="190"/>
      <c r="C56" s="130">
        <f t="shared" ca="1" si="5"/>
        <v>38</v>
      </c>
      <c r="D56" s="635"/>
      <c r="E56" s="199" t="s">
        <v>415</v>
      </c>
      <c r="F56" s="115"/>
      <c r="G56" s="179"/>
      <c r="H56" s="177" t="s">
        <v>1622</v>
      </c>
      <c r="I56" s="514" t="s">
        <v>1623</v>
      </c>
      <c r="J56" s="75" t="s">
        <v>15</v>
      </c>
      <c r="K56" s="407">
        <v>46084</v>
      </c>
      <c r="L56" s="40" t="s">
        <v>6</v>
      </c>
      <c r="M56" s="445" t="s">
        <v>1624</v>
      </c>
      <c r="N56" s="141" t="s">
        <v>15</v>
      </c>
      <c r="O56" s="117"/>
      <c r="P56" s="407">
        <v>46076</v>
      </c>
      <c r="Q56" s="40" t="s">
        <v>469</v>
      </c>
      <c r="R56" s="208"/>
    </row>
    <row r="57" spans="1:18" ht="61.5" customHeight="1" x14ac:dyDescent="0.3">
      <c r="A57" s="190"/>
      <c r="B57" s="190"/>
      <c r="C57" s="130">
        <f t="shared" ca="1" si="5"/>
        <v>39</v>
      </c>
      <c r="D57" s="656" t="s">
        <v>1625</v>
      </c>
      <c r="E57" s="199" t="s">
        <v>198</v>
      </c>
      <c r="F57" s="115"/>
      <c r="G57" s="179"/>
      <c r="H57" s="127" t="s">
        <v>199</v>
      </c>
      <c r="I57" s="308" t="s">
        <v>1626</v>
      </c>
      <c r="J57" s="75" t="s">
        <v>15</v>
      </c>
      <c r="K57" s="407">
        <v>46084</v>
      </c>
      <c r="L57" s="40" t="s">
        <v>6</v>
      </c>
      <c r="M57" s="445" t="s">
        <v>1627</v>
      </c>
      <c r="N57" s="141" t="s">
        <v>15</v>
      </c>
      <c r="O57" s="117"/>
      <c r="P57" s="407">
        <v>46076</v>
      </c>
      <c r="Q57" s="40" t="s">
        <v>469</v>
      </c>
      <c r="R57" s="208"/>
    </row>
    <row r="58" spans="1:18" ht="41.4" x14ac:dyDescent="0.3">
      <c r="A58" s="190"/>
      <c r="B58" s="190"/>
      <c r="C58" s="130">
        <f t="shared" ca="1" si="5"/>
        <v>40</v>
      </c>
      <c r="D58" s="635"/>
      <c r="E58" s="199" t="s">
        <v>415</v>
      </c>
      <c r="F58" s="115"/>
      <c r="G58" s="179"/>
      <c r="H58" s="177" t="s">
        <v>1628</v>
      </c>
      <c r="I58" s="514" t="s">
        <v>1629</v>
      </c>
      <c r="J58" s="75" t="s">
        <v>15</v>
      </c>
      <c r="K58" s="407">
        <v>46084</v>
      </c>
      <c r="L58" s="40" t="s">
        <v>6</v>
      </c>
      <c r="M58" s="445" t="s">
        <v>1630</v>
      </c>
      <c r="N58" s="141" t="s">
        <v>15</v>
      </c>
      <c r="O58" s="117"/>
      <c r="P58" s="407">
        <v>46076</v>
      </c>
      <c r="Q58" s="40" t="s">
        <v>469</v>
      </c>
      <c r="R58" s="208"/>
    </row>
    <row r="59" spans="1:18" ht="42" x14ac:dyDescent="0.3">
      <c r="A59" s="15"/>
      <c r="B59" s="15"/>
      <c r="C59" s="130">
        <f t="shared" ca="1" si="5"/>
        <v>41</v>
      </c>
      <c r="D59" s="660" t="s">
        <v>1631</v>
      </c>
      <c r="E59" s="305" t="s">
        <v>198</v>
      </c>
      <c r="F59" s="205"/>
      <c r="G59" s="205"/>
      <c r="H59" s="332" t="s">
        <v>199</v>
      </c>
      <c r="I59" s="515" t="s">
        <v>1632</v>
      </c>
      <c r="J59" s="75" t="s">
        <v>15</v>
      </c>
      <c r="K59" s="407">
        <v>46084</v>
      </c>
      <c r="L59" s="40" t="s">
        <v>6</v>
      </c>
      <c r="M59" s="516" t="s">
        <v>1633</v>
      </c>
      <c r="N59" s="141" t="s">
        <v>15</v>
      </c>
      <c r="O59" s="117"/>
      <c r="P59" s="407">
        <v>46076</v>
      </c>
      <c r="Q59" s="40" t="s">
        <v>469</v>
      </c>
      <c r="R59" s="206"/>
    </row>
    <row r="60" spans="1:18" ht="42" x14ac:dyDescent="0.3">
      <c r="A60" s="15"/>
      <c r="B60" s="15"/>
      <c r="C60" s="130">
        <f t="shared" ca="1" si="5"/>
        <v>42</v>
      </c>
      <c r="D60" s="635"/>
      <c r="E60" s="305" t="s">
        <v>415</v>
      </c>
      <c r="F60" s="205"/>
      <c r="G60" s="205"/>
      <c r="H60" s="332" t="s">
        <v>1634</v>
      </c>
      <c r="I60" s="517" t="s">
        <v>1635</v>
      </c>
      <c r="J60" s="75" t="s">
        <v>15</v>
      </c>
      <c r="K60" s="407">
        <v>46084</v>
      </c>
      <c r="L60" s="40" t="s">
        <v>6</v>
      </c>
      <c r="M60" s="516" t="s">
        <v>1636</v>
      </c>
      <c r="N60" s="141" t="s">
        <v>15</v>
      </c>
      <c r="O60" s="117"/>
      <c r="P60" s="407">
        <v>46076</v>
      </c>
      <c r="Q60" s="40" t="s">
        <v>469</v>
      </c>
      <c r="R60" s="206"/>
    </row>
    <row r="61" spans="1:18" ht="76.5" customHeight="1" x14ac:dyDescent="0.3">
      <c r="A61" s="190"/>
      <c r="B61" s="190"/>
      <c r="C61" s="130">
        <f t="shared" ca="1" si="5"/>
        <v>43</v>
      </c>
      <c r="D61" s="668" t="s">
        <v>1637</v>
      </c>
      <c r="E61" s="199" t="s">
        <v>198</v>
      </c>
      <c r="F61" s="115"/>
      <c r="G61" s="179"/>
      <c r="H61" s="127" t="s">
        <v>199</v>
      </c>
      <c r="I61" s="308" t="s">
        <v>1638</v>
      </c>
      <c r="J61" s="75" t="s">
        <v>15</v>
      </c>
      <c r="K61" s="407">
        <v>46084</v>
      </c>
      <c r="L61" s="40" t="s">
        <v>6</v>
      </c>
      <c r="M61" s="445" t="s">
        <v>1639</v>
      </c>
      <c r="N61" s="141" t="s">
        <v>15</v>
      </c>
      <c r="O61" s="117"/>
      <c r="P61" s="407">
        <v>46076</v>
      </c>
      <c r="Q61" s="40" t="s">
        <v>469</v>
      </c>
      <c r="R61" s="208"/>
    </row>
    <row r="62" spans="1:18" ht="55.2" x14ac:dyDescent="0.3">
      <c r="A62" s="190"/>
      <c r="B62" s="190"/>
      <c r="C62" s="130">
        <f t="shared" ca="1" si="5"/>
        <v>44</v>
      </c>
      <c r="D62" s="635"/>
      <c r="E62" s="199" t="s">
        <v>415</v>
      </c>
      <c r="F62" s="115"/>
      <c r="G62" s="115"/>
      <c r="H62" s="177" t="s">
        <v>1640</v>
      </c>
      <c r="I62" s="308" t="s">
        <v>1641</v>
      </c>
      <c r="J62" s="75" t="s">
        <v>15</v>
      </c>
      <c r="K62" s="407">
        <v>46084</v>
      </c>
      <c r="L62" s="40" t="s">
        <v>6</v>
      </c>
      <c r="M62" s="445" t="s">
        <v>626</v>
      </c>
      <c r="N62" s="141" t="s">
        <v>15</v>
      </c>
      <c r="O62" s="117"/>
      <c r="P62" s="407">
        <v>46076</v>
      </c>
      <c r="Q62" s="40" t="s">
        <v>469</v>
      </c>
      <c r="R62" s="208"/>
    </row>
    <row r="63" spans="1:18" ht="15.75" customHeight="1" x14ac:dyDescent="0.3">
      <c r="A63" s="190"/>
      <c r="B63" s="190"/>
      <c r="C63" s="130">
        <f t="shared" ca="1" si="5"/>
        <v>45</v>
      </c>
      <c r="D63" s="181" t="s">
        <v>1642</v>
      </c>
      <c r="E63" s="306" t="s">
        <v>435</v>
      </c>
      <c r="F63" s="200" t="s">
        <v>207</v>
      </c>
      <c r="G63" s="354"/>
      <c r="H63" s="127" t="s">
        <v>225</v>
      </c>
      <c r="I63" s="127" t="s">
        <v>437</v>
      </c>
      <c r="J63" s="75" t="s">
        <v>15</v>
      </c>
      <c r="K63" s="407">
        <v>46084</v>
      </c>
      <c r="L63" s="40" t="s">
        <v>6</v>
      </c>
      <c r="M63" s="445" t="s">
        <v>1643</v>
      </c>
      <c r="N63" s="141" t="s">
        <v>15</v>
      </c>
      <c r="O63" s="117"/>
      <c r="P63" s="407">
        <v>46076</v>
      </c>
      <c r="Q63" s="40" t="s">
        <v>469</v>
      </c>
      <c r="R63" s="208"/>
    </row>
    <row r="64" spans="1:18" ht="15.75" customHeight="1" x14ac:dyDescent="0.3">
      <c r="A64" s="190"/>
      <c r="B64" s="190"/>
      <c r="C64" s="130">
        <f t="shared" ca="1" si="5"/>
        <v>46</v>
      </c>
      <c r="D64" s="295"/>
      <c r="E64" s="127" t="s">
        <v>216</v>
      </c>
      <c r="F64" s="204"/>
      <c r="G64" s="354"/>
      <c r="H64" s="203" t="s">
        <v>227</v>
      </c>
      <c r="I64" s="365" t="s">
        <v>1644</v>
      </c>
      <c r="J64" s="75" t="s">
        <v>15</v>
      </c>
      <c r="K64" s="407">
        <v>46084</v>
      </c>
      <c r="L64" s="40" t="s">
        <v>6</v>
      </c>
      <c r="M64" s="445" t="s">
        <v>1645</v>
      </c>
      <c r="N64" s="141" t="s">
        <v>15</v>
      </c>
      <c r="O64" s="117"/>
      <c r="P64" s="407">
        <v>46076</v>
      </c>
      <c r="Q64" s="40" t="s">
        <v>469</v>
      </c>
      <c r="R64" s="208"/>
    </row>
    <row r="65" spans="1:18" ht="82.8" x14ac:dyDescent="0.3">
      <c r="A65" s="190"/>
      <c r="B65" s="190"/>
      <c r="C65" s="130">
        <f t="shared" ca="1" si="5"/>
        <v>47</v>
      </c>
      <c r="D65" s="124" t="s">
        <v>1646</v>
      </c>
      <c r="E65" s="199" t="s">
        <v>1647</v>
      </c>
      <c r="F65" s="115"/>
      <c r="G65" s="179"/>
      <c r="H65" s="177" t="s">
        <v>1648</v>
      </c>
      <c r="I65" s="308" t="s">
        <v>1649</v>
      </c>
      <c r="J65" s="75" t="s">
        <v>15</v>
      </c>
      <c r="K65" s="407">
        <v>46084</v>
      </c>
      <c r="L65" s="40" t="s">
        <v>6</v>
      </c>
      <c r="M65" s="445" t="s">
        <v>1650</v>
      </c>
      <c r="N65" s="141" t="s">
        <v>15</v>
      </c>
      <c r="O65" s="117"/>
      <c r="P65" s="407">
        <v>46076</v>
      </c>
      <c r="Q65" s="40" t="s">
        <v>469</v>
      </c>
      <c r="R65" s="208"/>
    </row>
    <row r="66" spans="1:18" ht="55.2" x14ac:dyDescent="0.3">
      <c r="A66" s="190"/>
      <c r="B66" s="190"/>
      <c r="C66" s="130">
        <f t="shared" ca="1" si="5"/>
        <v>48</v>
      </c>
      <c r="D66" s="668" t="s">
        <v>1651</v>
      </c>
      <c r="E66" s="199" t="s">
        <v>198</v>
      </c>
      <c r="F66" s="115"/>
      <c r="G66" s="115" t="s">
        <v>1652</v>
      </c>
      <c r="H66" s="127" t="s">
        <v>199</v>
      </c>
      <c r="I66" s="308" t="s">
        <v>1653</v>
      </c>
      <c r="J66" s="75" t="s">
        <v>15</v>
      </c>
      <c r="K66" s="407">
        <v>46084</v>
      </c>
      <c r="L66" s="40" t="s">
        <v>6</v>
      </c>
      <c r="M66" s="445" t="s">
        <v>1654</v>
      </c>
      <c r="N66" s="141" t="s">
        <v>15</v>
      </c>
      <c r="O66" s="117"/>
      <c r="P66" s="407">
        <v>46076</v>
      </c>
      <c r="Q66" s="40" t="s">
        <v>469</v>
      </c>
      <c r="R66" s="208"/>
    </row>
    <row r="67" spans="1:18" ht="55.2" x14ac:dyDescent="0.3">
      <c r="A67" s="190"/>
      <c r="B67" s="190"/>
      <c r="C67" s="130">
        <f t="shared" ca="1" si="5"/>
        <v>49</v>
      </c>
      <c r="D67" s="636"/>
      <c r="E67" s="655" t="s">
        <v>435</v>
      </c>
      <c r="F67" s="153"/>
      <c r="G67" s="115" t="s">
        <v>1655</v>
      </c>
      <c r="H67" s="127" t="s">
        <v>199</v>
      </c>
      <c r="I67" s="152" t="s">
        <v>1656</v>
      </c>
      <c r="J67" s="75" t="s">
        <v>15</v>
      </c>
      <c r="K67" s="407">
        <v>46084</v>
      </c>
      <c r="L67" s="40" t="s">
        <v>6</v>
      </c>
      <c r="M67" s="445" t="s">
        <v>639</v>
      </c>
      <c r="N67" s="141" t="s">
        <v>15</v>
      </c>
      <c r="O67" s="117"/>
      <c r="P67" s="407">
        <v>46076</v>
      </c>
      <c r="Q67" s="40" t="s">
        <v>469</v>
      </c>
      <c r="R67" s="208"/>
    </row>
    <row r="68" spans="1:18" ht="69" customHeight="1" x14ac:dyDescent="0.3">
      <c r="A68" s="190"/>
      <c r="B68" s="190"/>
      <c r="C68" s="130">
        <f t="shared" ca="1" si="5"/>
        <v>50</v>
      </c>
      <c r="D68" s="636"/>
      <c r="E68" s="636"/>
      <c r="F68" s="154"/>
      <c r="G68" s="115" t="s">
        <v>1657</v>
      </c>
      <c r="H68" s="127" t="s">
        <v>199</v>
      </c>
      <c r="I68" s="152" t="s">
        <v>1656</v>
      </c>
      <c r="J68" s="75" t="s">
        <v>15</v>
      </c>
      <c r="K68" s="407">
        <v>46084</v>
      </c>
      <c r="L68" s="40" t="s">
        <v>6</v>
      </c>
      <c r="M68" s="445" t="s">
        <v>642</v>
      </c>
      <c r="N68" s="141" t="s">
        <v>15</v>
      </c>
      <c r="O68" s="117"/>
      <c r="P68" s="407">
        <v>46076</v>
      </c>
      <c r="Q68" s="40" t="s">
        <v>469</v>
      </c>
      <c r="R68" s="208"/>
    </row>
    <row r="69" spans="1:18" ht="69" customHeight="1" x14ac:dyDescent="0.3">
      <c r="A69" s="190"/>
      <c r="B69" s="190"/>
      <c r="C69" s="130">
        <f t="shared" ca="1" si="5"/>
        <v>51</v>
      </c>
      <c r="D69" s="635"/>
      <c r="E69" s="635"/>
      <c r="F69" s="158"/>
      <c r="G69" s="115" t="s">
        <v>1658</v>
      </c>
      <c r="H69" s="127" t="s">
        <v>199</v>
      </c>
      <c r="I69" s="152" t="s">
        <v>1656</v>
      </c>
      <c r="J69" s="75" t="s">
        <v>15</v>
      </c>
      <c r="K69" s="407">
        <v>46084</v>
      </c>
      <c r="L69" s="40" t="s">
        <v>6</v>
      </c>
      <c r="M69" s="445" t="s">
        <v>1659</v>
      </c>
      <c r="N69" s="141" t="s">
        <v>15</v>
      </c>
      <c r="O69" s="117"/>
      <c r="P69" s="407">
        <v>46076</v>
      </c>
      <c r="Q69" s="40" t="s">
        <v>469</v>
      </c>
      <c r="R69" s="208"/>
    </row>
    <row r="70" spans="1:18" ht="53.25" customHeight="1" x14ac:dyDescent="0.3">
      <c r="A70" s="190"/>
      <c r="B70" s="190"/>
      <c r="C70" s="130">
        <f t="shared" ca="1" si="5"/>
        <v>52</v>
      </c>
      <c r="D70" s="124" t="s">
        <v>1583</v>
      </c>
      <c r="E70" s="199" t="s">
        <v>1647</v>
      </c>
      <c r="F70" s="115"/>
      <c r="G70" s="179"/>
      <c r="H70" s="127" t="s">
        <v>232</v>
      </c>
      <c r="I70" s="308" t="s">
        <v>1660</v>
      </c>
      <c r="J70" s="75" t="s">
        <v>15</v>
      </c>
      <c r="K70" s="407">
        <v>46084</v>
      </c>
      <c r="L70" s="40" t="s">
        <v>6</v>
      </c>
      <c r="M70" s="445" t="s">
        <v>1661</v>
      </c>
      <c r="N70" s="141" t="s">
        <v>15</v>
      </c>
      <c r="O70" s="117"/>
      <c r="P70" s="407">
        <v>46076</v>
      </c>
      <c r="Q70" s="40" t="s">
        <v>469</v>
      </c>
      <c r="R70" s="208"/>
    </row>
    <row r="71" spans="1:18" ht="34.5" customHeight="1" x14ac:dyDescent="0.3">
      <c r="A71" s="190"/>
      <c r="B71" s="190"/>
      <c r="C71" s="130">
        <f t="shared" ca="1" si="5"/>
        <v>53</v>
      </c>
      <c r="D71" s="124" t="s">
        <v>1662</v>
      </c>
      <c r="E71" s="199" t="s">
        <v>1647</v>
      </c>
      <c r="F71" s="115"/>
      <c r="G71" s="179"/>
      <c r="H71" s="127" t="s">
        <v>199</v>
      </c>
      <c r="I71" s="308" t="s">
        <v>1663</v>
      </c>
      <c r="J71" s="75" t="s">
        <v>15</v>
      </c>
      <c r="K71" s="407">
        <v>46084</v>
      </c>
      <c r="L71" s="40" t="s">
        <v>6</v>
      </c>
      <c r="M71" s="445" t="s">
        <v>1664</v>
      </c>
      <c r="N71" s="141" t="s">
        <v>15</v>
      </c>
      <c r="O71" s="117"/>
      <c r="P71" s="407">
        <v>46076</v>
      </c>
      <c r="Q71" s="40" t="s">
        <v>469</v>
      </c>
      <c r="R71" s="208"/>
    </row>
    <row r="72" spans="1:18" ht="41.4" x14ac:dyDescent="0.3">
      <c r="A72" s="190"/>
      <c r="B72" s="190"/>
      <c r="C72" s="130">
        <f t="shared" ca="1" si="5"/>
        <v>54</v>
      </c>
      <c r="D72" s="124" t="s">
        <v>1665</v>
      </c>
      <c r="E72" s="199" t="s">
        <v>1647</v>
      </c>
      <c r="F72" s="115"/>
      <c r="G72" s="179"/>
      <c r="H72" s="177" t="s">
        <v>1666</v>
      </c>
      <c r="I72" s="308" t="s">
        <v>1667</v>
      </c>
      <c r="J72" s="75" t="s">
        <v>15</v>
      </c>
      <c r="K72" s="407">
        <v>46084</v>
      </c>
      <c r="L72" s="40" t="s">
        <v>6</v>
      </c>
      <c r="M72" s="445" t="s">
        <v>1668</v>
      </c>
      <c r="N72" s="141" t="s">
        <v>15</v>
      </c>
      <c r="O72" s="117"/>
      <c r="P72" s="407">
        <v>46076</v>
      </c>
      <c r="Q72" s="40" t="s">
        <v>469</v>
      </c>
      <c r="R72" s="208"/>
    </row>
    <row r="73" spans="1:18" ht="15.75" customHeight="1" x14ac:dyDescent="0.3">
      <c r="A73" s="190"/>
      <c r="B73" s="190"/>
      <c r="C73" s="130">
        <f t="shared" ca="1" si="5"/>
        <v>55</v>
      </c>
      <c r="D73" s="124" t="s">
        <v>1669</v>
      </c>
      <c r="E73" s="127" t="s">
        <v>216</v>
      </c>
      <c r="F73" s="204"/>
      <c r="G73" s="127"/>
      <c r="H73" s="203" t="s">
        <v>1670</v>
      </c>
      <c r="I73" s="365" t="s">
        <v>1671</v>
      </c>
      <c r="J73" s="75" t="s">
        <v>15</v>
      </c>
      <c r="K73" s="407">
        <v>46084</v>
      </c>
      <c r="L73" s="40" t="s">
        <v>6</v>
      </c>
      <c r="M73" s="447" t="s">
        <v>1672</v>
      </c>
      <c r="N73" s="141" t="s">
        <v>15</v>
      </c>
      <c r="O73" s="117"/>
      <c r="P73" s="407">
        <v>46076</v>
      </c>
      <c r="Q73" s="40" t="s">
        <v>469</v>
      </c>
      <c r="R73" s="208"/>
    </row>
    <row r="74" spans="1:18" ht="15.75" customHeight="1" x14ac:dyDescent="0.3">
      <c r="A74" s="190"/>
      <c r="B74" s="190"/>
      <c r="C74" s="130">
        <f t="shared" ca="1" si="5"/>
        <v>56</v>
      </c>
      <c r="D74" s="295" t="s">
        <v>1673</v>
      </c>
      <c r="E74" s="127" t="s">
        <v>216</v>
      </c>
      <c r="F74" s="204"/>
      <c r="G74" s="127"/>
      <c r="H74" s="203" t="s">
        <v>1674</v>
      </c>
      <c r="I74" s="365" t="s">
        <v>1675</v>
      </c>
      <c r="J74" s="75" t="s">
        <v>15</v>
      </c>
      <c r="K74" s="407">
        <v>46084</v>
      </c>
      <c r="L74" s="40" t="s">
        <v>6</v>
      </c>
      <c r="M74" s="447" t="s">
        <v>1676</v>
      </c>
      <c r="N74" s="141" t="s">
        <v>15</v>
      </c>
      <c r="O74" s="117"/>
      <c r="P74" s="407">
        <v>46076</v>
      </c>
      <c r="Q74" s="40" t="s">
        <v>469</v>
      </c>
      <c r="R74" s="208"/>
    </row>
    <row r="75" spans="1:18" ht="15.75" customHeight="1" x14ac:dyDescent="0.3">
      <c r="A75" s="190"/>
      <c r="B75" s="190"/>
      <c r="C75" s="652" t="s">
        <v>1677</v>
      </c>
      <c r="D75" s="602"/>
      <c r="E75" s="602"/>
      <c r="F75" s="602"/>
      <c r="G75" s="602"/>
      <c r="H75" s="602"/>
      <c r="I75" s="602"/>
      <c r="J75" s="602"/>
      <c r="K75" s="602"/>
      <c r="L75" s="602"/>
      <c r="M75" s="602"/>
      <c r="N75" s="602"/>
      <c r="O75" s="602"/>
      <c r="P75" s="602"/>
      <c r="Q75" s="602"/>
      <c r="R75" s="602"/>
    </row>
    <row r="76" spans="1:18" ht="15.75" customHeight="1" x14ac:dyDescent="0.3">
      <c r="A76" s="104"/>
      <c r="B76" s="104"/>
      <c r="C76" s="130">
        <f t="shared" ref="C76:C128" ca="1" si="6">1+COUNT(INDIRECT("A1:"&amp;(ADDRESS(ROW()-1,COLUMN()))))</f>
        <v>57</v>
      </c>
      <c r="D76" s="181" t="s">
        <v>195</v>
      </c>
      <c r="E76" s="201" t="s">
        <v>214</v>
      </c>
      <c r="F76" s="115" t="s">
        <v>215</v>
      </c>
      <c r="G76" s="178"/>
      <c r="H76" s="124" t="s">
        <v>231</v>
      </c>
      <c r="I76" s="411" t="s">
        <v>1678</v>
      </c>
      <c r="J76" s="75" t="s">
        <v>15</v>
      </c>
      <c r="K76" s="407">
        <v>46084</v>
      </c>
      <c r="L76" s="40" t="s">
        <v>6</v>
      </c>
      <c r="M76" s="445" t="s">
        <v>1679</v>
      </c>
      <c r="N76" s="141" t="s">
        <v>15</v>
      </c>
      <c r="O76" s="117" t="s">
        <v>211</v>
      </c>
      <c r="P76" s="407">
        <v>46076</v>
      </c>
      <c r="Q76" s="40" t="s">
        <v>469</v>
      </c>
      <c r="R76" s="121" t="s">
        <v>1680</v>
      </c>
    </row>
    <row r="77" spans="1:18" ht="15.75" customHeight="1" x14ac:dyDescent="0.3">
      <c r="A77" s="190"/>
      <c r="B77" s="190"/>
      <c r="C77" s="130">
        <f t="shared" ca="1" si="6"/>
        <v>58</v>
      </c>
      <c r="D77" s="295" t="s">
        <v>1681</v>
      </c>
      <c r="E77" s="199"/>
      <c r="F77" s="204"/>
      <c r="G77" s="203"/>
      <c r="H77" s="177" t="s">
        <v>1682</v>
      </c>
      <c r="I77" s="518" t="s">
        <v>1683</v>
      </c>
      <c r="J77" s="75" t="s">
        <v>15</v>
      </c>
      <c r="K77" s="407">
        <v>46086</v>
      </c>
      <c r="L77" s="40" t="s">
        <v>6</v>
      </c>
      <c r="M77" s="445" t="s">
        <v>663</v>
      </c>
      <c r="N77" s="141" t="s">
        <v>15</v>
      </c>
      <c r="O77" s="117"/>
      <c r="P77" s="407">
        <v>46076</v>
      </c>
      <c r="Q77" s="40" t="s">
        <v>469</v>
      </c>
      <c r="R77" s="208" t="s">
        <v>1684</v>
      </c>
    </row>
    <row r="78" spans="1:18" ht="15.75" customHeight="1" x14ac:dyDescent="0.3">
      <c r="A78" s="190"/>
      <c r="B78" s="190"/>
      <c r="C78" s="130">
        <f t="shared" ca="1" si="6"/>
        <v>59</v>
      </c>
      <c r="D78" s="295"/>
      <c r="E78" s="127" t="s">
        <v>216</v>
      </c>
      <c r="F78" s="204"/>
      <c r="G78" s="203"/>
      <c r="H78" s="203" t="s">
        <v>1685</v>
      </c>
      <c r="I78" s="365" t="s">
        <v>473</v>
      </c>
      <c r="J78" s="75" t="s">
        <v>15</v>
      </c>
      <c r="K78" s="407">
        <v>46089</v>
      </c>
      <c r="L78" s="40" t="s">
        <v>6</v>
      </c>
      <c r="M78" s="445" t="s">
        <v>1686</v>
      </c>
      <c r="N78" s="141" t="s">
        <v>15</v>
      </c>
      <c r="O78" s="222"/>
      <c r="P78" s="407">
        <v>46076</v>
      </c>
      <c r="Q78" s="40" t="s">
        <v>469</v>
      </c>
      <c r="R78" s="360" t="s">
        <v>1687</v>
      </c>
    </row>
    <row r="79" spans="1:18" ht="34.5" customHeight="1" x14ac:dyDescent="0.3">
      <c r="A79" s="190"/>
      <c r="B79" s="190"/>
      <c r="C79" s="130">
        <f t="shared" ca="1" si="6"/>
        <v>60</v>
      </c>
      <c r="D79" s="124" t="s">
        <v>1688</v>
      </c>
      <c r="E79" s="199" t="s">
        <v>198</v>
      </c>
      <c r="F79" s="115"/>
      <c r="G79" s="179"/>
      <c r="H79" s="127" t="s">
        <v>199</v>
      </c>
      <c r="I79" s="308" t="s">
        <v>1689</v>
      </c>
      <c r="J79" s="75" t="s">
        <v>15</v>
      </c>
      <c r="K79" s="407">
        <v>46084</v>
      </c>
      <c r="L79" s="40" t="s">
        <v>6</v>
      </c>
      <c r="M79" s="445" t="s">
        <v>1690</v>
      </c>
      <c r="N79" s="141" t="s">
        <v>15</v>
      </c>
      <c r="O79" s="117"/>
      <c r="P79" s="407">
        <v>46076</v>
      </c>
      <c r="Q79" s="40" t="s">
        <v>469</v>
      </c>
      <c r="R79" s="208"/>
    </row>
    <row r="80" spans="1:18" ht="34.5" customHeight="1" x14ac:dyDescent="0.3">
      <c r="A80" s="190"/>
      <c r="B80" s="190"/>
      <c r="C80" s="130">
        <f t="shared" ca="1" si="6"/>
        <v>61</v>
      </c>
      <c r="D80" s="668" t="s">
        <v>1691</v>
      </c>
      <c r="E80" s="199" t="s">
        <v>198</v>
      </c>
      <c r="F80" s="115"/>
      <c r="G80" s="179"/>
      <c r="H80" s="127" t="s">
        <v>199</v>
      </c>
      <c r="I80" s="308" t="s">
        <v>1692</v>
      </c>
      <c r="J80" s="75" t="s">
        <v>15</v>
      </c>
      <c r="K80" s="407">
        <v>46084</v>
      </c>
      <c r="L80" s="40" t="s">
        <v>6</v>
      </c>
      <c r="M80" s="445" t="s">
        <v>1693</v>
      </c>
      <c r="N80" s="141" t="s">
        <v>15</v>
      </c>
      <c r="O80" s="117"/>
      <c r="P80" s="407">
        <v>46076</v>
      </c>
      <c r="Q80" s="40" t="s">
        <v>469</v>
      </c>
      <c r="R80" s="208"/>
    </row>
    <row r="81" spans="1:18" ht="81.75" customHeight="1" x14ac:dyDescent="0.3">
      <c r="A81" s="190"/>
      <c r="B81" s="190"/>
      <c r="C81" s="130">
        <f t="shared" ca="1" si="6"/>
        <v>62</v>
      </c>
      <c r="D81" s="635"/>
      <c r="E81" s="152" t="s">
        <v>1694</v>
      </c>
      <c r="F81" s="152"/>
      <c r="G81" s="176"/>
      <c r="H81" s="152" t="s">
        <v>1695</v>
      </c>
      <c r="I81" s="133" t="s">
        <v>1696</v>
      </c>
      <c r="J81" s="75" t="s">
        <v>15</v>
      </c>
      <c r="K81" s="407">
        <v>46084</v>
      </c>
      <c r="L81" s="40" t="s">
        <v>6</v>
      </c>
      <c r="M81" s="445" t="s">
        <v>1697</v>
      </c>
      <c r="N81" s="141" t="s">
        <v>15</v>
      </c>
      <c r="O81" s="117"/>
      <c r="P81" s="407">
        <v>46076</v>
      </c>
      <c r="Q81" s="40" t="s">
        <v>469</v>
      </c>
      <c r="R81" s="208"/>
    </row>
    <row r="82" spans="1:18" ht="15.75" customHeight="1" x14ac:dyDescent="0.3">
      <c r="A82" s="104"/>
      <c r="B82" s="104"/>
      <c r="C82" s="130">
        <f t="shared" ca="1" si="6"/>
        <v>63</v>
      </c>
      <c r="D82" s="198" t="s">
        <v>1698</v>
      </c>
      <c r="E82" s="157" t="s">
        <v>1647</v>
      </c>
      <c r="F82" s="158" t="s">
        <v>207</v>
      </c>
      <c r="G82" s="162"/>
      <c r="H82" s="152" t="s">
        <v>219</v>
      </c>
      <c r="I82" s="154" t="s">
        <v>1699</v>
      </c>
      <c r="J82" s="75" t="s">
        <v>15</v>
      </c>
      <c r="K82" s="407">
        <v>46084</v>
      </c>
      <c r="L82" s="40" t="s">
        <v>6</v>
      </c>
      <c r="M82" s="445" t="s">
        <v>1700</v>
      </c>
      <c r="N82" s="141" t="s">
        <v>15</v>
      </c>
      <c r="O82" s="117"/>
      <c r="P82" s="407">
        <v>46076</v>
      </c>
      <c r="Q82" s="40" t="s">
        <v>469</v>
      </c>
      <c r="R82" s="413"/>
    </row>
    <row r="83" spans="1:18" ht="15.75" customHeight="1" x14ac:dyDescent="0.3">
      <c r="A83" s="104"/>
      <c r="B83" s="104"/>
      <c r="C83" s="130">
        <f t="shared" ca="1" si="6"/>
        <v>64</v>
      </c>
      <c r="D83" s="460"/>
      <c r="E83" s="161" t="s">
        <v>200</v>
      </c>
      <c r="F83" s="158" t="s">
        <v>207</v>
      </c>
      <c r="G83" s="162"/>
      <c r="H83" s="154" t="s">
        <v>1701</v>
      </c>
      <c r="I83" s="154" t="s">
        <v>1702</v>
      </c>
      <c r="J83" s="75" t="s">
        <v>15</v>
      </c>
      <c r="K83" s="407">
        <v>46084</v>
      </c>
      <c r="L83" s="40" t="s">
        <v>6</v>
      </c>
      <c r="M83" s="445" t="s">
        <v>1703</v>
      </c>
      <c r="N83" s="141" t="s">
        <v>15</v>
      </c>
      <c r="O83" s="117"/>
      <c r="P83" s="407">
        <v>46076</v>
      </c>
      <c r="Q83" s="40" t="s">
        <v>469</v>
      </c>
      <c r="R83" s="413"/>
    </row>
    <row r="84" spans="1:18" ht="15.75" customHeight="1" x14ac:dyDescent="0.3">
      <c r="A84" s="104"/>
      <c r="B84" s="104"/>
      <c r="C84" s="130">
        <f t="shared" ca="1" si="6"/>
        <v>65</v>
      </c>
      <c r="D84" s="460"/>
      <c r="E84" s="280" t="s">
        <v>222</v>
      </c>
      <c r="F84" s="158" t="s">
        <v>207</v>
      </c>
      <c r="G84" s="167"/>
      <c r="H84" s="154" t="s">
        <v>1704</v>
      </c>
      <c r="I84" s="154" t="s">
        <v>1705</v>
      </c>
      <c r="J84" s="75" t="s">
        <v>15</v>
      </c>
      <c r="K84" s="407">
        <v>46084</v>
      </c>
      <c r="L84" s="40" t="s">
        <v>6</v>
      </c>
      <c r="M84" s="445" t="s">
        <v>1706</v>
      </c>
      <c r="N84" s="141" t="s">
        <v>15</v>
      </c>
      <c r="O84" s="117"/>
      <c r="P84" s="407">
        <v>46076</v>
      </c>
      <c r="Q84" s="40" t="s">
        <v>469</v>
      </c>
      <c r="R84" s="413"/>
    </row>
    <row r="85" spans="1:18" ht="15.75" customHeight="1" x14ac:dyDescent="0.3">
      <c r="A85" s="104"/>
      <c r="B85" s="104"/>
      <c r="C85" s="130">
        <f t="shared" ca="1" si="6"/>
        <v>66</v>
      </c>
      <c r="D85" s="460"/>
      <c r="E85" s="280" t="s">
        <v>222</v>
      </c>
      <c r="F85" s="158"/>
      <c r="G85" s="167"/>
      <c r="H85" s="154" t="s">
        <v>1707</v>
      </c>
      <c r="I85" s="154" t="s">
        <v>1708</v>
      </c>
      <c r="J85" s="75" t="s">
        <v>15</v>
      </c>
      <c r="K85" s="407">
        <v>46084</v>
      </c>
      <c r="L85" s="40" t="s">
        <v>6</v>
      </c>
      <c r="M85" s="445" t="s">
        <v>1709</v>
      </c>
      <c r="N85" s="141" t="s">
        <v>15</v>
      </c>
      <c r="O85" s="117"/>
      <c r="P85" s="407">
        <v>46076</v>
      </c>
      <c r="Q85" s="40" t="s">
        <v>469</v>
      </c>
      <c r="R85" s="413"/>
    </row>
    <row r="86" spans="1:18" ht="15.75" customHeight="1" x14ac:dyDescent="0.3">
      <c r="A86" s="104"/>
      <c r="B86" s="104"/>
      <c r="C86" s="130">
        <f t="shared" ca="1" si="6"/>
        <v>67</v>
      </c>
      <c r="D86" s="460"/>
      <c r="E86" s="280" t="s">
        <v>222</v>
      </c>
      <c r="F86" s="158" t="s">
        <v>207</v>
      </c>
      <c r="G86" s="167"/>
      <c r="H86" s="154" t="s">
        <v>1710</v>
      </c>
      <c r="I86" s="154" t="s">
        <v>1711</v>
      </c>
      <c r="J86" s="75" t="s">
        <v>15</v>
      </c>
      <c r="K86" s="407">
        <v>46084</v>
      </c>
      <c r="L86" s="40" t="s">
        <v>6</v>
      </c>
      <c r="M86" s="445" t="s">
        <v>1712</v>
      </c>
      <c r="N86" s="141" t="s">
        <v>15</v>
      </c>
      <c r="O86" s="117"/>
      <c r="P86" s="407">
        <v>46076</v>
      </c>
      <c r="Q86" s="40" t="s">
        <v>469</v>
      </c>
      <c r="R86" s="413"/>
    </row>
    <row r="87" spans="1:18" ht="34.5" customHeight="1" x14ac:dyDescent="0.3">
      <c r="A87" s="190"/>
      <c r="B87" s="190"/>
      <c r="C87" s="130">
        <f t="shared" ca="1" si="6"/>
        <v>68</v>
      </c>
      <c r="D87" s="124" t="s">
        <v>1713</v>
      </c>
      <c r="E87" s="127" t="s">
        <v>198</v>
      </c>
      <c r="F87" s="115"/>
      <c r="G87" s="179"/>
      <c r="H87" s="127" t="s">
        <v>199</v>
      </c>
      <c r="I87" s="308" t="s">
        <v>1714</v>
      </c>
      <c r="J87" s="75" t="s">
        <v>15</v>
      </c>
      <c r="K87" s="407">
        <v>46084</v>
      </c>
      <c r="L87" s="40" t="s">
        <v>6</v>
      </c>
      <c r="M87" s="445" t="s">
        <v>1715</v>
      </c>
      <c r="N87" s="141" t="s">
        <v>15</v>
      </c>
      <c r="O87" s="117"/>
      <c r="P87" s="407">
        <v>46076</v>
      </c>
      <c r="Q87" s="40" t="s">
        <v>469</v>
      </c>
      <c r="R87" s="208"/>
    </row>
    <row r="88" spans="1:18" ht="81.75" customHeight="1" x14ac:dyDescent="0.3">
      <c r="A88" s="190"/>
      <c r="B88" s="190"/>
      <c r="C88" s="130">
        <f t="shared" ca="1" si="6"/>
        <v>69</v>
      </c>
      <c r="D88" s="328" t="s">
        <v>1716</v>
      </c>
      <c r="E88" s="168" t="s">
        <v>200</v>
      </c>
      <c r="F88" s="152"/>
      <c r="G88" s="176"/>
      <c r="H88" s="152" t="s">
        <v>1717</v>
      </c>
      <c r="I88" s="330" t="s">
        <v>1718</v>
      </c>
      <c r="J88" s="75" t="s">
        <v>15</v>
      </c>
      <c r="K88" s="407">
        <v>46084</v>
      </c>
      <c r="L88" s="40" t="s">
        <v>6</v>
      </c>
      <c r="M88" s="445" t="s">
        <v>1719</v>
      </c>
      <c r="N88" s="141" t="s">
        <v>15</v>
      </c>
      <c r="O88" s="117" t="s">
        <v>211</v>
      </c>
      <c r="P88" s="407">
        <v>46076</v>
      </c>
      <c r="Q88" s="40" t="s">
        <v>469</v>
      </c>
      <c r="R88" s="268" t="s">
        <v>1720</v>
      </c>
    </row>
    <row r="89" spans="1:18" ht="149.25" customHeight="1" x14ac:dyDescent="0.3">
      <c r="A89" s="190"/>
      <c r="B89" s="190"/>
      <c r="C89" s="130">
        <f t="shared" ca="1" si="6"/>
        <v>70</v>
      </c>
      <c r="D89" s="328"/>
      <c r="E89" s="152" t="s">
        <v>1721</v>
      </c>
      <c r="F89" s="158"/>
      <c r="G89" s="162"/>
      <c r="H89" s="152" t="s">
        <v>1722</v>
      </c>
      <c r="I89" s="330" t="s">
        <v>1723</v>
      </c>
      <c r="J89" s="75" t="s">
        <v>15</v>
      </c>
      <c r="K89" s="407">
        <v>46086</v>
      </c>
      <c r="L89" s="40" t="s">
        <v>6</v>
      </c>
      <c r="M89" s="445" t="s">
        <v>1724</v>
      </c>
      <c r="N89" s="141" t="s">
        <v>15</v>
      </c>
      <c r="O89" s="117"/>
      <c r="P89" s="407">
        <v>46076</v>
      </c>
      <c r="Q89" s="40" t="s">
        <v>469</v>
      </c>
      <c r="R89" s="360" t="s">
        <v>1725</v>
      </c>
    </row>
    <row r="90" spans="1:18" ht="69" customHeight="1" x14ac:dyDescent="0.3">
      <c r="A90" s="190"/>
      <c r="B90" s="190"/>
      <c r="C90" s="130">
        <f t="shared" ca="1" si="6"/>
        <v>71</v>
      </c>
      <c r="D90" s="328"/>
      <c r="E90" s="152" t="s">
        <v>1726</v>
      </c>
      <c r="F90" s="158"/>
      <c r="G90" s="154" t="s">
        <v>1727</v>
      </c>
      <c r="H90" s="152" t="s">
        <v>1728</v>
      </c>
      <c r="I90" s="330" t="s">
        <v>1729</v>
      </c>
      <c r="J90" s="75" t="s">
        <v>15</v>
      </c>
      <c r="K90" s="407">
        <v>46084</v>
      </c>
      <c r="L90" s="40" t="s">
        <v>6</v>
      </c>
      <c r="M90" s="445" t="s">
        <v>1730</v>
      </c>
      <c r="N90" s="141" t="s">
        <v>15</v>
      </c>
      <c r="O90" s="117" t="s">
        <v>211</v>
      </c>
      <c r="P90" s="407">
        <v>46076</v>
      </c>
      <c r="Q90" s="40" t="s">
        <v>469</v>
      </c>
      <c r="R90" s="437" t="s">
        <v>1731</v>
      </c>
    </row>
    <row r="91" spans="1:18" ht="79.2" x14ac:dyDescent="0.3">
      <c r="A91" s="190"/>
      <c r="B91" s="190"/>
      <c r="C91" s="130">
        <f t="shared" ca="1" si="6"/>
        <v>72</v>
      </c>
      <c r="D91" s="328"/>
      <c r="E91" s="152" t="s">
        <v>1726</v>
      </c>
      <c r="F91" s="153"/>
      <c r="G91" s="154" t="s">
        <v>1732</v>
      </c>
      <c r="H91" s="152" t="s">
        <v>1728</v>
      </c>
      <c r="I91" s="330" t="s">
        <v>1733</v>
      </c>
      <c r="J91" s="75" t="s">
        <v>15</v>
      </c>
      <c r="K91" s="407">
        <v>46084</v>
      </c>
      <c r="L91" s="40" t="s">
        <v>6</v>
      </c>
      <c r="M91" s="445" t="s">
        <v>1734</v>
      </c>
      <c r="N91" s="141" t="s">
        <v>15</v>
      </c>
      <c r="O91" s="117" t="s">
        <v>211</v>
      </c>
      <c r="P91" s="407">
        <v>46076</v>
      </c>
      <c r="Q91" s="40" t="s">
        <v>469</v>
      </c>
      <c r="R91" s="437" t="s">
        <v>1731</v>
      </c>
    </row>
    <row r="92" spans="1:18" ht="81.75" customHeight="1" x14ac:dyDescent="0.3">
      <c r="A92" s="190"/>
      <c r="B92" s="190"/>
      <c r="C92" s="130">
        <f t="shared" ca="1" si="6"/>
        <v>73</v>
      </c>
      <c r="D92" s="196" t="s">
        <v>1735</v>
      </c>
      <c r="E92" s="168" t="s">
        <v>200</v>
      </c>
      <c r="F92" s="152"/>
      <c r="G92" s="176"/>
      <c r="H92" s="152" t="s">
        <v>1717</v>
      </c>
      <c r="I92" s="330" t="s">
        <v>1718</v>
      </c>
      <c r="J92" s="75" t="s">
        <v>15</v>
      </c>
      <c r="K92" s="407">
        <v>46084</v>
      </c>
      <c r="L92" s="40" t="s">
        <v>6</v>
      </c>
      <c r="M92" s="447" t="s">
        <v>708</v>
      </c>
      <c r="N92" s="141" t="s">
        <v>15</v>
      </c>
      <c r="O92" s="117" t="s">
        <v>211</v>
      </c>
      <c r="P92" s="407">
        <v>46076</v>
      </c>
      <c r="Q92" s="40" t="s">
        <v>469</v>
      </c>
      <c r="R92" s="268" t="s">
        <v>1720</v>
      </c>
    </row>
    <row r="93" spans="1:18" ht="69" customHeight="1" x14ac:dyDescent="0.3">
      <c r="A93" s="190"/>
      <c r="B93" s="190"/>
      <c r="C93" s="130">
        <f t="shared" ca="1" si="6"/>
        <v>74</v>
      </c>
      <c r="D93" s="328"/>
      <c r="E93" s="152" t="s">
        <v>1721</v>
      </c>
      <c r="F93" s="158"/>
      <c r="G93" s="162"/>
      <c r="H93" s="152" t="s">
        <v>1722</v>
      </c>
      <c r="I93" s="330" t="s">
        <v>1736</v>
      </c>
      <c r="J93" s="75" t="s">
        <v>15</v>
      </c>
      <c r="K93" s="407">
        <v>46084</v>
      </c>
      <c r="L93" s="40" t="s">
        <v>6</v>
      </c>
      <c r="M93" s="447" t="s">
        <v>1737</v>
      </c>
      <c r="N93" s="141" t="s">
        <v>15</v>
      </c>
      <c r="O93" s="117"/>
      <c r="P93" s="407">
        <v>46076</v>
      </c>
      <c r="Q93" s="40" t="s">
        <v>469</v>
      </c>
      <c r="R93" s="208"/>
    </row>
    <row r="94" spans="1:18" ht="69" customHeight="1" x14ac:dyDescent="0.3">
      <c r="A94" s="190"/>
      <c r="B94" s="190"/>
      <c r="C94" s="130">
        <f t="shared" ca="1" si="6"/>
        <v>75</v>
      </c>
      <c r="D94" s="328"/>
      <c r="E94" s="152" t="s">
        <v>1726</v>
      </c>
      <c r="F94" s="158"/>
      <c r="G94" s="154" t="s">
        <v>1727</v>
      </c>
      <c r="H94" s="152" t="s">
        <v>1728</v>
      </c>
      <c r="I94" s="330" t="s">
        <v>1738</v>
      </c>
      <c r="J94" s="75" t="s">
        <v>15</v>
      </c>
      <c r="K94" s="407">
        <v>46084</v>
      </c>
      <c r="L94" s="40" t="s">
        <v>6</v>
      </c>
      <c r="M94" s="447" t="s">
        <v>1739</v>
      </c>
      <c r="N94" s="141" t="s">
        <v>15</v>
      </c>
      <c r="O94" s="117" t="s">
        <v>211</v>
      </c>
      <c r="P94" s="407">
        <v>46076</v>
      </c>
      <c r="Q94" s="40" t="s">
        <v>469</v>
      </c>
      <c r="R94" s="437" t="s">
        <v>1731</v>
      </c>
    </row>
    <row r="95" spans="1:18" ht="79.2" x14ac:dyDescent="0.3">
      <c r="A95" s="190"/>
      <c r="B95" s="190"/>
      <c r="C95" s="130">
        <f t="shared" ca="1" si="6"/>
        <v>76</v>
      </c>
      <c r="D95" s="519"/>
      <c r="E95" s="152" t="s">
        <v>1726</v>
      </c>
      <c r="F95" s="153"/>
      <c r="G95" s="154" t="s">
        <v>1732</v>
      </c>
      <c r="H95" s="152" t="s">
        <v>1728</v>
      </c>
      <c r="I95" s="330" t="s">
        <v>1740</v>
      </c>
      <c r="J95" s="75" t="s">
        <v>15</v>
      </c>
      <c r="K95" s="407">
        <v>46084</v>
      </c>
      <c r="L95" s="40" t="s">
        <v>6</v>
      </c>
      <c r="M95" s="447" t="s">
        <v>1741</v>
      </c>
      <c r="N95" s="141" t="s">
        <v>15</v>
      </c>
      <c r="O95" s="117" t="s">
        <v>211</v>
      </c>
      <c r="P95" s="407">
        <v>46076</v>
      </c>
      <c r="Q95" s="40" t="s">
        <v>469</v>
      </c>
      <c r="R95" s="437" t="s">
        <v>1731</v>
      </c>
    </row>
    <row r="96" spans="1:18" ht="81.75" customHeight="1" x14ac:dyDescent="0.3">
      <c r="A96" s="190"/>
      <c r="B96" s="190"/>
      <c r="C96" s="130">
        <f t="shared" ca="1" si="6"/>
        <v>77</v>
      </c>
      <c r="D96" s="196" t="s">
        <v>1742</v>
      </c>
      <c r="E96" s="168" t="s">
        <v>200</v>
      </c>
      <c r="F96" s="152"/>
      <c r="G96" s="176"/>
      <c r="H96" s="152" t="s">
        <v>1743</v>
      </c>
      <c r="I96" s="133" t="s">
        <v>1744</v>
      </c>
      <c r="J96" s="75" t="s">
        <v>15</v>
      </c>
      <c r="K96" s="407">
        <v>46084</v>
      </c>
      <c r="L96" s="40" t="s">
        <v>6</v>
      </c>
      <c r="M96" s="447" t="s">
        <v>1745</v>
      </c>
      <c r="N96" s="141" t="s">
        <v>15</v>
      </c>
      <c r="O96" s="117" t="s">
        <v>211</v>
      </c>
      <c r="P96" s="407">
        <v>46076</v>
      </c>
      <c r="Q96" s="40" t="s">
        <v>469</v>
      </c>
      <c r="R96" s="268" t="s">
        <v>1720</v>
      </c>
    </row>
    <row r="97" spans="1:18" ht="69" customHeight="1" x14ac:dyDescent="0.3">
      <c r="A97" s="190"/>
      <c r="B97" s="190"/>
      <c r="C97" s="130">
        <f t="shared" ca="1" si="6"/>
        <v>78</v>
      </c>
      <c r="D97" s="328"/>
      <c r="E97" s="152" t="s">
        <v>1721</v>
      </c>
      <c r="F97" s="158"/>
      <c r="G97" s="162"/>
      <c r="H97" s="152" t="s">
        <v>1722</v>
      </c>
      <c r="I97" s="330" t="s">
        <v>1746</v>
      </c>
      <c r="J97" s="75" t="s">
        <v>15</v>
      </c>
      <c r="K97" s="407">
        <v>46084</v>
      </c>
      <c r="L97" s="40" t="s">
        <v>6</v>
      </c>
      <c r="M97" s="447" t="s">
        <v>1747</v>
      </c>
      <c r="N97" s="141" t="s">
        <v>15</v>
      </c>
      <c r="O97" s="117"/>
      <c r="P97" s="407">
        <v>46076</v>
      </c>
      <c r="Q97" s="40" t="s">
        <v>469</v>
      </c>
      <c r="R97" s="208"/>
    </row>
    <row r="98" spans="1:18" ht="69" customHeight="1" x14ac:dyDescent="0.3">
      <c r="A98" s="190"/>
      <c r="B98" s="190"/>
      <c r="C98" s="130">
        <f t="shared" ca="1" si="6"/>
        <v>79</v>
      </c>
      <c r="D98" s="328"/>
      <c r="E98" s="152" t="s">
        <v>1748</v>
      </c>
      <c r="F98" s="158"/>
      <c r="G98" s="154"/>
      <c r="H98" s="152" t="s">
        <v>1749</v>
      </c>
      <c r="I98" s="330" t="s">
        <v>1718</v>
      </c>
      <c r="J98" s="75" t="s">
        <v>15</v>
      </c>
      <c r="K98" s="407">
        <v>46084</v>
      </c>
      <c r="L98" s="40" t="s">
        <v>6</v>
      </c>
      <c r="M98" s="447" t="s">
        <v>730</v>
      </c>
      <c r="N98" s="141" t="s">
        <v>15</v>
      </c>
      <c r="O98" s="117" t="s">
        <v>211</v>
      </c>
      <c r="P98" s="407">
        <v>46076</v>
      </c>
      <c r="Q98" s="40" t="s">
        <v>469</v>
      </c>
      <c r="R98" s="268" t="s">
        <v>1720</v>
      </c>
    </row>
    <row r="99" spans="1:18" ht="69" customHeight="1" x14ac:dyDescent="0.3">
      <c r="A99" s="190"/>
      <c r="B99" s="190"/>
      <c r="C99" s="130">
        <f t="shared" ca="1" si="6"/>
        <v>80</v>
      </c>
      <c r="D99" s="328"/>
      <c r="E99" s="152" t="s">
        <v>1726</v>
      </c>
      <c r="F99" s="158"/>
      <c r="G99" s="154" t="s">
        <v>1727</v>
      </c>
      <c r="H99" s="152" t="s">
        <v>1728</v>
      </c>
      <c r="I99" s="330" t="s">
        <v>1750</v>
      </c>
      <c r="J99" s="75" t="s">
        <v>15</v>
      </c>
      <c r="K99" s="407">
        <v>46084</v>
      </c>
      <c r="L99" s="40" t="s">
        <v>6</v>
      </c>
      <c r="M99" s="447" t="s">
        <v>1751</v>
      </c>
      <c r="N99" s="141" t="s">
        <v>15</v>
      </c>
      <c r="O99" s="117" t="s">
        <v>211</v>
      </c>
      <c r="P99" s="407">
        <v>46076</v>
      </c>
      <c r="Q99" s="40" t="s">
        <v>469</v>
      </c>
      <c r="R99" s="437" t="s">
        <v>1731</v>
      </c>
    </row>
    <row r="100" spans="1:18" ht="79.2" x14ac:dyDescent="0.3">
      <c r="A100" s="190"/>
      <c r="B100" s="190"/>
      <c r="C100" s="130">
        <f t="shared" ca="1" si="6"/>
        <v>81</v>
      </c>
      <c r="D100" s="519"/>
      <c r="E100" s="152" t="s">
        <v>1726</v>
      </c>
      <c r="F100" s="153"/>
      <c r="G100" s="154" t="s">
        <v>1732</v>
      </c>
      <c r="H100" s="152" t="s">
        <v>1728</v>
      </c>
      <c r="I100" s="330" t="s">
        <v>1752</v>
      </c>
      <c r="J100" s="75" t="s">
        <v>15</v>
      </c>
      <c r="K100" s="407">
        <v>46084</v>
      </c>
      <c r="L100" s="40" t="s">
        <v>6</v>
      </c>
      <c r="M100" s="447" t="s">
        <v>1753</v>
      </c>
      <c r="N100" s="141" t="s">
        <v>15</v>
      </c>
      <c r="O100" s="117" t="s">
        <v>211</v>
      </c>
      <c r="P100" s="407">
        <v>46076</v>
      </c>
      <c r="Q100" s="40" t="s">
        <v>469</v>
      </c>
      <c r="R100" s="437" t="s">
        <v>1731</v>
      </c>
    </row>
    <row r="101" spans="1:18" ht="15.75" customHeight="1" x14ac:dyDescent="0.3">
      <c r="A101" s="190"/>
      <c r="B101" s="190"/>
      <c r="C101" s="130">
        <f t="shared" ca="1" si="6"/>
        <v>82</v>
      </c>
      <c r="D101" s="680" t="s">
        <v>1754</v>
      </c>
      <c r="E101" s="655" t="s">
        <v>1755</v>
      </c>
      <c r="F101" s="204"/>
      <c r="G101" s="203" t="s">
        <v>1756</v>
      </c>
      <c r="H101" s="203" t="s">
        <v>1757</v>
      </c>
      <c r="I101" s="365" t="s">
        <v>1758</v>
      </c>
      <c r="J101" s="75" t="s">
        <v>15</v>
      </c>
      <c r="K101" s="407">
        <v>46084</v>
      </c>
      <c r="L101" s="40" t="s">
        <v>6</v>
      </c>
      <c r="M101" s="447" t="s">
        <v>1759</v>
      </c>
      <c r="N101" s="141" t="s">
        <v>15</v>
      </c>
      <c r="O101" s="117"/>
      <c r="P101" s="407">
        <v>46076</v>
      </c>
      <c r="Q101" s="40" t="s">
        <v>469</v>
      </c>
      <c r="R101" s="208"/>
    </row>
    <row r="102" spans="1:18" ht="15.75" customHeight="1" x14ac:dyDescent="0.3">
      <c r="A102" s="190"/>
      <c r="B102" s="190"/>
      <c r="C102" s="130">
        <f t="shared" ca="1" si="6"/>
        <v>83</v>
      </c>
      <c r="D102" s="635"/>
      <c r="E102" s="635"/>
      <c r="F102" s="204"/>
      <c r="G102" s="203" t="s">
        <v>1760</v>
      </c>
      <c r="H102" s="203" t="s">
        <v>1757</v>
      </c>
      <c r="I102" s="365" t="s">
        <v>1761</v>
      </c>
      <c r="J102" s="75" t="s">
        <v>15</v>
      </c>
      <c r="K102" s="407">
        <v>46084</v>
      </c>
      <c r="L102" s="40" t="s">
        <v>6</v>
      </c>
      <c r="M102" s="447" t="s">
        <v>1762</v>
      </c>
      <c r="N102" s="141" t="s">
        <v>15</v>
      </c>
      <c r="O102" s="117"/>
      <c r="P102" s="407">
        <v>46076</v>
      </c>
      <c r="Q102" s="40" t="s">
        <v>469</v>
      </c>
      <c r="R102" s="208"/>
    </row>
    <row r="103" spans="1:18" ht="15.75" customHeight="1" x14ac:dyDescent="0.3">
      <c r="A103" s="190"/>
      <c r="B103" s="190"/>
      <c r="C103" s="130">
        <f t="shared" ca="1" si="6"/>
        <v>84</v>
      </c>
      <c r="D103" s="656" t="s">
        <v>1763</v>
      </c>
      <c r="E103" s="127" t="s">
        <v>1647</v>
      </c>
      <c r="F103" s="204"/>
      <c r="G103" s="203"/>
      <c r="H103" s="203" t="s">
        <v>466</v>
      </c>
      <c r="I103" s="365" t="s">
        <v>1764</v>
      </c>
      <c r="J103" s="75" t="s">
        <v>15</v>
      </c>
      <c r="K103" s="407">
        <v>46084</v>
      </c>
      <c r="L103" s="40" t="s">
        <v>6</v>
      </c>
      <c r="M103" s="445" t="s">
        <v>1765</v>
      </c>
      <c r="N103" s="141" t="s">
        <v>15</v>
      </c>
      <c r="O103" s="117" t="s">
        <v>211</v>
      </c>
      <c r="P103" s="407">
        <v>46076</v>
      </c>
      <c r="Q103" s="40" t="s">
        <v>469</v>
      </c>
      <c r="R103" s="268" t="s">
        <v>1766</v>
      </c>
    </row>
    <row r="104" spans="1:18" ht="15.75" customHeight="1" x14ac:dyDescent="0.3">
      <c r="A104" s="190"/>
      <c r="B104" s="190"/>
      <c r="C104" s="130">
        <f t="shared" ca="1" si="6"/>
        <v>85</v>
      </c>
      <c r="D104" s="635"/>
      <c r="E104" s="127" t="s">
        <v>1767</v>
      </c>
      <c r="F104" s="204"/>
      <c r="G104" s="203"/>
      <c r="H104" s="203" t="s">
        <v>1768</v>
      </c>
      <c r="I104" s="365" t="s">
        <v>1769</v>
      </c>
      <c r="J104" s="75" t="s">
        <v>15</v>
      </c>
      <c r="K104" s="407">
        <v>46084</v>
      </c>
      <c r="L104" s="40" t="s">
        <v>6</v>
      </c>
      <c r="M104" s="445" t="s">
        <v>1770</v>
      </c>
      <c r="N104" s="141" t="s">
        <v>15</v>
      </c>
      <c r="O104" s="117"/>
      <c r="P104" s="407">
        <v>46076</v>
      </c>
      <c r="Q104" s="40" t="s">
        <v>469</v>
      </c>
      <c r="R104" s="208"/>
    </row>
    <row r="105" spans="1:18" ht="15.75" customHeight="1" x14ac:dyDescent="0.3">
      <c r="A105" s="190"/>
      <c r="B105" s="190"/>
      <c r="C105" s="130">
        <f t="shared" ca="1" si="6"/>
        <v>86</v>
      </c>
      <c r="D105" s="668" t="s">
        <v>1771</v>
      </c>
      <c r="E105" s="655" t="s">
        <v>1755</v>
      </c>
      <c r="F105" s="204"/>
      <c r="G105" s="203" t="s">
        <v>1756</v>
      </c>
      <c r="H105" s="203" t="s">
        <v>1757</v>
      </c>
      <c r="I105" s="365" t="s">
        <v>1772</v>
      </c>
      <c r="J105" s="75" t="s">
        <v>15</v>
      </c>
      <c r="K105" s="407">
        <v>46084</v>
      </c>
      <c r="L105" s="40" t="s">
        <v>6</v>
      </c>
      <c r="M105" s="445" t="s">
        <v>1773</v>
      </c>
      <c r="N105" s="141" t="s">
        <v>15</v>
      </c>
      <c r="O105" s="117"/>
      <c r="P105" s="407">
        <v>46076</v>
      </c>
      <c r="Q105" s="40" t="s">
        <v>469</v>
      </c>
      <c r="R105" s="208"/>
    </row>
    <row r="106" spans="1:18" ht="34.5" customHeight="1" x14ac:dyDescent="0.3">
      <c r="A106" s="190"/>
      <c r="B106" s="190"/>
      <c r="C106" s="130">
        <f t="shared" ca="1" si="6"/>
        <v>87</v>
      </c>
      <c r="D106" s="636"/>
      <c r="E106" s="635"/>
      <c r="F106" s="204"/>
      <c r="G106" s="203" t="s">
        <v>1760</v>
      </c>
      <c r="H106" s="203" t="s">
        <v>1757</v>
      </c>
      <c r="I106" s="365" t="s">
        <v>1774</v>
      </c>
      <c r="J106" s="75" t="s">
        <v>15</v>
      </c>
      <c r="K106" s="407">
        <v>46084</v>
      </c>
      <c r="L106" s="40" t="s">
        <v>6</v>
      </c>
      <c r="M106" s="445" t="s">
        <v>1775</v>
      </c>
      <c r="N106" s="141" t="s">
        <v>15</v>
      </c>
      <c r="O106" s="117"/>
      <c r="P106" s="407">
        <v>46076</v>
      </c>
      <c r="Q106" s="40" t="s">
        <v>469</v>
      </c>
      <c r="R106" s="208"/>
    </row>
    <row r="107" spans="1:18" ht="15.75" customHeight="1" x14ac:dyDescent="0.3">
      <c r="A107" s="190"/>
      <c r="B107" s="190"/>
      <c r="C107" s="130">
        <f t="shared" ca="1" si="6"/>
        <v>88</v>
      </c>
      <c r="D107" s="636"/>
      <c r="E107" s="655" t="s">
        <v>1776</v>
      </c>
      <c r="F107" s="204"/>
      <c r="G107" s="203" t="s">
        <v>1777</v>
      </c>
      <c r="H107" s="203" t="s">
        <v>1778</v>
      </c>
      <c r="I107" s="365" t="s">
        <v>1779</v>
      </c>
      <c r="J107" s="75" t="s">
        <v>15</v>
      </c>
      <c r="K107" s="407">
        <v>46084</v>
      </c>
      <c r="L107" s="40" t="s">
        <v>6</v>
      </c>
      <c r="M107" s="445" t="s">
        <v>1780</v>
      </c>
      <c r="N107" s="141" t="s">
        <v>15</v>
      </c>
      <c r="O107" s="117"/>
      <c r="P107" s="407">
        <v>46076</v>
      </c>
      <c r="Q107" s="40" t="s">
        <v>469</v>
      </c>
      <c r="R107" s="208"/>
    </row>
    <row r="108" spans="1:18" ht="15.75" customHeight="1" x14ac:dyDescent="0.3">
      <c r="A108" s="190"/>
      <c r="B108" s="190"/>
      <c r="C108" s="130">
        <f t="shared" ca="1" si="6"/>
        <v>89</v>
      </c>
      <c r="D108" s="635"/>
      <c r="E108" s="635"/>
      <c r="F108" s="448"/>
      <c r="G108" s="203" t="s">
        <v>1781</v>
      </c>
      <c r="H108" s="203" t="s">
        <v>1778</v>
      </c>
      <c r="I108" s="520" t="s">
        <v>1782</v>
      </c>
      <c r="J108" s="75" t="s">
        <v>15</v>
      </c>
      <c r="K108" s="407">
        <v>46084</v>
      </c>
      <c r="L108" s="40" t="s">
        <v>6</v>
      </c>
      <c r="M108" s="445" t="s">
        <v>1783</v>
      </c>
      <c r="N108" s="141" t="s">
        <v>15</v>
      </c>
      <c r="O108" s="117"/>
      <c r="P108" s="407">
        <v>46076</v>
      </c>
      <c r="Q108" s="40" t="s">
        <v>469</v>
      </c>
      <c r="R108" s="208"/>
    </row>
    <row r="109" spans="1:18" ht="15.75" customHeight="1" x14ac:dyDescent="0.3">
      <c r="A109" s="190"/>
      <c r="B109" s="190"/>
      <c r="C109" s="130">
        <f t="shared" ca="1" si="6"/>
        <v>90</v>
      </c>
      <c r="D109" s="215" t="s">
        <v>1784</v>
      </c>
      <c r="E109" s="127" t="s">
        <v>237</v>
      </c>
      <c r="F109" s="204"/>
      <c r="G109" s="203"/>
      <c r="H109" s="203" t="s">
        <v>241</v>
      </c>
      <c r="I109" s="365" t="s">
        <v>1785</v>
      </c>
      <c r="J109" s="75" t="s">
        <v>15</v>
      </c>
      <c r="K109" s="407">
        <v>46084</v>
      </c>
      <c r="L109" s="40" t="s">
        <v>6</v>
      </c>
      <c r="M109" s="445" t="s">
        <v>1786</v>
      </c>
      <c r="N109" s="141" t="s">
        <v>15</v>
      </c>
      <c r="O109" s="117"/>
      <c r="P109" s="407">
        <v>46076</v>
      </c>
      <c r="Q109" s="40" t="s">
        <v>469</v>
      </c>
      <c r="R109" s="208"/>
    </row>
    <row r="110" spans="1:18" ht="41.4" x14ac:dyDescent="0.3">
      <c r="A110" s="190"/>
      <c r="B110" s="190"/>
      <c r="C110" s="130">
        <f t="shared" ca="1" si="6"/>
        <v>91</v>
      </c>
      <c r="D110" s="656" t="s">
        <v>1787</v>
      </c>
      <c r="E110" s="199" t="s">
        <v>415</v>
      </c>
      <c r="F110" s="446"/>
      <c r="G110" s="115" t="s">
        <v>1558</v>
      </c>
      <c r="H110" s="203" t="s">
        <v>466</v>
      </c>
      <c r="I110" s="365" t="s">
        <v>1788</v>
      </c>
      <c r="J110" s="75" t="s">
        <v>15</v>
      </c>
      <c r="K110" s="407">
        <v>46084</v>
      </c>
      <c r="L110" s="40" t="s">
        <v>6</v>
      </c>
      <c r="M110" s="445" t="s">
        <v>1789</v>
      </c>
      <c r="N110" s="141" t="s">
        <v>15</v>
      </c>
      <c r="O110" s="117"/>
      <c r="P110" s="407">
        <v>46076</v>
      </c>
      <c r="Q110" s="40" t="s">
        <v>469</v>
      </c>
      <c r="R110" s="208"/>
    </row>
    <row r="111" spans="1:18" ht="96.6" x14ac:dyDescent="0.3">
      <c r="A111" s="190"/>
      <c r="B111" s="190"/>
      <c r="C111" s="130">
        <f t="shared" ca="1" si="6"/>
        <v>92</v>
      </c>
      <c r="D111" s="636"/>
      <c r="E111" s="199" t="s">
        <v>415</v>
      </c>
      <c r="F111" s="115"/>
      <c r="G111" s="115" t="s">
        <v>1561</v>
      </c>
      <c r="H111" s="177" t="s">
        <v>466</v>
      </c>
      <c r="I111" s="365" t="s">
        <v>1790</v>
      </c>
      <c r="J111" s="75" t="s">
        <v>15</v>
      </c>
      <c r="K111" s="407">
        <v>46084</v>
      </c>
      <c r="L111" s="40" t="s">
        <v>6</v>
      </c>
      <c r="M111" s="445" t="s">
        <v>1791</v>
      </c>
      <c r="N111" s="141" t="s">
        <v>15</v>
      </c>
      <c r="O111" s="117"/>
      <c r="P111" s="407">
        <v>46076</v>
      </c>
      <c r="Q111" s="40" t="s">
        <v>469</v>
      </c>
      <c r="R111" s="208"/>
    </row>
    <row r="112" spans="1:18" ht="96.6" x14ac:dyDescent="0.3">
      <c r="A112" s="190"/>
      <c r="B112" s="190"/>
      <c r="C112" s="130">
        <f t="shared" ca="1" si="6"/>
        <v>93</v>
      </c>
      <c r="D112" s="636"/>
      <c r="E112" s="199" t="s">
        <v>415</v>
      </c>
      <c r="F112" s="115"/>
      <c r="G112" s="115" t="s">
        <v>1563</v>
      </c>
      <c r="H112" s="177" t="s">
        <v>466</v>
      </c>
      <c r="I112" s="365" t="s">
        <v>1792</v>
      </c>
      <c r="J112" s="75" t="s">
        <v>15</v>
      </c>
      <c r="K112" s="407">
        <v>46084</v>
      </c>
      <c r="L112" s="40" t="s">
        <v>6</v>
      </c>
      <c r="M112" s="445" t="s">
        <v>1793</v>
      </c>
      <c r="N112" s="141" t="s">
        <v>15</v>
      </c>
      <c r="O112" s="117"/>
      <c r="P112" s="407">
        <v>46076</v>
      </c>
      <c r="Q112" s="40" t="s">
        <v>469</v>
      </c>
      <c r="R112" s="115"/>
    </row>
    <row r="113" spans="1:18" ht="96.6" x14ac:dyDescent="0.3">
      <c r="A113" s="190"/>
      <c r="B113" s="190"/>
      <c r="C113" s="130">
        <f t="shared" ca="1" si="6"/>
        <v>94</v>
      </c>
      <c r="D113" s="636"/>
      <c r="E113" s="199" t="s">
        <v>415</v>
      </c>
      <c r="F113" s="115"/>
      <c r="G113" s="115" t="s">
        <v>1565</v>
      </c>
      <c r="H113" s="177" t="s">
        <v>466</v>
      </c>
      <c r="I113" s="365" t="s">
        <v>1794</v>
      </c>
      <c r="J113" s="75" t="s">
        <v>15</v>
      </c>
      <c r="K113" s="407">
        <v>46084</v>
      </c>
      <c r="L113" s="40" t="s">
        <v>6</v>
      </c>
      <c r="M113" s="445" t="s">
        <v>1795</v>
      </c>
      <c r="N113" s="141" t="s">
        <v>15</v>
      </c>
      <c r="O113" s="117"/>
      <c r="P113" s="407">
        <v>46076</v>
      </c>
      <c r="Q113" s="40" t="s">
        <v>469</v>
      </c>
      <c r="R113" s="115"/>
    </row>
    <row r="114" spans="1:18" ht="96.6" x14ac:dyDescent="0.3">
      <c r="A114" s="190"/>
      <c r="B114" s="190"/>
      <c r="C114" s="130">
        <f t="shared" ca="1" si="6"/>
        <v>95</v>
      </c>
      <c r="D114" s="635"/>
      <c r="E114" s="199" t="s">
        <v>415</v>
      </c>
      <c r="F114" s="115"/>
      <c r="G114" s="115" t="s">
        <v>1567</v>
      </c>
      <c r="H114" s="177" t="s">
        <v>466</v>
      </c>
      <c r="I114" s="365" t="s">
        <v>1796</v>
      </c>
      <c r="J114" s="75" t="s">
        <v>15</v>
      </c>
      <c r="K114" s="407">
        <v>46084</v>
      </c>
      <c r="L114" s="40" t="s">
        <v>6</v>
      </c>
      <c r="M114" s="445" t="s">
        <v>1797</v>
      </c>
      <c r="N114" s="141" t="s">
        <v>15</v>
      </c>
      <c r="O114" s="117"/>
      <c r="P114" s="407">
        <v>46076</v>
      </c>
      <c r="Q114" s="40" t="s">
        <v>469</v>
      </c>
      <c r="R114" s="115"/>
    </row>
    <row r="115" spans="1:18" ht="41.4" x14ac:dyDescent="0.3">
      <c r="A115" s="190"/>
      <c r="B115" s="190"/>
      <c r="C115" s="130">
        <f t="shared" ca="1" si="6"/>
        <v>96</v>
      </c>
      <c r="D115" s="668" t="s">
        <v>1619</v>
      </c>
      <c r="E115" s="199" t="s">
        <v>198</v>
      </c>
      <c r="F115" s="115"/>
      <c r="G115" s="179"/>
      <c r="H115" s="127" t="s">
        <v>199</v>
      </c>
      <c r="I115" s="308" t="s">
        <v>1620</v>
      </c>
      <c r="J115" s="75" t="s">
        <v>15</v>
      </c>
      <c r="K115" s="407">
        <v>46084</v>
      </c>
      <c r="L115" s="40" t="s">
        <v>6</v>
      </c>
      <c r="M115" s="445" t="s">
        <v>1798</v>
      </c>
      <c r="N115" s="141" t="s">
        <v>15</v>
      </c>
      <c r="O115" s="117"/>
      <c r="P115" s="407">
        <v>46076</v>
      </c>
      <c r="Q115" s="40" t="s">
        <v>469</v>
      </c>
      <c r="R115" s="208"/>
    </row>
    <row r="116" spans="1:18" ht="41.4" x14ac:dyDescent="0.3">
      <c r="A116" s="190"/>
      <c r="B116" s="190"/>
      <c r="C116" s="130">
        <f t="shared" ca="1" si="6"/>
        <v>97</v>
      </c>
      <c r="D116" s="635"/>
      <c r="E116" s="199" t="s">
        <v>415</v>
      </c>
      <c r="F116" s="115"/>
      <c r="G116" s="179"/>
      <c r="H116" s="177" t="s">
        <v>1622</v>
      </c>
      <c r="I116" s="521" t="s">
        <v>1799</v>
      </c>
      <c r="J116" s="75" t="s">
        <v>15</v>
      </c>
      <c r="K116" s="407">
        <v>46084</v>
      </c>
      <c r="L116" s="40" t="s">
        <v>6</v>
      </c>
      <c r="M116" s="445" t="s">
        <v>1800</v>
      </c>
      <c r="N116" s="141" t="s">
        <v>15</v>
      </c>
      <c r="O116" s="117"/>
      <c r="P116" s="407">
        <v>46076</v>
      </c>
      <c r="Q116" s="40" t="s">
        <v>469</v>
      </c>
      <c r="R116" s="208"/>
    </row>
    <row r="117" spans="1:18" ht="61.5" customHeight="1" x14ac:dyDescent="0.3">
      <c r="A117" s="190"/>
      <c r="B117" s="190"/>
      <c r="C117" s="130">
        <f t="shared" ca="1" si="6"/>
        <v>98</v>
      </c>
      <c r="D117" s="656" t="s">
        <v>1625</v>
      </c>
      <c r="E117" s="199" t="s">
        <v>198</v>
      </c>
      <c r="F117" s="115"/>
      <c r="G117" s="179"/>
      <c r="H117" s="127" t="s">
        <v>199</v>
      </c>
      <c r="I117" s="308" t="s">
        <v>1626</v>
      </c>
      <c r="J117" s="75" t="s">
        <v>15</v>
      </c>
      <c r="K117" s="407">
        <v>46084</v>
      </c>
      <c r="L117" s="40" t="s">
        <v>6</v>
      </c>
      <c r="M117" s="445" t="s">
        <v>1801</v>
      </c>
      <c r="N117" s="141" t="s">
        <v>15</v>
      </c>
      <c r="O117" s="117"/>
      <c r="P117" s="407">
        <v>46076</v>
      </c>
      <c r="Q117" s="40" t="s">
        <v>469</v>
      </c>
      <c r="R117" s="208"/>
    </row>
    <row r="118" spans="1:18" ht="41.4" x14ac:dyDescent="0.3">
      <c r="A118" s="190"/>
      <c r="B118" s="190"/>
      <c r="C118" s="130">
        <f t="shared" ca="1" si="6"/>
        <v>99</v>
      </c>
      <c r="D118" s="635"/>
      <c r="E118" s="199" t="s">
        <v>415</v>
      </c>
      <c r="F118" s="115"/>
      <c r="G118" s="179"/>
      <c r="H118" s="177" t="s">
        <v>1628</v>
      </c>
      <c r="I118" s="521" t="s">
        <v>1802</v>
      </c>
      <c r="J118" s="75" t="s">
        <v>15</v>
      </c>
      <c r="K118" s="407">
        <v>46084</v>
      </c>
      <c r="L118" s="40" t="s">
        <v>6</v>
      </c>
      <c r="M118" s="445" t="s">
        <v>1803</v>
      </c>
      <c r="N118" s="141" t="s">
        <v>15</v>
      </c>
      <c r="O118" s="117"/>
      <c r="P118" s="407">
        <v>46076</v>
      </c>
      <c r="Q118" s="40" t="s">
        <v>469</v>
      </c>
      <c r="R118" s="208"/>
    </row>
    <row r="119" spans="1:18" ht="90.75" customHeight="1" x14ac:dyDescent="0.3">
      <c r="A119" s="190"/>
      <c r="B119" s="190"/>
      <c r="C119" s="130">
        <f t="shared" ca="1" si="6"/>
        <v>100</v>
      </c>
      <c r="D119" s="656" t="s">
        <v>1631</v>
      </c>
      <c r="E119" s="199" t="s">
        <v>198</v>
      </c>
      <c r="F119" s="115"/>
      <c r="G119" s="179"/>
      <c r="H119" s="127" t="s">
        <v>199</v>
      </c>
      <c r="I119" s="308" t="s">
        <v>1632</v>
      </c>
      <c r="J119" s="75" t="s">
        <v>15</v>
      </c>
      <c r="K119" s="407">
        <v>46084</v>
      </c>
      <c r="L119" s="40" t="s">
        <v>6</v>
      </c>
      <c r="M119" s="445" t="s">
        <v>1804</v>
      </c>
      <c r="N119" s="141" t="s">
        <v>15</v>
      </c>
      <c r="O119" s="117"/>
      <c r="P119" s="407">
        <v>46076</v>
      </c>
      <c r="Q119" s="40" t="s">
        <v>469</v>
      </c>
      <c r="R119" s="208"/>
    </row>
    <row r="120" spans="1:18" ht="41.4" x14ac:dyDescent="0.3">
      <c r="A120" s="190"/>
      <c r="B120" s="190"/>
      <c r="C120" s="130">
        <f t="shared" ca="1" si="6"/>
        <v>101</v>
      </c>
      <c r="D120" s="635"/>
      <c r="E120" s="199" t="s">
        <v>415</v>
      </c>
      <c r="F120" s="115"/>
      <c r="G120" s="179"/>
      <c r="H120" s="177" t="s">
        <v>1634</v>
      </c>
      <c r="I120" s="521" t="s">
        <v>1805</v>
      </c>
      <c r="J120" s="75" t="s">
        <v>15</v>
      </c>
      <c r="K120" s="407">
        <v>46084</v>
      </c>
      <c r="L120" s="40" t="s">
        <v>6</v>
      </c>
      <c r="M120" s="445" t="s">
        <v>1806</v>
      </c>
      <c r="N120" s="141" t="s">
        <v>15</v>
      </c>
      <c r="O120" s="117"/>
      <c r="P120" s="407">
        <v>46076</v>
      </c>
      <c r="Q120" s="40" t="s">
        <v>469</v>
      </c>
      <c r="R120" s="208"/>
    </row>
    <row r="121" spans="1:18" ht="41.4" x14ac:dyDescent="0.3">
      <c r="A121" s="190"/>
      <c r="B121" s="190"/>
      <c r="C121" s="130">
        <f t="shared" ca="1" si="6"/>
        <v>102</v>
      </c>
      <c r="D121" s="691" t="s">
        <v>1807</v>
      </c>
      <c r="E121" s="127" t="s">
        <v>237</v>
      </c>
      <c r="F121" s="115"/>
      <c r="G121" s="115"/>
      <c r="H121" s="177" t="s">
        <v>466</v>
      </c>
      <c r="I121" s="308" t="s">
        <v>1808</v>
      </c>
      <c r="J121" s="75" t="s">
        <v>15</v>
      </c>
      <c r="K121" s="407">
        <v>46084</v>
      </c>
      <c r="L121" s="40" t="s">
        <v>6</v>
      </c>
      <c r="M121" s="445" t="s">
        <v>1809</v>
      </c>
      <c r="N121" s="141" t="s">
        <v>15</v>
      </c>
      <c r="O121" s="117"/>
      <c r="P121" s="407">
        <v>46076</v>
      </c>
      <c r="Q121" s="40" t="s">
        <v>469</v>
      </c>
      <c r="R121" s="208"/>
    </row>
    <row r="122" spans="1:18" ht="15.75" customHeight="1" x14ac:dyDescent="0.3">
      <c r="A122" s="190"/>
      <c r="B122" s="190"/>
      <c r="C122" s="130">
        <f t="shared" ca="1" si="6"/>
        <v>103</v>
      </c>
      <c r="D122" s="636"/>
      <c r="E122" s="127" t="s">
        <v>237</v>
      </c>
      <c r="F122" s="115"/>
      <c r="G122" s="115" t="s">
        <v>1810</v>
      </c>
      <c r="H122" s="177" t="s">
        <v>466</v>
      </c>
      <c r="I122" s="308" t="s">
        <v>1811</v>
      </c>
      <c r="J122" s="75" t="s">
        <v>15</v>
      </c>
      <c r="K122" s="407">
        <v>46084</v>
      </c>
      <c r="L122" s="40" t="s">
        <v>6</v>
      </c>
      <c r="M122" s="445" t="s">
        <v>1812</v>
      </c>
      <c r="N122" s="141" t="s">
        <v>15</v>
      </c>
      <c r="O122" s="117"/>
      <c r="P122" s="407">
        <v>46076</v>
      </c>
      <c r="Q122" s="40" t="s">
        <v>469</v>
      </c>
      <c r="R122" s="208"/>
    </row>
    <row r="123" spans="1:18" ht="15.75" customHeight="1" x14ac:dyDescent="0.3">
      <c r="A123" s="190"/>
      <c r="B123" s="190"/>
      <c r="C123" s="130">
        <f t="shared" ca="1" si="6"/>
        <v>104</v>
      </c>
      <c r="D123" s="635"/>
      <c r="E123" s="127" t="s">
        <v>237</v>
      </c>
      <c r="F123" s="115"/>
      <c r="G123" s="115" t="s">
        <v>1813</v>
      </c>
      <c r="H123" s="177" t="s">
        <v>466</v>
      </c>
      <c r="I123" s="308" t="s">
        <v>1814</v>
      </c>
      <c r="J123" s="75" t="s">
        <v>15</v>
      </c>
      <c r="K123" s="407">
        <v>46084</v>
      </c>
      <c r="L123" s="40" t="s">
        <v>6</v>
      </c>
      <c r="M123" s="445" t="s">
        <v>1815</v>
      </c>
      <c r="N123" s="141" t="s">
        <v>15</v>
      </c>
      <c r="O123" s="117"/>
      <c r="P123" s="407">
        <v>46076</v>
      </c>
      <c r="Q123" s="40" t="s">
        <v>469</v>
      </c>
      <c r="R123" s="208"/>
    </row>
    <row r="124" spans="1:18" ht="15.75" customHeight="1" x14ac:dyDescent="0.3">
      <c r="A124" s="190"/>
      <c r="B124" s="190"/>
      <c r="C124" s="130">
        <f t="shared" ca="1" si="6"/>
        <v>105</v>
      </c>
      <c r="D124" s="522" t="s">
        <v>1816</v>
      </c>
      <c r="E124" s="127" t="s">
        <v>237</v>
      </c>
      <c r="F124" s="115"/>
      <c r="G124" s="115"/>
      <c r="H124" s="177" t="s">
        <v>466</v>
      </c>
      <c r="I124" s="308" t="s">
        <v>1817</v>
      </c>
      <c r="J124" s="75" t="s">
        <v>15</v>
      </c>
      <c r="K124" s="407">
        <v>46084</v>
      </c>
      <c r="L124" s="40" t="s">
        <v>6</v>
      </c>
      <c r="M124" s="445" t="s">
        <v>798</v>
      </c>
      <c r="N124" s="141" t="s">
        <v>15</v>
      </c>
      <c r="O124" s="117"/>
      <c r="P124" s="407">
        <v>46076</v>
      </c>
      <c r="Q124" s="40" t="s">
        <v>469</v>
      </c>
      <c r="R124" s="208"/>
    </row>
    <row r="125" spans="1:18" ht="15.75" customHeight="1" x14ac:dyDescent="0.3">
      <c r="A125" s="190"/>
      <c r="B125" s="190"/>
      <c r="C125" s="130">
        <f t="shared" ca="1" si="6"/>
        <v>106</v>
      </c>
      <c r="D125" s="181" t="s">
        <v>438</v>
      </c>
      <c r="E125" s="306" t="s">
        <v>435</v>
      </c>
      <c r="F125" s="200" t="s">
        <v>207</v>
      </c>
      <c r="G125" s="354"/>
      <c r="H125" s="127" t="s">
        <v>1818</v>
      </c>
      <c r="I125" s="127" t="s">
        <v>1819</v>
      </c>
      <c r="J125" s="75" t="s">
        <v>15</v>
      </c>
      <c r="K125" s="407">
        <v>46084</v>
      </c>
      <c r="L125" s="40" t="s">
        <v>6</v>
      </c>
      <c r="M125" s="445" t="s">
        <v>1820</v>
      </c>
      <c r="N125" s="141" t="s">
        <v>15</v>
      </c>
      <c r="O125" s="117"/>
      <c r="P125" s="407">
        <v>46076</v>
      </c>
      <c r="Q125" s="40" t="s">
        <v>469</v>
      </c>
      <c r="R125" s="208"/>
    </row>
    <row r="126" spans="1:18" ht="15.75" customHeight="1" x14ac:dyDescent="0.3">
      <c r="A126" s="190"/>
      <c r="B126" s="190"/>
      <c r="C126" s="130">
        <f t="shared" ca="1" si="6"/>
        <v>107</v>
      </c>
      <c r="D126" s="181" t="s">
        <v>1821</v>
      </c>
      <c r="E126" s="306" t="s">
        <v>435</v>
      </c>
      <c r="F126" s="200" t="s">
        <v>207</v>
      </c>
      <c r="G126" s="354" t="s">
        <v>1822</v>
      </c>
      <c r="H126" s="127" t="s">
        <v>225</v>
      </c>
      <c r="I126" s="365" t="s">
        <v>1823</v>
      </c>
      <c r="J126" s="75" t="s">
        <v>15</v>
      </c>
      <c r="K126" s="407">
        <v>46084</v>
      </c>
      <c r="L126" s="40" t="s">
        <v>6</v>
      </c>
      <c r="M126" s="445" t="s">
        <v>805</v>
      </c>
      <c r="N126" s="141" t="s">
        <v>15</v>
      </c>
      <c r="O126" s="117"/>
      <c r="P126" s="407">
        <v>46076</v>
      </c>
      <c r="Q126" s="40" t="s">
        <v>469</v>
      </c>
      <c r="R126" s="208"/>
    </row>
    <row r="127" spans="1:18" ht="15.75" customHeight="1" x14ac:dyDescent="0.3">
      <c r="A127" s="190"/>
      <c r="B127" s="190"/>
      <c r="C127" s="130">
        <f t="shared" ca="1" si="6"/>
        <v>108</v>
      </c>
      <c r="D127" s="295"/>
      <c r="E127" s="306" t="s">
        <v>435</v>
      </c>
      <c r="F127" s="204"/>
      <c r="G127" s="127" t="s">
        <v>1824</v>
      </c>
      <c r="H127" s="127" t="s">
        <v>225</v>
      </c>
      <c r="I127" s="365" t="s">
        <v>1825</v>
      </c>
      <c r="J127" s="75" t="s">
        <v>15</v>
      </c>
      <c r="K127" s="407">
        <v>46084</v>
      </c>
      <c r="L127" s="40" t="s">
        <v>6</v>
      </c>
      <c r="M127" s="445" t="s">
        <v>807</v>
      </c>
      <c r="N127" s="141" t="s">
        <v>15</v>
      </c>
      <c r="O127" s="117"/>
      <c r="P127" s="407">
        <v>46076</v>
      </c>
      <c r="Q127" s="40" t="s">
        <v>469</v>
      </c>
      <c r="R127" s="208"/>
    </row>
    <row r="128" spans="1:18" ht="15.75" customHeight="1" x14ac:dyDescent="0.3">
      <c r="A128" s="190"/>
      <c r="B128" s="190"/>
      <c r="C128" s="130">
        <f t="shared" ca="1" si="6"/>
        <v>109</v>
      </c>
      <c r="D128" s="295"/>
      <c r="E128" s="127" t="s">
        <v>216</v>
      </c>
      <c r="F128" s="200" t="s">
        <v>207</v>
      </c>
      <c r="G128" s="354" t="s">
        <v>1824</v>
      </c>
      <c r="H128" s="127" t="s">
        <v>227</v>
      </c>
      <c r="I128" s="365" t="s">
        <v>1826</v>
      </c>
      <c r="J128" s="75" t="s">
        <v>15</v>
      </c>
      <c r="K128" s="407">
        <v>46084</v>
      </c>
      <c r="L128" s="40" t="s">
        <v>6</v>
      </c>
      <c r="M128" s="445" t="s">
        <v>1827</v>
      </c>
      <c r="N128" s="141" t="s">
        <v>15</v>
      </c>
      <c r="O128" s="117"/>
      <c r="P128" s="407">
        <v>46076</v>
      </c>
      <c r="Q128" s="40" t="s">
        <v>469</v>
      </c>
      <c r="R128" s="2"/>
    </row>
    <row r="129" spans="1:18" ht="15.75" customHeight="1" x14ac:dyDescent="0.3">
      <c r="A129" s="190"/>
      <c r="B129" s="190"/>
      <c r="C129" s="652" t="s">
        <v>1828</v>
      </c>
      <c r="D129" s="602"/>
      <c r="E129" s="602"/>
      <c r="F129" s="602"/>
      <c r="G129" s="602"/>
      <c r="H129" s="602"/>
      <c r="I129" s="602"/>
      <c r="J129" s="602"/>
      <c r="K129" s="602"/>
      <c r="L129" s="602"/>
      <c r="M129" s="602"/>
      <c r="N129" s="602"/>
      <c r="O129" s="602"/>
      <c r="P129" s="602"/>
      <c r="Q129" s="602"/>
      <c r="R129" s="602"/>
    </row>
    <row r="130" spans="1:18" ht="15.75" customHeight="1" x14ac:dyDescent="0.3">
      <c r="A130" s="104"/>
      <c r="B130" s="104"/>
      <c r="C130" s="130">
        <f t="shared" ref="C130:C185" ca="1" si="7">1+COUNT(INDIRECT("A1:"&amp;(ADDRESS(ROW()-1,COLUMN()))))</f>
        <v>110</v>
      </c>
      <c r="D130" s="523" t="s">
        <v>195</v>
      </c>
      <c r="E130" s="524" t="s">
        <v>214</v>
      </c>
      <c r="F130" s="525" t="s">
        <v>215</v>
      </c>
      <c r="G130" s="220" t="s">
        <v>1829</v>
      </c>
      <c r="H130" s="342" t="s">
        <v>231</v>
      </c>
      <c r="I130" s="419" t="s">
        <v>1830</v>
      </c>
      <c r="J130" s="75" t="s">
        <v>15</v>
      </c>
      <c r="K130" s="407">
        <v>46084</v>
      </c>
      <c r="L130" s="40" t="s">
        <v>6</v>
      </c>
      <c r="M130" s="349" t="s">
        <v>1831</v>
      </c>
      <c r="N130" s="141" t="s">
        <v>15</v>
      </c>
      <c r="O130" s="117"/>
      <c r="P130" s="407">
        <v>46077</v>
      </c>
      <c r="Q130" s="40" t="s">
        <v>469</v>
      </c>
      <c r="R130" s="83"/>
    </row>
    <row r="131" spans="1:18" ht="15.75" customHeight="1" x14ac:dyDescent="0.3">
      <c r="A131" s="190"/>
      <c r="B131" s="190"/>
      <c r="C131" s="130">
        <f t="shared" ca="1" si="7"/>
        <v>111</v>
      </c>
      <c r="D131" s="523" t="s">
        <v>1832</v>
      </c>
      <c r="E131" s="526" t="s">
        <v>198</v>
      </c>
      <c r="F131" s="527" t="s">
        <v>207</v>
      </c>
      <c r="G131" s="395"/>
      <c r="H131" s="220" t="s">
        <v>232</v>
      </c>
      <c r="I131" s="220" t="s">
        <v>1833</v>
      </c>
      <c r="J131" s="75" t="s">
        <v>15</v>
      </c>
      <c r="K131" s="407">
        <v>46084</v>
      </c>
      <c r="L131" s="40" t="s">
        <v>6</v>
      </c>
      <c r="M131" s="445" t="s">
        <v>1834</v>
      </c>
      <c r="N131" s="141" t="s">
        <v>15</v>
      </c>
      <c r="O131" s="117"/>
      <c r="P131" s="407">
        <v>46077</v>
      </c>
      <c r="Q131" s="40" t="s">
        <v>469</v>
      </c>
      <c r="R131" s="208"/>
    </row>
    <row r="132" spans="1:18" ht="15.75" customHeight="1" x14ac:dyDescent="0.3">
      <c r="A132" s="190"/>
      <c r="B132" s="190"/>
      <c r="C132" s="130">
        <f t="shared" ca="1" si="7"/>
        <v>112</v>
      </c>
      <c r="D132" s="528"/>
      <c r="E132" s="84" t="s">
        <v>216</v>
      </c>
      <c r="F132" s="529"/>
      <c r="G132" s="226"/>
      <c r="H132" s="226" t="s">
        <v>1835</v>
      </c>
      <c r="I132" s="226" t="s">
        <v>1836</v>
      </c>
      <c r="J132" s="75" t="s">
        <v>15</v>
      </c>
      <c r="K132" s="407">
        <v>46084</v>
      </c>
      <c r="L132" s="40" t="s">
        <v>6</v>
      </c>
      <c r="M132" s="445" t="s">
        <v>1837</v>
      </c>
      <c r="N132" s="141" t="s">
        <v>15</v>
      </c>
      <c r="O132" s="117"/>
      <c r="P132" s="407">
        <v>46077</v>
      </c>
      <c r="Q132" s="40" t="s">
        <v>469</v>
      </c>
      <c r="R132" s="208"/>
    </row>
    <row r="133" spans="1:18" ht="34.5" customHeight="1" x14ac:dyDescent="0.3">
      <c r="A133" s="190"/>
      <c r="B133" s="190"/>
      <c r="C133" s="130">
        <f t="shared" ca="1" si="7"/>
        <v>113</v>
      </c>
      <c r="D133" s="414" t="s">
        <v>1688</v>
      </c>
      <c r="E133" s="526" t="s">
        <v>198</v>
      </c>
      <c r="F133" s="525"/>
      <c r="G133" s="366"/>
      <c r="H133" s="220" t="s">
        <v>199</v>
      </c>
      <c r="I133" s="420" t="s">
        <v>1689</v>
      </c>
      <c r="J133" s="75" t="s">
        <v>15</v>
      </c>
      <c r="K133" s="407">
        <v>46084</v>
      </c>
      <c r="L133" s="40" t="s">
        <v>6</v>
      </c>
      <c r="M133" s="445" t="s">
        <v>1838</v>
      </c>
      <c r="N133" s="141" t="s">
        <v>15</v>
      </c>
      <c r="O133" s="117"/>
      <c r="P133" s="407">
        <v>46077</v>
      </c>
      <c r="Q133" s="40" t="s">
        <v>469</v>
      </c>
      <c r="R133" s="208"/>
    </row>
    <row r="134" spans="1:18" ht="81.75" customHeight="1" x14ac:dyDescent="0.3">
      <c r="A134" s="190"/>
      <c r="B134" s="190"/>
      <c r="C134" s="130">
        <f t="shared" ca="1" si="7"/>
        <v>114</v>
      </c>
      <c r="D134" s="530" t="s">
        <v>1839</v>
      </c>
      <c r="E134" s="84" t="s">
        <v>200</v>
      </c>
      <c r="F134" s="84"/>
      <c r="G134" s="220"/>
      <c r="H134" s="220" t="s">
        <v>1840</v>
      </c>
      <c r="I134" s="342" t="s">
        <v>1841</v>
      </c>
      <c r="J134" s="75" t="s">
        <v>15</v>
      </c>
      <c r="K134" s="407">
        <v>46084</v>
      </c>
      <c r="L134" s="40" t="s">
        <v>6</v>
      </c>
      <c r="M134" s="445" t="s">
        <v>1842</v>
      </c>
      <c r="N134" s="141" t="s">
        <v>158</v>
      </c>
      <c r="O134" s="117" t="s">
        <v>211</v>
      </c>
      <c r="P134" s="407">
        <v>46077</v>
      </c>
      <c r="Q134" s="40" t="s">
        <v>469</v>
      </c>
      <c r="R134" s="268" t="s">
        <v>1720</v>
      </c>
    </row>
    <row r="135" spans="1:18" ht="69" customHeight="1" x14ac:dyDescent="0.3">
      <c r="A135" s="190"/>
      <c r="B135" s="190"/>
      <c r="C135" s="130">
        <f t="shared" ca="1" si="7"/>
        <v>115</v>
      </c>
      <c r="D135" s="531"/>
      <c r="E135" s="84" t="s">
        <v>1721</v>
      </c>
      <c r="F135" s="532"/>
      <c r="G135" s="397"/>
      <c r="H135" s="220" t="s">
        <v>1722</v>
      </c>
      <c r="I135" s="426" t="s">
        <v>1843</v>
      </c>
      <c r="J135" s="75" t="s">
        <v>15</v>
      </c>
      <c r="K135" s="407">
        <v>46084</v>
      </c>
      <c r="L135" s="40" t="s">
        <v>6</v>
      </c>
      <c r="M135" s="445" t="s">
        <v>1844</v>
      </c>
      <c r="N135" s="141" t="s">
        <v>15</v>
      </c>
      <c r="O135" s="117"/>
      <c r="P135" s="407">
        <v>46077</v>
      </c>
      <c r="Q135" s="40" t="s">
        <v>469</v>
      </c>
      <c r="R135" s="208"/>
    </row>
    <row r="136" spans="1:18" ht="69" customHeight="1" x14ac:dyDescent="0.3">
      <c r="A136" s="190"/>
      <c r="B136" s="190"/>
      <c r="C136" s="130">
        <f t="shared" ca="1" si="7"/>
        <v>116</v>
      </c>
      <c r="D136" s="531"/>
      <c r="E136" s="84" t="s">
        <v>1726</v>
      </c>
      <c r="F136" s="532"/>
      <c r="G136" s="366"/>
      <c r="H136" s="220" t="s">
        <v>1845</v>
      </c>
      <c r="I136" s="426" t="s">
        <v>1846</v>
      </c>
      <c r="J136" s="75" t="s">
        <v>15</v>
      </c>
      <c r="K136" s="407">
        <v>46084</v>
      </c>
      <c r="L136" s="40" t="s">
        <v>6</v>
      </c>
      <c r="M136" s="349" t="s">
        <v>1847</v>
      </c>
      <c r="N136" s="141" t="s">
        <v>158</v>
      </c>
      <c r="O136" s="117" t="s">
        <v>211</v>
      </c>
      <c r="P136" s="407">
        <v>46077</v>
      </c>
      <c r="Q136" s="40" t="s">
        <v>469</v>
      </c>
      <c r="R136" s="301" t="s">
        <v>1848</v>
      </c>
    </row>
    <row r="137" spans="1:18" ht="81.75" customHeight="1" x14ac:dyDescent="0.3">
      <c r="A137" s="190"/>
      <c r="B137" s="190"/>
      <c r="C137" s="130">
        <f t="shared" ca="1" si="7"/>
        <v>117</v>
      </c>
      <c r="D137" s="533" t="s">
        <v>1849</v>
      </c>
      <c r="E137" s="685" t="s">
        <v>1647</v>
      </c>
      <c r="F137" s="84"/>
      <c r="G137" s="220"/>
      <c r="H137" s="220" t="s">
        <v>1850</v>
      </c>
      <c r="I137" s="342" t="s">
        <v>1851</v>
      </c>
      <c r="J137" s="75" t="s">
        <v>15</v>
      </c>
      <c r="K137" s="407">
        <v>46084</v>
      </c>
      <c r="L137" s="40" t="s">
        <v>6</v>
      </c>
      <c r="M137" s="349" t="s">
        <v>1852</v>
      </c>
      <c r="N137" s="141" t="s">
        <v>15</v>
      </c>
      <c r="O137" s="117"/>
      <c r="P137" s="407">
        <v>46077</v>
      </c>
      <c r="Q137" s="40" t="s">
        <v>469</v>
      </c>
      <c r="R137" s="208"/>
    </row>
    <row r="138" spans="1:18" ht="63" customHeight="1" x14ac:dyDescent="0.3">
      <c r="A138" s="190"/>
      <c r="B138" s="190"/>
      <c r="C138" s="130">
        <f t="shared" ca="1" si="7"/>
        <v>118</v>
      </c>
      <c r="D138" s="531"/>
      <c r="E138" s="635"/>
      <c r="F138" s="532"/>
      <c r="G138" s="366"/>
      <c r="H138" s="220" t="s">
        <v>1845</v>
      </c>
      <c r="I138" s="426" t="s">
        <v>1846</v>
      </c>
      <c r="J138" s="75" t="s">
        <v>15</v>
      </c>
      <c r="K138" s="407">
        <v>46084</v>
      </c>
      <c r="L138" s="40" t="s">
        <v>6</v>
      </c>
      <c r="M138" s="349" t="s">
        <v>1853</v>
      </c>
      <c r="N138" s="141" t="s">
        <v>158</v>
      </c>
      <c r="O138" s="117" t="s">
        <v>211</v>
      </c>
      <c r="P138" s="407">
        <v>46077</v>
      </c>
      <c r="Q138" s="40" t="s">
        <v>469</v>
      </c>
      <c r="R138" s="301" t="s">
        <v>1854</v>
      </c>
    </row>
    <row r="139" spans="1:18" ht="14.4" x14ac:dyDescent="0.3">
      <c r="A139" s="190"/>
      <c r="B139" s="190"/>
      <c r="C139" s="130">
        <f t="shared" ca="1" si="7"/>
        <v>119</v>
      </c>
      <c r="D139" s="534" t="s">
        <v>1855</v>
      </c>
      <c r="E139" s="534" t="s">
        <v>1647</v>
      </c>
      <c r="F139" s="525"/>
      <c r="G139" s="366"/>
      <c r="H139" s="258" t="s">
        <v>466</v>
      </c>
      <c r="I139" s="420" t="s">
        <v>1856</v>
      </c>
      <c r="J139" s="75" t="s">
        <v>15</v>
      </c>
      <c r="K139" s="407">
        <v>46084</v>
      </c>
      <c r="L139" s="40" t="s">
        <v>6</v>
      </c>
      <c r="M139" s="445" t="s">
        <v>1857</v>
      </c>
      <c r="N139" s="141" t="s">
        <v>15</v>
      </c>
      <c r="O139" s="117"/>
      <c r="P139" s="407">
        <v>46077</v>
      </c>
      <c r="Q139" s="40" t="s">
        <v>469</v>
      </c>
      <c r="R139" s="208"/>
    </row>
    <row r="140" spans="1:18" ht="81.75" customHeight="1" x14ac:dyDescent="0.3">
      <c r="A140" s="190"/>
      <c r="B140" s="190"/>
      <c r="C140" s="130">
        <f t="shared" ca="1" si="7"/>
        <v>120</v>
      </c>
      <c r="D140" s="530" t="s">
        <v>1858</v>
      </c>
      <c r="E140" s="84" t="s">
        <v>200</v>
      </c>
      <c r="F140" s="84"/>
      <c r="G140" s="220"/>
      <c r="H140" s="220" t="s">
        <v>1859</v>
      </c>
      <c r="I140" s="426" t="s">
        <v>1860</v>
      </c>
      <c r="J140" s="75" t="s">
        <v>15</v>
      </c>
      <c r="K140" s="407">
        <v>46084</v>
      </c>
      <c r="L140" s="40" t="s">
        <v>6</v>
      </c>
      <c r="M140" s="445" t="s">
        <v>1861</v>
      </c>
      <c r="N140" s="141" t="s">
        <v>158</v>
      </c>
      <c r="O140" s="117" t="s">
        <v>211</v>
      </c>
      <c r="P140" s="407">
        <v>46077</v>
      </c>
      <c r="Q140" s="40" t="s">
        <v>469</v>
      </c>
      <c r="R140" s="301" t="s">
        <v>1862</v>
      </c>
    </row>
    <row r="141" spans="1:18" ht="183" customHeight="1" x14ac:dyDescent="0.3">
      <c r="A141" s="190"/>
      <c r="B141" s="190"/>
      <c r="C141" s="130">
        <f t="shared" ca="1" si="7"/>
        <v>121</v>
      </c>
      <c r="D141" s="686" t="s">
        <v>1863</v>
      </c>
      <c r="E141" s="662" t="s">
        <v>1647</v>
      </c>
      <c r="F141" s="532"/>
      <c r="G141" s="366"/>
      <c r="H141" s="220" t="s">
        <v>1864</v>
      </c>
      <c r="I141" s="426" t="s">
        <v>1865</v>
      </c>
      <c r="J141" s="75" t="s">
        <v>15</v>
      </c>
      <c r="K141" s="407">
        <v>46084</v>
      </c>
      <c r="L141" s="40" t="s">
        <v>6</v>
      </c>
      <c r="M141" s="445" t="s">
        <v>1866</v>
      </c>
      <c r="N141" s="141" t="s">
        <v>158</v>
      </c>
      <c r="O141" s="117" t="s">
        <v>211</v>
      </c>
      <c r="P141" s="407">
        <v>46077</v>
      </c>
      <c r="Q141" s="40" t="s">
        <v>469</v>
      </c>
      <c r="R141" s="301" t="s">
        <v>1867</v>
      </c>
    </row>
    <row r="142" spans="1:18" ht="114" customHeight="1" x14ac:dyDescent="0.3">
      <c r="A142" s="190"/>
      <c r="B142" s="190"/>
      <c r="C142" s="130">
        <f t="shared" ca="1" si="7"/>
        <v>122</v>
      </c>
      <c r="D142" s="606"/>
      <c r="E142" s="635"/>
      <c r="F142" s="532"/>
      <c r="G142" s="366"/>
      <c r="H142" s="220" t="s">
        <v>1868</v>
      </c>
      <c r="I142" s="426" t="s">
        <v>1869</v>
      </c>
      <c r="J142" s="75" t="s">
        <v>15</v>
      </c>
      <c r="K142" s="407">
        <v>46085</v>
      </c>
      <c r="L142" s="40" t="s">
        <v>6</v>
      </c>
      <c r="M142" s="445" t="s">
        <v>1870</v>
      </c>
      <c r="N142" s="141" t="s">
        <v>158</v>
      </c>
      <c r="O142" s="117" t="s">
        <v>211</v>
      </c>
      <c r="P142" s="407">
        <v>46077</v>
      </c>
      <c r="Q142" s="40" t="s">
        <v>469</v>
      </c>
      <c r="R142" s="301" t="s">
        <v>1871</v>
      </c>
    </row>
    <row r="143" spans="1:18" ht="204" customHeight="1" x14ac:dyDescent="0.3">
      <c r="A143" s="190"/>
      <c r="B143" s="190"/>
      <c r="C143" s="130">
        <f t="shared" ca="1" si="7"/>
        <v>123</v>
      </c>
      <c r="D143" s="658" t="s">
        <v>1872</v>
      </c>
      <c r="E143" s="662" t="s">
        <v>1647</v>
      </c>
      <c r="F143" s="532"/>
      <c r="G143" s="366"/>
      <c r="H143" s="220" t="s">
        <v>1873</v>
      </c>
      <c r="I143" s="426" t="s">
        <v>1874</v>
      </c>
      <c r="J143" s="75" t="s">
        <v>15</v>
      </c>
      <c r="K143" s="407">
        <v>46085</v>
      </c>
      <c r="L143" s="40" t="s">
        <v>6</v>
      </c>
      <c r="M143" s="336" t="s">
        <v>1875</v>
      </c>
      <c r="N143" s="141" t="s">
        <v>158</v>
      </c>
      <c r="O143" s="117" t="s">
        <v>211</v>
      </c>
      <c r="P143" s="407">
        <v>46077</v>
      </c>
      <c r="Q143" s="40" t="s">
        <v>469</v>
      </c>
      <c r="R143" s="303" t="s">
        <v>1876</v>
      </c>
    </row>
    <row r="144" spans="1:18" ht="255.75" customHeight="1" x14ac:dyDescent="0.3">
      <c r="A144" s="190"/>
      <c r="B144" s="190"/>
      <c r="C144" s="130">
        <f t="shared" ca="1" si="7"/>
        <v>124</v>
      </c>
      <c r="D144" s="635"/>
      <c r="E144" s="635"/>
      <c r="F144" s="532"/>
      <c r="G144" s="366"/>
      <c r="H144" s="220" t="s">
        <v>1877</v>
      </c>
      <c r="I144" s="426" t="s">
        <v>1878</v>
      </c>
      <c r="J144" s="75" t="s">
        <v>15</v>
      </c>
      <c r="K144" s="407">
        <v>46085</v>
      </c>
      <c r="L144" s="40" t="s">
        <v>6</v>
      </c>
      <c r="M144" s="336" t="s">
        <v>1879</v>
      </c>
      <c r="N144" s="141" t="s">
        <v>158</v>
      </c>
      <c r="O144" s="117"/>
      <c r="P144" s="407">
        <v>46077</v>
      </c>
      <c r="Q144" s="40" t="s">
        <v>469</v>
      </c>
      <c r="R144" s="303" t="s">
        <v>1880</v>
      </c>
    </row>
    <row r="145" spans="1:18" ht="158.25" customHeight="1" x14ac:dyDescent="0.3">
      <c r="A145" s="190"/>
      <c r="B145" s="190"/>
      <c r="C145" s="130">
        <f t="shared" ca="1" si="7"/>
        <v>125</v>
      </c>
      <c r="D145" s="658" t="s">
        <v>1881</v>
      </c>
      <c r="E145" s="662" t="s">
        <v>1647</v>
      </c>
      <c r="F145" s="532"/>
      <c r="G145" s="366"/>
      <c r="H145" s="220" t="s">
        <v>1882</v>
      </c>
      <c r="I145" s="426" t="s">
        <v>1883</v>
      </c>
      <c r="J145" s="75" t="s">
        <v>15</v>
      </c>
      <c r="K145" s="407">
        <v>46085</v>
      </c>
      <c r="L145" s="40" t="s">
        <v>6</v>
      </c>
      <c r="M145" s="336" t="s">
        <v>1884</v>
      </c>
      <c r="N145" s="141" t="s">
        <v>158</v>
      </c>
      <c r="O145" s="117"/>
      <c r="P145" s="407">
        <v>46077</v>
      </c>
      <c r="Q145" s="40" t="s">
        <v>469</v>
      </c>
      <c r="R145" s="303" t="s">
        <v>1876</v>
      </c>
    </row>
    <row r="146" spans="1:18" ht="255.75" customHeight="1" x14ac:dyDescent="0.3">
      <c r="A146" s="190"/>
      <c r="B146" s="190"/>
      <c r="C146" s="130">
        <f t="shared" ca="1" si="7"/>
        <v>126</v>
      </c>
      <c r="D146" s="635"/>
      <c r="E146" s="635"/>
      <c r="F146" s="532"/>
      <c r="G146" s="366"/>
      <c r="H146" s="220" t="s">
        <v>1885</v>
      </c>
      <c r="I146" s="426" t="s">
        <v>1886</v>
      </c>
      <c r="J146" s="75" t="s">
        <v>15</v>
      </c>
      <c r="K146" s="407">
        <v>46085</v>
      </c>
      <c r="L146" s="40" t="s">
        <v>6</v>
      </c>
      <c r="M146" s="445" t="s">
        <v>1887</v>
      </c>
      <c r="N146" s="141" t="s">
        <v>15</v>
      </c>
      <c r="O146" s="117"/>
      <c r="P146" s="407">
        <v>46077</v>
      </c>
      <c r="Q146" s="40" t="s">
        <v>469</v>
      </c>
      <c r="R146" s="208"/>
    </row>
    <row r="147" spans="1:18" ht="81.75" customHeight="1" x14ac:dyDescent="0.3">
      <c r="A147" s="190"/>
      <c r="B147" s="190"/>
      <c r="C147" s="130">
        <f t="shared" ca="1" si="7"/>
        <v>127</v>
      </c>
      <c r="D147" s="440" t="s">
        <v>1888</v>
      </c>
      <c r="E147" s="84" t="s">
        <v>200</v>
      </c>
      <c r="F147" s="84"/>
      <c r="G147" s="220"/>
      <c r="H147" s="220" t="s">
        <v>1840</v>
      </c>
      <c r="I147" s="342" t="s">
        <v>1889</v>
      </c>
      <c r="J147" s="75" t="s">
        <v>15</v>
      </c>
      <c r="K147" s="407">
        <v>46085</v>
      </c>
      <c r="L147" s="40" t="s">
        <v>6</v>
      </c>
      <c r="M147" s="445" t="s">
        <v>1890</v>
      </c>
      <c r="N147" s="141" t="s">
        <v>158</v>
      </c>
      <c r="O147" s="117" t="s">
        <v>211</v>
      </c>
      <c r="P147" s="407">
        <v>46077</v>
      </c>
      <c r="Q147" s="40" t="s">
        <v>469</v>
      </c>
      <c r="R147" s="301" t="s">
        <v>1891</v>
      </c>
    </row>
    <row r="148" spans="1:18" ht="69" customHeight="1" x14ac:dyDescent="0.3">
      <c r="A148" s="190"/>
      <c r="B148" s="190"/>
      <c r="C148" s="130">
        <f t="shared" ca="1" si="7"/>
        <v>128</v>
      </c>
      <c r="D148" s="531"/>
      <c r="E148" s="84" t="s">
        <v>1721</v>
      </c>
      <c r="F148" s="532"/>
      <c r="G148" s="397"/>
      <c r="H148" s="220" t="s">
        <v>1722</v>
      </c>
      <c r="I148" s="426" t="s">
        <v>1892</v>
      </c>
      <c r="J148" s="75" t="s">
        <v>15</v>
      </c>
      <c r="K148" s="407">
        <v>46085</v>
      </c>
      <c r="L148" s="40" t="s">
        <v>6</v>
      </c>
      <c r="M148" s="445" t="s">
        <v>1893</v>
      </c>
      <c r="N148" s="141" t="s">
        <v>158</v>
      </c>
      <c r="O148" s="117" t="s">
        <v>211</v>
      </c>
      <c r="P148" s="407">
        <v>46077</v>
      </c>
      <c r="Q148" s="40" t="s">
        <v>469</v>
      </c>
      <c r="R148" s="303" t="s">
        <v>1894</v>
      </c>
    </row>
    <row r="149" spans="1:18" ht="114" customHeight="1" x14ac:dyDescent="0.3">
      <c r="A149" s="190"/>
      <c r="B149" s="190"/>
      <c r="C149" s="130">
        <f t="shared" ca="1" si="7"/>
        <v>129</v>
      </c>
      <c r="D149" s="531"/>
      <c r="E149" s="84" t="s">
        <v>1726</v>
      </c>
      <c r="F149" s="532"/>
      <c r="G149" s="366"/>
      <c r="H149" s="220" t="s">
        <v>1845</v>
      </c>
      <c r="I149" s="426" t="s">
        <v>1846</v>
      </c>
      <c r="J149" s="75" t="s">
        <v>15</v>
      </c>
      <c r="K149" s="407">
        <v>46085</v>
      </c>
      <c r="L149" s="40" t="s">
        <v>6</v>
      </c>
      <c r="M149" s="445" t="s">
        <v>1895</v>
      </c>
      <c r="N149" s="141" t="s">
        <v>158</v>
      </c>
      <c r="O149" s="117" t="s">
        <v>211</v>
      </c>
      <c r="P149" s="407">
        <v>46077</v>
      </c>
      <c r="Q149" s="40" t="s">
        <v>469</v>
      </c>
      <c r="R149" s="301" t="s">
        <v>1896</v>
      </c>
    </row>
    <row r="150" spans="1:18" ht="81.75" customHeight="1" x14ac:dyDescent="0.3">
      <c r="A150" s="190"/>
      <c r="B150" s="190"/>
      <c r="C150" s="130">
        <f t="shared" ca="1" si="7"/>
        <v>130</v>
      </c>
      <c r="D150" s="440" t="s">
        <v>1897</v>
      </c>
      <c r="E150" s="84" t="s">
        <v>200</v>
      </c>
      <c r="F150" s="84"/>
      <c r="G150" s="220"/>
      <c r="H150" s="220" t="s">
        <v>1840</v>
      </c>
      <c r="I150" s="342" t="s">
        <v>1889</v>
      </c>
      <c r="J150" s="75" t="s">
        <v>15</v>
      </c>
      <c r="K150" s="407">
        <v>46085</v>
      </c>
      <c r="L150" s="40" t="s">
        <v>6</v>
      </c>
      <c r="M150" s="445" t="s">
        <v>1898</v>
      </c>
      <c r="N150" s="141" t="s">
        <v>158</v>
      </c>
      <c r="O150" s="117" t="s">
        <v>211</v>
      </c>
      <c r="P150" s="407">
        <v>46077</v>
      </c>
      <c r="Q150" s="40" t="s">
        <v>469</v>
      </c>
      <c r="R150" s="301" t="s">
        <v>1899</v>
      </c>
    </row>
    <row r="151" spans="1:18" ht="69" customHeight="1" x14ac:dyDescent="0.3">
      <c r="A151" s="190"/>
      <c r="B151" s="190"/>
      <c r="C151" s="130">
        <f t="shared" ca="1" si="7"/>
        <v>131</v>
      </c>
      <c r="D151" s="531"/>
      <c r="E151" s="84" t="s">
        <v>1721</v>
      </c>
      <c r="F151" s="532"/>
      <c r="G151" s="397"/>
      <c r="H151" s="220" t="s">
        <v>1722</v>
      </c>
      <c r="I151" s="426" t="s">
        <v>1900</v>
      </c>
      <c r="J151" s="75" t="s">
        <v>15</v>
      </c>
      <c r="K151" s="407">
        <v>46085</v>
      </c>
      <c r="L151" s="40" t="s">
        <v>6</v>
      </c>
      <c r="M151" s="445" t="s">
        <v>1901</v>
      </c>
      <c r="N151" s="141" t="s">
        <v>158</v>
      </c>
      <c r="O151" s="117" t="s">
        <v>211</v>
      </c>
      <c r="P151" s="407">
        <v>46077</v>
      </c>
      <c r="Q151" s="40" t="s">
        <v>469</v>
      </c>
      <c r="R151" s="303" t="s">
        <v>1894</v>
      </c>
    </row>
    <row r="152" spans="1:18" ht="114" customHeight="1" x14ac:dyDescent="0.3">
      <c r="A152" s="190"/>
      <c r="B152" s="190"/>
      <c r="C152" s="130">
        <f t="shared" ca="1" si="7"/>
        <v>132</v>
      </c>
      <c r="D152" s="531"/>
      <c r="E152" s="84" t="s">
        <v>1726</v>
      </c>
      <c r="F152" s="532"/>
      <c r="G152" s="366"/>
      <c r="H152" s="220" t="s">
        <v>1845</v>
      </c>
      <c r="I152" s="426" t="s">
        <v>1846</v>
      </c>
      <c r="J152" s="75" t="s">
        <v>15</v>
      </c>
      <c r="K152" s="407">
        <v>46085</v>
      </c>
      <c r="L152" s="40" t="s">
        <v>6</v>
      </c>
      <c r="M152" s="445" t="s">
        <v>1902</v>
      </c>
      <c r="N152" s="141" t="s">
        <v>158</v>
      </c>
      <c r="O152" s="117" t="s">
        <v>211</v>
      </c>
      <c r="P152" s="407">
        <v>46077</v>
      </c>
      <c r="Q152" s="40" t="s">
        <v>469</v>
      </c>
      <c r="R152" s="301" t="s">
        <v>1903</v>
      </c>
    </row>
    <row r="153" spans="1:18" ht="82.8" x14ac:dyDescent="0.3">
      <c r="A153" s="190"/>
      <c r="B153" s="190"/>
      <c r="C153" s="130">
        <f t="shared" ca="1" si="7"/>
        <v>133</v>
      </c>
      <c r="D153" s="687"/>
      <c r="E153" s="535" t="s">
        <v>200</v>
      </c>
      <c r="F153" s="536" t="s">
        <v>207</v>
      </c>
      <c r="G153" s="220"/>
      <c r="H153" s="220" t="s">
        <v>1743</v>
      </c>
      <c r="I153" s="225" t="s">
        <v>1904</v>
      </c>
      <c r="J153" s="75" t="s">
        <v>15</v>
      </c>
      <c r="K153" s="407">
        <v>46085</v>
      </c>
      <c r="L153" s="40" t="s">
        <v>6</v>
      </c>
      <c r="M153" s="349" t="s">
        <v>1905</v>
      </c>
      <c r="N153" s="141" t="s">
        <v>15</v>
      </c>
      <c r="O153" s="117"/>
      <c r="P153" s="407">
        <v>46077</v>
      </c>
      <c r="Q153" s="40" t="s">
        <v>469</v>
      </c>
      <c r="R153" s="208"/>
    </row>
    <row r="154" spans="1:18" ht="69" x14ac:dyDescent="0.3">
      <c r="A154" s="190"/>
      <c r="B154" s="190"/>
      <c r="C154" s="130">
        <f t="shared" ca="1" si="7"/>
        <v>134</v>
      </c>
      <c r="D154" s="636"/>
      <c r="E154" s="537" t="s">
        <v>433</v>
      </c>
      <c r="F154" s="536" t="s">
        <v>207</v>
      </c>
      <c r="G154" s="538"/>
      <c r="H154" s="225" t="s">
        <v>1906</v>
      </c>
      <c r="I154" s="342" t="s">
        <v>1907</v>
      </c>
      <c r="J154" s="75" t="s">
        <v>15</v>
      </c>
      <c r="K154" s="407">
        <v>46085</v>
      </c>
      <c r="L154" s="40" t="s">
        <v>6</v>
      </c>
      <c r="M154" s="349" t="s">
        <v>1908</v>
      </c>
      <c r="N154" s="141" t="s">
        <v>15</v>
      </c>
      <c r="O154" s="117"/>
      <c r="P154" s="407">
        <v>46077</v>
      </c>
      <c r="Q154" s="40" t="s">
        <v>469</v>
      </c>
      <c r="R154" s="208"/>
    </row>
    <row r="155" spans="1:18" ht="82.8" x14ac:dyDescent="0.3">
      <c r="A155" s="190"/>
      <c r="B155" s="190"/>
      <c r="C155" s="130">
        <f t="shared" ca="1" si="7"/>
        <v>135</v>
      </c>
      <c r="D155" s="636"/>
      <c r="E155" s="688"/>
      <c r="F155" s="536" t="s">
        <v>207</v>
      </c>
      <c r="G155" s="538"/>
      <c r="H155" s="342" t="s">
        <v>1909</v>
      </c>
      <c r="I155" s="342" t="s">
        <v>1910</v>
      </c>
      <c r="J155" s="75" t="s">
        <v>15</v>
      </c>
      <c r="K155" s="407">
        <v>46085</v>
      </c>
      <c r="L155" s="40" t="s">
        <v>6</v>
      </c>
      <c r="M155" s="445" t="s">
        <v>1911</v>
      </c>
      <c r="N155" s="141" t="s">
        <v>15</v>
      </c>
      <c r="O155" s="117"/>
      <c r="P155" s="407">
        <v>46077</v>
      </c>
      <c r="Q155" s="40" t="s">
        <v>469</v>
      </c>
      <c r="R155" s="208"/>
    </row>
    <row r="156" spans="1:18" ht="96.6" x14ac:dyDescent="0.3">
      <c r="A156" s="190"/>
      <c r="B156" s="190"/>
      <c r="C156" s="130">
        <f t="shared" ca="1" si="7"/>
        <v>136</v>
      </c>
      <c r="D156" s="635"/>
      <c r="E156" s="607"/>
      <c r="F156" s="536" t="s">
        <v>207</v>
      </c>
      <c r="G156" s="538"/>
      <c r="H156" s="342" t="s">
        <v>1912</v>
      </c>
      <c r="I156" s="426" t="s">
        <v>1913</v>
      </c>
      <c r="J156" s="75" t="s">
        <v>15</v>
      </c>
      <c r="K156" s="407">
        <v>46085</v>
      </c>
      <c r="L156" s="40" t="s">
        <v>6</v>
      </c>
      <c r="M156" s="445" t="s">
        <v>1914</v>
      </c>
      <c r="N156" s="141" t="s">
        <v>158</v>
      </c>
      <c r="O156" s="117" t="s">
        <v>211</v>
      </c>
      <c r="P156" s="407">
        <v>46077</v>
      </c>
      <c r="Q156" s="40" t="s">
        <v>469</v>
      </c>
      <c r="R156" s="301" t="s">
        <v>1915</v>
      </c>
    </row>
    <row r="157" spans="1:18" ht="15.75" customHeight="1" x14ac:dyDescent="0.3">
      <c r="A157" s="190"/>
      <c r="B157" s="190"/>
      <c r="C157" s="130">
        <f t="shared" ca="1" si="7"/>
        <v>137</v>
      </c>
      <c r="D157" s="414" t="s">
        <v>1916</v>
      </c>
      <c r="E157" s="539" t="s">
        <v>198</v>
      </c>
      <c r="F157" s="536" t="s">
        <v>207</v>
      </c>
      <c r="G157" s="538"/>
      <c r="H157" s="342" t="s">
        <v>219</v>
      </c>
      <c r="I157" s="225" t="s">
        <v>1917</v>
      </c>
      <c r="J157" s="75" t="s">
        <v>15</v>
      </c>
      <c r="K157" s="407">
        <v>46085</v>
      </c>
      <c r="L157" s="40" t="s">
        <v>6</v>
      </c>
      <c r="M157" s="445" t="s">
        <v>1918</v>
      </c>
      <c r="N157" s="141" t="s">
        <v>47</v>
      </c>
      <c r="O157" s="117"/>
      <c r="P157" s="407">
        <v>46077</v>
      </c>
      <c r="Q157" s="40" t="s">
        <v>469</v>
      </c>
      <c r="R157" s="208" t="s">
        <v>1919</v>
      </c>
    </row>
    <row r="158" spans="1:18" ht="15.75" customHeight="1" x14ac:dyDescent="0.3">
      <c r="A158" s="190"/>
      <c r="B158" s="190"/>
      <c r="C158" s="130">
        <f t="shared" ca="1" si="7"/>
        <v>138</v>
      </c>
      <c r="D158" s="689" t="s">
        <v>1920</v>
      </c>
      <c r="E158" s="540" t="s">
        <v>435</v>
      </c>
      <c r="F158" s="536" t="s">
        <v>207</v>
      </c>
      <c r="G158" s="538"/>
      <c r="H158" s="225" t="s">
        <v>1921</v>
      </c>
      <c r="I158" s="225" t="s">
        <v>437</v>
      </c>
      <c r="J158" s="75" t="s">
        <v>15</v>
      </c>
      <c r="K158" s="407">
        <v>46085</v>
      </c>
      <c r="L158" s="40" t="s">
        <v>6</v>
      </c>
      <c r="M158" s="445" t="s">
        <v>1922</v>
      </c>
      <c r="N158" s="141" t="s">
        <v>15</v>
      </c>
      <c r="O158" s="117"/>
      <c r="P158" s="407">
        <v>46077</v>
      </c>
      <c r="Q158" s="40" t="s">
        <v>469</v>
      </c>
      <c r="R158" s="208"/>
    </row>
    <row r="159" spans="1:18" ht="15.75" customHeight="1" x14ac:dyDescent="0.3">
      <c r="A159" s="190"/>
      <c r="B159" s="190"/>
      <c r="C159" s="130">
        <f t="shared" ca="1" si="7"/>
        <v>139</v>
      </c>
      <c r="D159" s="636"/>
      <c r="E159" s="535" t="s">
        <v>200</v>
      </c>
      <c r="F159" s="536" t="s">
        <v>207</v>
      </c>
      <c r="G159" s="538"/>
      <c r="H159" s="225" t="s">
        <v>1921</v>
      </c>
      <c r="I159" s="225" t="s">
        <v>1923</v>
      </c>
      <c r="J159" s="75" t="s">
        <v>15</v>
      </c>
      <c r="K159" s="407">
        <v>46085</v>
      </c>
      <c r="L159" s="40" t="s">
        <v>6</v>
      </c>
      <c r="M159" s="445" t="s">
        <v>1924</v>
      </c>
      <c r="N159" s="141" t="s">
        <v>158</v>
      </c>
      <c r="O159" s="117" t="s">
        <v>211</v>
      </c>
      <c r="P159" s="407">
        <v>46077</v>
      </c>
      <c r="Q159" s="40" t="s">
        <v>469</v>
      </c>
      <c r="R159" s="303" t="s">
        <v>1925</v>
      </c>
    </row>
    <row r="160" spans="1:18" ht="15.75" customHeight="1" x14ac:dyDescent="0.3">
      <c r="A160" s="190"/>
      <c r="B160" s="190"/>
      <c r="C160" s="130">
        <f t="shared" ca="1" si="7"/>
        <v>140</v>
      </c>
      <c r="D160" s="636"/>
      <c r="E160" s="537" t="s">
        <v>1926</v>
      </c>
      <c r="F160" s="536"/>
      <c r="G160" s="366"/>
      <c r="H160" s="225" t="s">
        <v>1921</v>
      </c>
      <c r="I160" s="225" t="s">
        <v>1927</v>
      </c>
      <c r="J160" s="75" t="s">
        <v>15</v>
      </c>
      <c r="K160" s="407">
        <v>46085</v>
      </c>
      <c r="L160" s="40" t="s">
        <v>6</v>
      </c>
      <c r="M160" s="349" t="s">
        <v>1928</v>
      </c>
      <c r="N160" s="141" t="s">
        <v>15</v>
      </c>
      <c r="O160" s="117"/>
      <c r="P160" s="407">
        <v>46077</v>
      </c>
      <c r="Q160" s="40" t="s">
        <v>469</v>
      </c>
      <c r="R160" s="208"/>
    </row>
    <row r="161" spans="1:18" ht="15.75" customHeight="1" x14ac:dyDescent="0.3">
      <c r="A161" s="190"/>
      <c r="B161" s="190"/>
      <c r="C161" s="130">
        <f t="shared" ca="1" si="7"/>
        <v>141</v>
      </c>
      <c r="D161" s="636"/>
      <c r="E161" s="688" t="s">
        <v>444</v>
      </c>
      <c r="F161" s="536" t="s">
        <v>207</v>
      </c>
      <c r="G161" s="220" t="s">
        <v>1929</v>
      </c>
      <c r="H161" s="342" t="s">
        <v>1930</v>
      </c>
      <c r="I161" s="426" t="s">
        <v>1931</v>
      </c>
      <c r="J161" s="75" t="s">
        <v>15</v>
      </c>
      <c r="K161" s="407">
        <v>46085</v>
      </c>
      <c r="L161" s="40" t="s">
        <v>6</v>
      </c>
      <c r="M161" s="445" t="s">
        <v>1932</v>
      </c>
      <c r="N161" s="141" t="s">
        <v>15</v>
      </c>
      <c r="O161" s="117"/>
      <c r="P161" s="407">
        <v>46077</v>
      </c>
      <c r="Q161" s="40" t="s">
        <v>469</v>
      </c>
      <c r="R161" s="208"/>
    </row>
    <row r="162" spans="1:18" ht="15.75" customHeight="1" x14ac:dyDescent="0.3">
      <c r="A162" s="190"/>
      <c r="B162" s="190"/>
      <c r="C162" s="130">
        <f t="shared" ca="1" si="7"/>
        <v>142</v>
      </c>
      <c r="D162" s="636"/>
      <c r="E162" s="607"/>
      <c r="F162" s="536" t="s">
        <v>207</v>
      </c>
      <c r="G162" s="220" t="s">
        <v>1933</v>
      </c>
      <c r="H162" s="342" t="s">
        <v>1934</v>
      </c>
      <c r="I162" s="426" t="s">
        <v>1931</v>
      </c>
      <c r="J162" s="75" t="s">
        <v>15</v>
      </c>
      <c r="K162" s="407">
        <v>46085</v>
      </c>
      <c r="L162" s="40" t="s">
        <v>6</v>
      </c>
      <c r="M162" s="445" t="s">
        <v>1935</v>
      </c>
      <c r="N162" s="141" t="s">
        <v>15</v>
      </c>
      <c r="O162" s="117"/>
      <c r="P162" s="407">
        <v>46077</v>
      </c>
      <c r="Q162" s="40" t="s">
        <v>469</v>
      </c>
      <c r="R162" s="208"/>
    </row>
    <row r="163" spans="1:18" ht="15.75" customHeight="1" x14ac:dyDescent="0.3">
      <c r="A163" s="190"/>
      <c r="B163" s="190"/>
      <c r="C163" s="130">
        <f t="shared" ca="1" si="7"/>
        <v>143</v>
      </c>
      <c r="D163" s="636"/>
      <c r="E163" s="607"/>
      <c r="F163" s="536" t="s">
        <v>207</v>
      </c>
      <c r="G163" s="220" t="s">
        <v>1936</v>
      </c>
      <c r="H163" s="342" t="s">
        <v>1937</v>
      </c>
      <c r="I163" s="342" t="s">
        <v>1938</v>
      </c>
      <c r="J163" s="75" t="s">
        <v>15</v>
      </c>
      <c r="K163" s="407">
        <v>46085</v>
      </c>
      <c r="L163" s="40" t="s">
        <v>6</v>
      </c>
      <c r="M163" s="445" t="s">
        <v>1939</v>
      </c>
      <c r="N163" s="141" t="s">
        <v>158</v>
      </c>
      <c r="O163" s="117" t="s">
        <v>211</v>
      </c>
      <c r="P163" s="407">
        <v>46077</v>
      </c>
      <c r="Q163" s="40" t="s">
        <v>469</v>
      </c>
      <c r="R163" s="303" t="s">
        <v>1940</v>
      </c>
    </row>
    <row r="164" spans="1:18" ht="15.75" customHeight="1" x14ac:dyDescent="0.3">
      <c r="A164" s="190"/>
      <c r="B164" s="190"/>
      <c r="C164" s="130">
        <f t="shared" ca="1" si="7"/>
        <v>144</v>
      </c>
      <c r="D164" s="636"/>
      <c r="E164" s="610"/>
      <c r="F164" s="536" t="s">
        <v>207</v>
      </c>
      <c r="G164" s="220" t="s">
        <v>1941</v>
      </c>
      <c r="H164" s="342" t="s">
        <v>1942</v>
      </c>
      <c r="I164" s="225" t="s">
        <v>1943</v>
      </c>
      <c r="J164" s="75" t="s">
        <v>15</v>
      </c>
      <c r="K164" s="407">
        <v>46085</v>
      </c>
      <c r="L164" s="40" t="s">
        <v>6</v>
      </c>
      <c r="M164" s="445" t="s">
        <v>1944</v>
      </c>
      <c r="N164" s="141" t="s">
        <v>15</v>
      </c>
      <c r="O164" s="117"/>
      <c r="P164" s="407">
        <v>46077</v>
      </c>
      <c r="Q164" s="40" t="s">
        <v>469</v>
      </c>
      <c r="R164" s="208"/>
    </row>
    <row r="165" spans="1:18" ht="41.4" x14ac:dyDescent="0.3">
      <c r="A165" s="190"/>
      <c r="B165" s="190"/>
      <c r="C165" s="130">
        <f t="shared" ca="1" si="7"/>
        <v>145</v>
      </c>
      <c r="D165" s="534" t="s">
        <v>1945</v>
      </c>
      <c r="E165" s="534" t="s">
        <v>1647</v>
      </c>
      <c r="F165" s="525"/>
      <c r="G165" s="366"/>
      <c r="H165" s="258" t="s">
        <v>466</v>
      </c>
      <c r="I165" s="420" t="s">
        <v>1946</v>
      </c>
      <c r="J165" s="75" t="s">
        <v>15</v>
      </c>
      <c r="K165" s="407">
        <v>46085</v>
      </c>
      <c r="L165" s="40" t="s">
        <v>6</v>
      </c>
      <c r="M165" s="445" t="s">
        <v>1947</v>
      </c>
      <c r="N165" s="141" t="s">
        <v>15</v>
      </c>
      <c r="O165" s="117"/>
      <c r="P165" s="407">
        <v>46077</v>
      </c>
      <c r="Q165" s="40" t="s">
        <v>469</v>
      </c>
      <c r="R165" s="208"/>
    </row>
    <row r="166" spans="1:18" ht="81.75" customHeight="1" x14ac:dyDescent="0.3">
      <c r="A166" s="190"/>
      <c r="B166" s="190"/>
      <c r="C166" s="130">
        <f t="shared" ca="1" si="7"/>
        <v>146</v>
      </c>
      <c r="D166" s="690" t="s">
        <v>1948</v>
      </c>
      <c r="E166" s="541" t="s">
        <v>1647</v>
      </c>
      <c r="F166" s="84"/>
      <c r="G166" s="220"/>
      <c r="H166" s="220" t="s">
        <v>466</v>
      </c>
      <c r="I166" s="342" t="s">
        <v>1949</v>
      </c>
      <c r="J166" s="75" t="s">
        <v>15</v>
      </c>
      <c r="K166" s="407">
        <v>46085</v>
      </c>
      <c r="L166" s="40" t="s">
        <v>6</v>
      </c>
      <c r="M166" s="445" t="s">
        <v>1950</v>
      </c>
      <c r="N166" s="141" t="s">
        <v>15</v>
      </c>
      <c r="O166" s="117"/>
      <c r="P166" s="407">
        <v>46077</v>
      </c>
      <c r="Q166" s="40" t="s">
        <v>469</v>
      </c>
      <c r="R166" s="208"/>
    </row>
    <row r="167" spans="1:18" ht="153.75" customHeight="1" x14ac:dyDescent="0.3">
      <c r="A167" s="190"/>
      <c r="B167" s="190"/>
      <c r="C167" s="130">
        <f t="shared" ca="1" si="7"/>
        <v>147</v>
      </c>
      <c r="D167" s="636"/>
      <c r="E167" s="84" t="s">
        <v>1951</v>
      </c>
      <c r="F167" s="84"/>
      <c r="G167" s="220"/>
      <c r="H167" s="220" t="s">
        <v>1722</v>
      </c>
      <c r="I167" s="342" t="s">
        <v>1952</v>
      </c>
      <c r="J167" s="75" t="s">
        <v>15</v>
      </c>
      <c r="K167" s="407">
        <v>46085</v>
      </c>
      <c r="L167" s="40" t="s">
        <v>6</v>
      </c>
      <c r="M167" s="445" t="s">
        <v>1953</v>
      </c>
      <c r="N167" s="141" t="s">
        <v>15</v>
      </c>
      <c r="O167" s="117"/>
      <c r="P167" s="407">
        <v>46077</v>
      </c>
      <c r="Q167" s="40" t="s">
        <v>469</v>
      </c>
      <c r="R167" s="208"/>
    </row>
    <row r="168" spans="1:18" ht="81.75" customHeight="1" x14ac:dyDescent="0.3">
      <c r="A168" s="190"/>
      <c r="B168" s="190"/>
      <c r="C168" s="130">
        <f t="shared" ca="1" si="7"/>
        <v>148</v>
      </c>
      <c r="D168" s="636"/>
      <c r="E168" s="84" t="s">
        <v>223</v>
      </c>
      <c r="F168" s="84"/>
      <c r="G168" s="220"/>
      <c r="H168" s="220" t="s">
        <v>1954</v>
      </c>
      <c r="I168" s="426" t="s">
        <v>1955</v>
      </c>
      <c r="J168" s="75" t="s">
        <v>15</v>
      </c>
      <c r="K168" s="407">
        <v>46085</v>
      </c>
      <c r="L168" s="40" t="s">
        <v>6</v>
      </c>
      <c r="M168" s="445" t="s">
        <v>1956</v>
      </c>
      <c r="N168" s="141" t="s">
        <v>15</v>
      </c>
      <c r="O168" s="117"/>
      <c r="P168" s="407">
        <v>46077</v>
      </c>
      <c r="Q168" s="40" t="s">
        <v>469</v>
      </c>
      <c r="R168" s="208"/>
    </row>
    <row r="169" spans="1:18" ht="27.6" x14ac:dyDescent="0.3">
      <c r="A169" s="190"/>
      <c r="B169" s="190"/>
      <c r="C169" s="130">
        <f t="shared" ca="1" si="7"/>
        <v>149</v>
      </c>
      <c r="D169" s="534" t="s">
        <v>1957</v>
      </c>
      <c r="E169" s="534" t="s">
        <v>1647</v>
      </c>
      <c r="F169" s="525"/>
      <c r="G169" s="366"/>
      <c r="H169" s="258" t="s">
        <v>466</v>
      </c>
      <c r="I169" s="420" t="s">
        <v>1958</v>
      </c>
      <c r="J169" s="75" t="s">
        <v>15</v>
      </c>
      <c r="K169" s="407">
        <v>46085</v>
      </c>
      <c r="L169" s="40" t="s">
        <v>6</v>
      </c>
      <c r="M169" s="445" t="s">
        <v>1959</v>
      </c>
      <c r="N169" s="141" t="s">
        <v>15</v>
      </c>
      <c r="O169" s="117"/>
      <c r="P169" s="407">
        <v>46077</v>
      </c>
      <c r="Q169" s="40" t="s">
        <v>469</v>
      </c>
      <c r="R169" s="208"/>
    </row>
    <row r="170" spans="1:18" ht="82.8" x14ac:dyDescent="0.3">
      <c r="A170" s="190"/>
      <c r="B170" s="190"/>
      <c r="C170" s="130">
        <f t="shared" ca="1" si="7"/>
        <v>150</v>
      </c>
      <c r="D170" s="687" t="s">
        <v>1589</v>
      </c>
      <c r="E170" s="526" t="s">
        <v>415</v>
      </c>
      <c r="F170" s="525"/>
      <c r="G170" s="366"/>
      <c r="H170" s="258" t="s">
        <v>466</v>
      </c>
      <c r="I170" s="420" t="s">
        <v>1960</v>
      </c>
      <c r="J170" s="75" t="s">
        <v>15</v>
      </c>
      <c r="K170" s="407">
        <v>46085</v>
      </c>
      <c r="L170" s="40" t="s">
        <v>6</v>
      </c>
      <c r="M170" s="445" t="s">
        <v>1961</v>
      </c>
      <c r="N170" s="141" t="s">
        <v>15</v>
      </c>
      <c r="O170" s="117"/>
      <c r="P170" s="407">
        <v>46077</v>
      </c>
      <c r="Q170" s="40" t="s">
        <v>469</v>
      </c>
      <c r="R170" s="208"/>
    </row>
    <row r="171" spans="1:18" ht="69" customHeight="1" x14ac:dyDescent="0.3">
      <c r="A171" s="190"/>
      <c r="B171" s="190"/>
      <c r="C171" s="130">
        <f t="shared" ca="1" si="7"/>
        <v>151</v>
      </c>
      <c r="D171" s="636"/>
      <c r="E171" s="526" t="s">
        <v>415</v>
      </c>
      <c r="F171" s="532"/>
      <c r="G171" s="366"/>
      <c r="H171" s="258" t="s">
        <v>1962</v>
      </c>
      <c r="I171" s="224" t="s">
        <v>1963</v>
      </c>
      <c r="J171" s="75" t="s">
        <v>15</v>
      </c>
      <c r="K171" s="407">
        <v>46085</v>
      </c>
      <c r="L171" s="40" t="s">
        <v>6</v>
      </c>
      <c r="M171" s="445" t="s">
        <v>1964</v>
      </c>
      <c r="N171" s="141" t="s">
        <v>15</v>
      </c>
      <c r="O171" s="117"/>
      <c r="P171" s="407">
        <v>46077</v>
      </c>
      <c r="Q171" s="40" t="s">
        <v>469</v>
      </c>
      <c r="R171" s="208"/>
    </row>
    <row r="172" spans="1:18" ht="69" customHeight="1" x14ac:dyDescent="0.3">
      <c r="A172" s="190"/>
      <c r="B172" s="190"/>
      <c r="C172" s="130">
        <f t="shared" ca="1" si="7"/>
        <v>152</v>
      </c>
      <c r="D172" s="635"/>
      <c r="E172" s="84" t="s">
        <v>439</v>
      </c>
      <c r="F172" s="527"/>
      <c r="G172" s="395"/>
      <c r="H172" s="220" t="s">
        <v>1965</v>
      </c>
      <c r="I172" s="220" t="s">
        <v>1966</v>
      </c>
      <c r="J172" s="75" t="s">
        <v>15</v>
      </c>
      <c r="K172" s="407">
        <v>46085</v>
      </c>
      <c r="L172" s="40" t="s">
        <v>6</v>
      </c>
      <c r="M172" s="445" t="s">
        <v>923</v>
      </c>
      <c r="N172" s="141" t="s">
        <v>15</v>
      </c>
      <c r="O172" s="117"/>
      <c r="P172" s="193"/>
      <c r="Q172" s="194"/>
      <c r="R172" s="208"/>
    </row>
    <row r="173" spans="1:18" ht="15.75" customHeight="1" x14ac:dyDescent="0.3">
      <c r="A173" s="190"/>
      <c r="B173" s="190"/>
      <c r="C173" s="130">
        <f t="shared" ca="1" si="7"/>
        <v>153</v>
      </c>
      <c r="D173" s="687" t="s">
        <v>1967</v>
      </c>
      <c r="E173" s="542" t="s">
        <v>435</v>
      </c>
      <c r="F173" s="527" t="s">
        <v>207</v>
      </c>
      <c r="G173" s="220"/>
      <c r="H173" s="226" t="s">
        <v>466</v>
      </c>
      <c r="I173" s="220" t="s">
        <v>1968</v>
      </c>
      <c r="J173" s="75" t="s">
        <v>15</v>
      </c>
      <c r="K173" s="407">
        <v>46085</v>
      </c>
      <c r="L173" s="40" t="s">
        <v>6</v>
      </c>
      <c r="M173" s="445" t="s">
        <v>1969</v>
      </c>
      <c r="N173" s="141" t="s">
        <v>15</v>
      </c>
      <c r="O173" s="117"/>
      <c r="P173" s="193"/>
      <c r="Q173" s="194"/>
      <c r="R173" s="208"/>
    </row>
    <row r="174" spans="1:18" ht="15.75" customHeight="1" x14ac:dyDescent="0.3">
      <c r="A174" s="190"/>
      <c r="B174" s="190"/>
      <c r="C174" s="130">
        <f t="shared" ca="1" si="7"/>
        <v>154</v>
      </c>
      <c r="D174" s="636"/>
      <c r="E174" s="84" t="s">
        <v>216</v>
      </c>
      <c r="F174" s="529"/>
      <c r="G174" s="220"/>
      <c r="H174" s="226" t="s">
        <v>1970</v>
      </c>
      <c r="I174" s="226" t="s">
        <v>1971</v>
      </c>
      <c r="J174" s="75" t="s">
        <v>15</v>
      </c>
      <c r="K174" s="407">
        <v>46085</v>
      </c>
      <c r="L174" s="40" t="s">
        <v>6</v>
      </c>
      <c r="M174" s="349" t="s">
        <v>1972</v>
      </c>
      <c r="N174" s="75" t="s">
        <v>15</v>
      </c>
      <c r="O174" s="117"/>
      <c r="P174" s="194"/>
      <c r="Q174" s="194"/>
      <c r="R174" s="303" t="s">
        <v>1973</v>
      </c>
    </row>
    <row r="175" spans="1:18" ht="15.75" customHeight="1" x14ac:dyDescent="0.3">
      <c r="A175" s="190"/>
      <c r="B175" s="190"/>
      <c r="C175" s="130">
        <f t="shared" ca="1" si="7"/>
        <v>155</v>
      </c>
      <c r="D175" s="687" t="s">
        <v>1974</v>
      </c>
      <c r="E175" s="542" t="s">
        <v>435</v>
      </c>
      <c r="F175" s="527" t="s">
        <v>207</v>
      </c>
      <c r="G175" s="220"/>
      <c r="H175" s="220" t="s">
        <v>225</v>
      </c>
      <c r="I175" s="220" t="s">
        <v>1975</v>
      </c>
      <c r="J175" s="75" t="s">
        <v>15</v>
      </c>
      <c r="K175" s="407">
        <v>46085</v>
      </c>
      <c r="L175" s="40" t="s">
        <v>6</v>
      </c>
      <c r="M175" s="349" t="s">
        <v>1976</v>
      </c>
      <c r="N175" s="75" t="s">
        <v>15</v>
      </c>
      <c r="O175" s="117"/>
      <c r="P175" s="193"/>
      <c r="Q175" s="194"/>
      <c r="R175" s="208"/>
    </row>
    <row r="176" spans="1:18" ht="15.75" customHeight="1" x14ac:dyDescent="0.3">
      <c r="A176" s="190"/>
      <c r="B176" s="190"/>
      <c r="C176" s="130">
        <f t="shared" ca="1" si="7"/>
        <v>156</v>
      </c>
      <c r="D176" s="636"/>
      <c r="E176" s="84" t="s">
        <v>216</v>
      </c>
      <c r="F176" s="529"/>
      <c r="G176" s="220"/>
      <c r="H176" s="226" t="s">
        <v>1977</v>
      </c>
      <c r="I176" s="226" t="s">
        <v>1978</v>
      </c>
      <c r="J176" s="75" t="s">
        <v>15</v>
      </c>
      <c r="K176" s="407">
        <v>46085</v>
      </c>
      <c r="L176" s="40" t="s">
        <v>6</v>
      </c>
      <c r="M176" s="349" t="s">
        <v>1979</v>
      </c>
      <c r="N176" s="75" t="s">
        <v>15</v>
      </c>
      <c r="O176" s="117"/>
      <c r="P176" s="193"/>
      <c r="Q176" s="194"/>
      <c r="R176" s="303" t="s">
        <v>1973</v>
      </c>
    </row>
    <row r="177" spans="1:18" ht="15.75" customHeight="1" x14ac:dyDescent="0.3">
      <c r="A177" s="190"/>
      <c r="B177" s="190"/>
      <c r="C177" s="130">
        <f t="shared" ca="1" si="7"/>
        <v>157</v>
      </c>
      <c r="D177" s="523" t="s">
        <v>438</v>
      </c>
      <c r="E177" s="84" t="s">
        <v>216</v>
      </c>
      <c r="F177" s="527" t="s">
        <v>207</v>
      </c>
      <c r="G177" s="220"/>
      <c r="H177" s="220" t="s">
        <v>1818</v>
      </c>
      <c r="I177" s="220" t="s">
        <v>1819</v>
      </c>
      <c r="J177" s="75" t="s">
        <v>15</v>
      </c>
      <c r="K177" s="407">
        <v>46085</v>
      </c>
      <c r="L177" s="40" t="s">
        <v>6</v>
      </c>
      <c r="M177" s="349" t="s">
        <v>1980</v>
      </c>
      <c r="N177" s="75" t="s">
        <v>15</v>
      </c>
      <c r="O177" s="117"/>
      <c r="P177" s="193"/>
      <c r="Q177" s="194"/>
      <c r="R177" s="208"/>
    </row>
    <row r="178" spans="1:18" ht="15.75" customHeight="1" x14ac:dyDescent="0.3">
      <c r="A178" s="190"/>
      <c r="B178" s="190"/>
      <c r="C178" s="130">
        <f t="shared" ca="1" si="7"/>
        <v>158</v>
      </c>
      <c r="D178" s="658" t="s">
        <v>1981</v>
      </c>
      <c r="E178" s="542" t="s">
        <v>435</v>
      </c>
      <c r="F178" s="527" t="s">
        <v>207</v>
      </c>
      <c r="G178" s="220"/>
      <c r="H178" s="220" t="s">
        <v>225</v>
      </c>
      <c r="I178" s="220" t="s">
        <v>1982</v>
      </c>
      <c r="J178" s="75" t="s">
        <v>15</v>
      </c>
      <c r="K178" s="407">
        <v>46085</v>
      </c>
      <c r="L178" s="40" t="s">
        <v>6</v>
      </c>
      <c r="M178" s="543" t="s">
        <v>1983</v>
      </c>
      <c r="N178" s="75" t="s">
        <v>15</v>
      </c>
      <c r="O178" s="117"/>
      <c r="P178" s="193"/>
      <c r="Q178" s="194"/>
      <c r="R178" s="208"/>
    </row>
    <row r="179" spans="1:18" ht="15.75" customHeight="1" x14ac:dyDescent="0.3">
      <c r="A179" s="190"/>
      <c r="B179" s="190"/>
      <c r="C179" s="130">
        <f t="shared" ca="1" si="7"/>
        <v>159</v>
      </c>
      <c r="D179" s="636"/>
      <c r="E179" s="685" t="s">
        <v>216</v>
      </c>
      <c r="F179" s="529"/>
      <c r="G179" s="674" t="s">
        <v>1984</v>
      </c>
      <c r="H179" s="220" t="s">
        <v>1985</v>
      </c>
      <c r="I179" s="226" t="s">
        <v>1986</v>
      </c>
      <c r="J179" s="75" t="s">
        <v>15</v>
      </c>
      <c r="K179" s="407">
        <v>46085</v>
      </c>
      <c r="L179" s="40" t="s">
        <v>6</v>
      </c>
      <c r="M179" s="349" t="s">
        <v>1987</v>
      </c>
      <c r="N179" s="141" t="s">
        <v>15</v>
      </c>
      <c r="O179" s="117" t="s">
        <v>211</v>
      </c>
      <c r="P179" s="193"/>
      <c r="Q179" s="194"/>
      <c r="R179" s="208" t="s">
        <v>1988</v>
      </c>
    </row>
    <row r="180" spans="1:18" ht="126.75" customHeight="1" x14ac:dyDescent="0.3">
      <c r="A180" s="190"/>
      <c r="B180" s="190"/>
      <c r="C180" s="130">
        <f t="shared" ca="1" si="7"/>
        <v>160</v>
      </c>
      <c r="D180" s="636"/>
      <c r="E180" s="636"/>
      <c r="F180" s="532"/>
      <c r="G180" s="636"/>
      <c r="H180" s="220" t="s">
        <v>1989</v>
      </c>
      <c r="I180" s="226" t="s">
        <v>1990</v>
      </c>
      <c r="J180" s="75" t="s">
        <v>15</v>
      </c>
      <c r="K180" s="407">
        <v>46085</v>
      </c>
      <c r="L180" s="40" t="s">
        <v>6</v>
      </c>
      <c r="M180" s="349" t="s">
        <v>1991</v>
      </c>
      <c r="N180" s="141" t="s">
        <v>15</v>
      </c>
      <c r="O180" s="117"/>
      <c r="P180" s="193"/>
      <c r="Q180" s="194"/>
      <c r="R180" s="208"/>
    </row>
    <row r="181" spans="1:18" ht="126.75" customHeight="1" x14ac:dyDescent="0.3">
      <c r="A181" s="190"/>
      <c r="B181" s="190"/>
      <c r="C181" s="130">
        <f t="shared" ca="1" si="7"/>
        <v>161</v>
      </c>
      <c r="D181" s="636"/>
      <c r="E181" s="636"/>
      <c r="F181" s="532"/>
      <c r="G181" s="636"/>
      <c r="H181" s="220" t="s">
        <v>1992</v>
      </c>
      <c r="I181" s="226" t="s">
        <v>1993</v>
      </c>
      <c r="J181" s="75" t="s">
        <v>15</v>
      </c>
      <c r="K181" s="407">
        <v>46085</v>
      </c>
      <c r="L181" s="40" t="s">
        <v>6</v>
      </c>
      <c r="M181" s="445" t="s">
        <v>1994</v>
      </c>
      <c r="N181" s="141" t="s">
        <v>15</v>
      </c>
      <c r="O181" s="117"/>
      <c r="P181" s="193"/>
      <c r="Q181" s="194"/>
      <c r="R181" s="208"/>
    </row>
    <row r="182" spans="1:18" ht="126.75" customHeight="1" x14ac:dyDescent="0.3">
      <c r="A182" s="190"/>
      <c r="B182" s="190"/>
      <c r="C182" s="130">
        <f t="shared" ca="1" si="7"/>
        <v>162</v>
      </c>
      <c r="D182" s="636"/>
      <c r="E182" s="636"/>
      <c r="F182" s="532"/>
      <c r="G182" s="636"/>
      <c r="H182" s="220" t="s">
        <v>1995</v>
      </c>
      <c r="I182" s="226" t="s">
        <v>1996</v>
      </c>
      <c r="J182" s="75" t="s">
        <v>15</v>
      </c>
      <c r="K182" s="407">
        <v>46085</v>
      </c>
      <c r="L182" s="40" t="s">
        <v>6</v>
      </c>
      <c r="M182" s="544" t="s">
        <v>946</v>
      </c>
      <c r="N182" s="141" t="s">
        <v>15</v>
      </c>
      <c r="O182" s="117"/>
      <c r="P182" s="193"/>
      <c r="Q182" s="194"/>
      <c r="R182" s="208"/>
    </row>
    <row r="183" spans="1:18" ht="126.75" customHeight="1" x14ac:dyDescent="0.3">
      <c r="A183" s="190"/>
      <c r="B183" s="190"/>
      <c r="C183" s="130">
        <f t="shared" ca="1" si="7"/>
        <v>163</v>
      </c>
      <c r="D183" s="636"/>
      <c r="E183" s="636"/>
      <c r="F183" s="532"/>
      <c r="G183" s="636"/>
      <c r="H183" s="220" t="s">
        <v>1997</v>
      </c>
      <c r="I183" s="226" t="s">
        <v>1998</v>
      </c>
      <c r="J183" s="75" t="s">
        <v>15</v>
      </c>
      <c r="K183" s="407">
        <v>46085</v>
      </c>
      <c r="L183" s="40" t="s">
        <v>6</v>
      </c>
      <c r="M183" s="445" t="s">
        <v>1999</v>
      </c>
      <c r="N183" s="75" t="s">
        <v>15</v>
      </c>
      <c r="O183" s="117" t="s">
        <v>211</v>
      </c>
      <c r="P183" s="193"/>
      <c r="Q183" s="194"/>
      <c r="R183" s="303"/>
    </row>
    <row r="184" spans="1:18" ht="68.25" customHeight="1" x14ac:dyDescent="0.3">
      <c r="A184" s="190"/>
      <c r="B184" s="190"/>
      <c r="C184" s="130">
        <f t="shared" ca="1" si="7"/>
        <v>164</v>
      </c>
      <c r="D184" s="636"/>
      <c r="E184" s="636"/>
      <c r="F184" s="527"/>
      <c r="G184" s="636"/>
      <c r="H184" s="226" t="s">
        <v>2000</v>
      </c>
      <c r="I184" s="342" t="s">
        <v>2001</v>
      </c>
      <c r="J184" s="75" t="s">
        <v>15</v>
      </c>
      <c r="K184" s="407">
        <v>46085</v>
      </c>
      <c r="L184" s="40" t="s">
        <v>6</v>
      </c>
      <c r="M184" s="445" t="s">
        <v>953</v>
      </c>
      <c r="N184" s="141" t="s">
        <v>15</v>
      </c>
      <c r="O184" s="117"/>
      <c r="P184" s="193"/>
      <c r="Q184" s="194"/>
      <c r="R184" s="208"/>
    </row>
    <row r="185" spans="1:18" ht="165" customHeight="1" x14ac:dyDescent="0.3">
      <c r="A185" s="190"/>
      <c r="B185" s="190"/>
      <c r="C185" s="130">
        <f t="shared" ca="1" si="7"/>
        <v>165</v>
      </c>
      <c r="D185" s="636"/>
      <c r="E185" s="635"/>
      <c r="F185" s="527"/>
      <c r="G185" s="635"/>
      <c r="H185" s="220" t="s">
        <v>2002</v>
      </c>
      <c r="I185" s="226" t="s">
        <v>2003</v>
      </c>
      <c r="J185" s="75" t="s">
        <v>15</v>
      </c>
      <c r="K185" s="407">
        <v>46085</v>
      </c>
      <c r="L185" s="40" t="s">
        <v>6</v>
      </c>
      <c r="M185" s="349" t="s">
        <v>2004</v>
      </c>
      <c r="N185" s="75" t="s">
        <v>15</v>
      </c>
      <c r="O185" s="222"/>
      <c r="P185" s="82"/>
      <c r="Q185" s="40"/>
      <c r="R185" s="208"/>
    </row>
    <row r="186" spans="1:18" ht="15.75" customHeight="1" x14ac:dyDescent="0.3">
      <c r="A186" s="190"/>
      <c r="B186" s="190"/>
      <c r="C186" s="652" t="s">
        <v>2005</v>
      </c>
      <c r="D186" s="602"/>
      <c r="E186" s="602"/>
      <c r="F186" s="602"/>
      <c r="G186" s="602"/>
      <c r="H186" s="602"/>
      <c r="I186" s="602"/>
      <c r="J186" s="602"/>
      <c r="K186" s="602"/>
      <c r="L186" s="602"/>
      <c r="M186" s="602"/>
      <c r="N186" s="602"/>
      <c r="O186" s="602"/>
      <c r="P186" s="602"/>
      <c r="Q186" s="602"/>
      <c r="R186" s="602"/>
    </row>
    <row r="187" spans="1:18" ht="15.75" customHeight="1" x14ac:dyDescent="0.3">
      <c r="A187" s="104"/>
      <c r="B187" s="104"/>
      <c r="C187" s="130">
        <f t="shared" ref="C187:C266" ca="1" si="8">1+COUNT(INDIRECT("A1:"&amp;(ADDRESS(ROW()-1,COLUMN()))))</f>
        <v>166</v>
      </c>
      <c r="D187" s="166" t="s">
        <v>195</v>
      </c>
      <c r="E187" s="434" t="s">
        <v>214</v>
      </c>
      <c r="F187" s="219" t="s">
        <v>215</v>
      </c>
      <c r="G187" s="220" t="s">
        <v>2006</v>
      </c>
      <c r="H187" s="342" t="s">
        <v>231</v>
      </c>
      <c r="I187" s="419" t="s">
        <v>2007</v>
      </c>
      <c r="J187" s="75" t="s">
        <v>15</v>
      </c>
      <c r="K187" s="407">
        <v>46085</v>
      </c>
      <c r="L187" s="40" t="s">
        <v>6</v>
      </c>
      <c r="M187" s="349" t="s">
        <v>2008</v>
      </c>
      <c r="N187" s="75" t="s">
        <v>15</v>
      </c>
      <c r="O187" s="222"/>
      <c r="P187" s="82"/>
      <c r="Q187" s="40"/>
      <c r="R187" s="129"/>
    </row>
    <row r="188" spans="1:18" ht="15.75" customHeight="1" x14ac:dyDescent="0.3">
      <c r="A188" s="104"/>
      <c r="B188" s="104"/>
      <c r="C188" s="130">
        <f t="shared" ca="1" si="8"/>
        <v>167</v>
      </c>
      <c r="D188" s="658" t="s">
        <v>2009</v>
      </c>
      <c r="E188" s="434"/>
      <c r="F188" s="219"/>
      <c r="G188" s="220"/>
      <c r="H188" s="342" t="s">
        <v>2010</v>
      </c>
      <c r="I188" s="426" t="s">
        <v>2011</v>
      </c>
      <c r="J188" s="75" t="s">
        <v>15</v>
      </c>
      <c r="K188" s="407">
        <v>46085</v>
      </c>
      <c r="L188" s="40" t="s">
        <v>6</v>
      </c>
      <c r="M188" s="349" t="s">
        <v>961</v>
      </c>
      <c r="N188" s="141" t="s">
        <v>15</v>
      </c>
      <c r="O188" s="222" t="s">
        <v>211</v>
      </c>
      <c r="P188" s="82"/>
      <c r="Q188" s="40"/>
      <c r="R188" s="129" t="s">
        <v>2012</v>
      </c>
    </row>
    <row r="189" spans="1:18" ht="15.75" customHeight="1" x14ac:dyDescent="0.3">
      <c r="A189" s="190"/>
      <c r="B189" s="190"/>
      <c r="C189" s="130">
        <f t="shared" ca="1" si="8"/>
        <v>168</v>
      </c>
      <c r="D189" s="636"/>
      <c r="E189" s="242"/>
      <c r="F189" s="432"/>
      <c r="G189" s="423"/>
      <c r="H189" s="220" t="s">
        <v>2013</v>
      </c>
      <c r="I189" s="224" t="s">
        <v>2014</v>
      </c>
      <c r="J189" s="75" t="s">
        <v>15</v>
      </c>
      <c r="K189" s="407">
        <v>46085</v>
      </c>
      <c r="L189" s="40" t="s">
        <v>6</v>
      </c>
      <c r="M189" s="349" t="s">
        <v>2015</v>
      </c>
      <c r="N189" s="141" t="s">
        <v>15</v>
      </c>
      <c r="O189" s="222" t="s">
        <v>211</v>
      </c>
      <c r="P189" s="193"/>
      <c r="Q189" s="194"/>
      <c r="R189" s="208"/>
    </row>
    <row r="190" spans="1:18" ht="15.75" customHeight="1" x14ac:dyDescent="0.3">
      <c r="A190" s="190"/>
      <c r="B190" s="190"/>
      <c r="C190" s="130">
        <f t="shared" ca="1" si="8"/>
        <v>169</v>
      </c>
      <c r="D190" s="166" t="s">
        <v>2016</v>
      </c>
      <c r="E190" s="242" t="s">
        <v>198</v>
      </c>
      <c r="F190" s="435" t="s">
        <v>207</v>
      </c>
      <c r="G190" s="423"/>
      <c r="H190" s="220" t="s">
        <v>232</v>
      </c>
      <c r="I190" s="220" t="s">
        <v>2017</v>
      </c>
      <c r="J190" s="75" t="s">
        <v>15</v>
      </c>
      <c r="K190" s="407">
        <v>46085</v>
      </c>
      <c r="L190" s="40" t="s">
        <v>6</v>
      </c>
      <c r="M190" s="349" t="s">
        <v>967</v>
      </c>
      <c r="N190" s="75" t="s">
        <v>15</v>
      </c>
      <c r="O190" s="222"/>
      <c r="P190" s="193"/>
      <c r="Q190" s="194"/>
      <c r="R190" s="208"/>
    </row>
    <row r="191" spans="1:18" ht="15.75" customHeight="1" x14ac:dyDescent="0.3">
      <c r="A191" s="190"/>
      <c r="B191" s="190"/>
      <c r="C191" s="130">
        <f t="shared" ca="1" si="8"/>
        <v>170</v>
      </c>
      <c r="D191" s="166" t="s">
        <v>1832</v>
      </c>
      <c r="E191" s="242" t="s">
        <v>198</v>
      </c>
      <c r="F191" s="435" t="s">
        <v>207</v>
      </c>
      <c r="G191" s="423"/>
      <c r="H191" s="220" t="s">
        <v>2018</v>
      </c>
      <c r="I191" s="220" t="s">
        <v>2019</v>
      </c>
      <c r="J191" s="75" t="s">
        <v>15</v>
      </c>
      <c r="K191" s="407">
        <v>46085</v>
      </c>
      <c r="L191" s="40" t="s">
        <v>6</v>
      </c>
      <c r="M191" s="445" t="s">
        <v>2020</v>
      </c>
      <c r="N191" s="141" t="s">
        <v>15</v>
      </c>
      <c r="O191" s="222"/>
      <c r="P191" s="193"/>
      <c r="Q191" s="194"/>
      <c r="R191" s="208" t="s">
        <v>2021</v>
      </c>
    </row>
    <row r="192" spans="1:18" ht="123.75" customHeight="1" x14ac:dyDescent="0.3">
      <c r="A192" s="15"/>
      <c r="B192" s="15"/>
      <c r="C192" s="130">
        <f t="shared" ca="1" si="8"/>
        <v>171</v>
      </c>
      <c r="D192" s="684" t="s">
        <v>1839</v>
      </c>
      <c r="E192" s="241" t="s">
        <v>200</v>
      </c>
      <c r="F192" s="545"/>
      <c r="G192" s="421" t="s">
        <v>2022</v>
      </c>
      <c r="H192" s="421" t="s">
        <v>1743</v>
      </c>
      <c r="I192" s="428" t="s">
        <v>2023</v>
      </c>
      <c r="J192" s="75" t="s">
        <v>15</v>
      </c>
      <c r="K192" s="407">
        <v>46085</v>
      </c>
      <c r="L192" s="40" t="s">
        <v>6</v>
      </c>
      <c r="M192" s="516" t="s">
        <v>971</v>
      </c>
      <c r="N192" s="141" t="s">
        <v>15</v>
      </c>
      <c r="O192" s="340"/>
      <c r="P192" s="546"/>
      <c r="Q192" s="340"/>
      <c r="R192" s="394"/>
    </row>
    <row r="193" spans="1:18" ht="219.75" customHeight="1" x14ac:dyDescent="0.3">
      <c r="A193" s="15"/>
      <c r="B193" s="15"/>
      <c r="C193" s="130">
        <f t="shared" ca="1" si="8"/>
        <v>172</v>
      </c>
      <c r="D193" s="606"/>
      <c r="E193" s="241" t="s">
        <v>1726</v>
      </c>
      <c r="F193" s="441"/>
      <c r="G193" s="424"/>
      <c r="H193" s="421" t="s">
        <v>2024</v>
      </c>
      <c r="I193" s="425" t="s">
        <v>2025</v>
      </c>
      <c r="J193" s="75" t="s">
        <v>15</v>
      </c>
      <c r="K193" s="407">
        <v>46085</v>
      </c>
      <c r="L193" s="40" t="s">
        <v>6</v>
      </c>
      <c r="M193" s="516" t="s">
        <v>2026</v>
      </c>
      <c r="N193" s="75" t="s">
        <v>15</v>
      </c>
      <c r="O193" s="340"/>
      <c r="P193" s="546"/>
      <c r="Q193" s="340"/>
      <c r="R193" s="206"/>
    </row>
    <row r="194" spans="1:18" ht="219.75" customHeight="1" x14ac:dyDescent="0.3">
      <c r="A194" s="190"/>
      <c r="B194" s="190"/>
      <c r="C194" s="130">
        <f t="shared" ca="1" si="8"/>
        <v>173</v>
      </c>
      <c r="D194" s="530" t="s">
        <v>2027</v>
      </c>
      <c r="E194" s="685" t="s">
        <v>1647</v>
      </c>
      <c r="F194" s="84"/>
      <c r="G194" s="220"/>
      <c r="H194" s="220" t="s">
        <v>1850</v>
      </c>
      <c r="I194" s="342" t="s">
        <v>2028</v>
      </c>
      <c r="J194" s="75" t="s">
        <v>15</v>
      </c>
      <c r="K194" s="407">
        <v>46085</v>
      </c>
      <c r="L194" s="40" t="s">
        <v>6</v>
      </c>
      <c r="M194" s="349" t="s">
        <v>2029</v>
      </c>
      <c r="N194" s="75" t="s">
        <v>15</v>
      </c>
      <c r="O194" s="222"/>
      <c r="P194" s="82"/>
      <c r="Q194" s="40"/>
      <c r="R194" s="394"/>
    </row>
    <row r="195" spans="1:18" ht="132" customHeight="1" x14ac:dyDescent="0.3">
      <c r="A195" s="190"/>
      <c r="B195" s="190"/>
      <c r="C195" s="130">
        <f t="shared" ca="1" si="8"/>
        <v>174</v>
      </c>
      <c r="D195" s="531"/>
      <c r="E195" s="635"/>
      <c r="F195" s="532"/>
      <c r="G195" s="366"/>
      <c r="H195" s="220" t="s">
        <v>1845</v>
      </c>
      <c r="I195" s="426" t="s">
        <v>1846</v>
      </c>
      <c r="J195" s="75" t="s">
        <v>15</v>
      </c>
      <c r="K195" s="407">
        <v>46085</v>
      </c>
      <c r="L195" s="40" t="s">
        <v>6</v>
      </c>
      <c r="M195" s="349" t="s">
        <v>979</v>
      </c>
      <c r="N195" s="75" t="s">
        <v>15</v>
      </c>
      <c r="O195" s="117"/>
      <c r="P195" s="82"/>
      <c r="Q195" s="40"/>
      <c r="R195" s="208"/>
    </row>
    <row r="196" spans="1:18" ht="183" customHeight="1" x14ac:dyDescent="0.3">
      <c r="A196" s="190"/>
      <c r="B196" s="190"/>
      <c r="C196" s="130">
        <f t="shared" ca="1" si="8"/>
        <v>175</v>
      </c>
      <c r="D196" s="686" t="s">
        <v>1863</v>
      </c>
      <c r="E196" s="662" t="s">
        <v>1647</v>
      </c>
      <c r="F196" s="532"/>
      <c r="G196" s="366"/>
      <c r="H196" s="220" t="s">
        <v>1864</v>
      </c>
      <c r="I196" s="426" t="s">
        <v>1865</v>
      </c>
      <c r="J196" s="75" t="s">
        <v>15</v>
      </c>
      <c r="K196" s="407">
        <v>46085</v>
      </c>
      <c r="L196" s="40" t="s">
        <v>6</v>
      </c>
      <c r="M196" s="445" t="s">
        <v>2030</v>
      </c>
      <c r="N196" s="75" t="s">
        <v>15</v>
      </c>
      <c r="O196" s="117" t="s">
        <v>211</v>
      </c>
      <c r="P196" s="193"/>
      <c r="Q196" s="194" t="s">
        <v>431</v>
      </c>
      <c r="R196" s="208" t="s">
        <v>2031</v>
      </c>
    </row>
    <row r="197" spans="1:18" ht="114" customHeight="1" x14ac:dyDescent="0.3">
      <c r="A197" s="190"/>
      <c r="B197" s="190"/>
      <c r="C197" s="130">
        <f t="shared" ca="1" si="8"/>
        <v>176</v>
      </c>
      <c r="D197" s="606"/>
      <c r="E197" s="635"/>
      <c r="F197" s="532"/>
      <c r="G197" s="366"/>
      <c r="H197" s="220" t="s">
        <v>1868</v>
      </c>
      <c r="I197" s="426" t="s">
        <v>1869</v>
      </c>
      <c r="J197" s="75" t="s">
        <v>15</v>
      </c>
      <c r="K197" s="407">
        <v>46085</v>
      </c>
      <c r="L197" s="40" t="s">
        <v>6</v>
      </c>
      <c r="M197" s="445" t="s">
        <v>2032</v>
      </c>
      <c r="N197" s="75" t="s">
        <v>15</v>
      </c>
      <c r="O197" s="117" t="s">
        <v>211</v>
      </c>
      <c r="P197" s="193"/>
      <c r="Q197" s="194"/>
      <c r="R197" s="208" t="s">
        <v>2033</v>
      </c>
    </row>
    <row r="198" spans="1:18" ht="204" customHeight="1" x14ac:dyDescent="0.3">
      <c r="A198" s="190"/>
      <c r="B198" s="190"/>
      <c r="C198" s="130">
        <f t="shared" ca="1" si="8"/>
        <v>177</v>
      </c>
      <c r="D198" s="658" t="s">
        <v>1872</v>
      </c>
      <c r="E198" s="662" t="s">
        <v>1647</v>
      </c>
      <c r="F198" s="532"/>
      <c r="G198" s="366"/>
      <c r="H198" s="220" t="s">
        <v>1873</v>
      </c>
      <c r="I198" s="426" t="s">
        <v>1874</v>
      </c>
      <c r="J198" s="75" t="s">
        <v>15</v>
      </c>
      <c r="K198" s="407">
        <v>46085</v>
      </c>
      <c r="L198" s="40" t="s">
        <v>6</v>
      </c>
      <c r="M198" s="445" t="s">
        <v>2034</v>
      </c>
      <c r="N198" s="75" t="s">
        <v>15</v>
      </c>
      <c r="O198" s="117" t="s">
        <v>211</v>
      </c>
      <c r="P198" s="193"/>
      <c r="Q198" s="194" t="s">
        <v>431</v>
      </c>
      <c r="R198" s="208" t="s">
        <v>2035</v>
      </c>
    </row>
    <row r="199" spans="1:18" ht="255.75" customHeight="1" x14ac:dyDescent="0.3">
      <c r="A199" s="190"/>
      <c r="B199" s="190"/>
      <c r="C199" s="130">
        <f t="shared" ca="1" si="8"/>
        <v>178</v>
      </c>
      <c r="D199" s="635"/>
      <c r="E199" s="635"/>
      <c r="F199" s="532"/>
      <c r="G199" s="366"/>
      <c r="H199" s="220" t="s">
        <v>1877</v>
      </c>
      <c r="I199" s="419" t="s">
        <v>2036</v>
      </c>
      <c r="J199" s="75" t="s">
        <v>15</v>
      </c>
      <c r="K199" s="407">
        <v>46085</v>
      </c>
      <c r="L199" s="40" t="s">
        <v>6</v>
      </c>
      <c r="M199" s="445" t="s">
        <v>2037</v>
      </c>
      <c r="N199" s="75" t="s">
        <v>15</v>
      </c>
      <c r="O199" s="117" t="s">
        <v>211</v>
      </c>
      <c r="P199" s="193"/>
      <c r="Q199" s="194" t="s">
        <v>431</v>
      </c>
      <c r="R199" s="208" t="s">
        <v>2038</v>
      </c>
    </row>
    <row r="200" spans="1:18" ht="96.6" x14ac:dyDescent="0.3">
      <c r="A200" s="190"/>
      <c r="B200" s="190"/>
      <c r="C200" s="130">
        <f t="shared" ca="1" si="8"/>
        <v>179</v>
      </c>
      <c r="D200" s="687" t="s">
        <v>1881</v>
      </c>
      <c r="E200" s="662" t="s">
        <v>1647</v>
      </c>
      <c r="F200" s="532"/>
      <c r="G200" s="366"/>
      <c r="H200" s="220" t="s">
        <v>1882</v>
      </c>
      <c r="I200" s="426" t="s">
        <v>1883</v>
      </c>
      <c r="J200" s="75" t="s">
        <v>15</v>
      </c>
      <c r="K200" s="407">
        <v>46085</v>
      </c>
      <c r="L200" s="40" t="s">
        <v>6</v>
      </c>
      <c r="M200" s="445" t="s">
        <v>2039</v>
      </c>
      <c r="N200" s="75" t="s">
        <v>15</v>
      </c>
      <c r="O200" s="117" t="s">
        <v>211</v>
      </c>
      <c r="P200" s="193"/>
      <c r="Q200" s="194"/>
      <c r="R200" s="208" t="s">
        <v>2040</v>
      </c>
    </row>
    <row r="201" spans="1:18" ht="255.75" customHeight="1" x14ac:dyDescent="0.3">
      <c r="A201" s="190"/>
      <c r="B201" s="190"/>
      <c r="C201" s="130">
        <f t="shared" ca="1" si="8"/>
        <v>180</v>
      </c>
      <c r="D201" s="635"/>
      <c r="E201" s="635"/>
      <c r="F201" s="532"/>
      <c r="G201" s="366"/>
      <c r="H201" s="220" t="s">
        <v>1885</v>
      </c>
      <c r="I201" s="426" t="s">
        <v>1886</v>
      </c>
      <c r="J201" s="75" t="s">
        <v>15</v>
      </c>
      <c r="K201" s="407">
        <v>46085</v>
      </c>
      <c r="L201" s="40" t="s">
        <v>6</v>
      </c>
      <c r="M201" s="445" t="s">
        <v>2041</v>
      </c>
      <c r="N201" s="75" t="s">
        <v>15</v>
      </c>
      <c r="O201" s="117" t="s">
        <v>211</v>
      </c>
      <c r="P201" s="193"/>
      <c r="Q201" s="194"/>
      <c r="R201" s="208" t="s">
        <v>2040</v>
      </c>
    </row>
    <row r="202" spans="1:18" ht="14.4" x14ac:dyDescent="0.3">
      <c r="A202" s="190"/>
      <c r="B202" s="190"/>
      <c r="C202" s="130">
        <f t="shared" ca="1" si="8"/>
        <v>181</v>
      </c>
      <c r="D202" s="534" t="s">
        <v>1855</v>
      </c>
      <c r="E202" s="534" t="s">
        <v>1647</v>
      </c>
      <c r="F202" s="525"/>
      <c r="G202" s="366"/>
      <c r="H202" s="258" t="s">
        <v>466</v>
      </c>
      <c r="I202" s="420" t="s">
        <v>1856</v>
      </c>
      <c r="J202" s="75" t="s">
        <v>15</v>
      </c>
      <c r="K202" s="407">
        <v>46085</v>
      </c>
      <c r="L202" s="40" t="s">
        <v>6</v>
      </c>
      <c r="M202" s="445" t="s">
        <v>991</v>
      </c>
      <c r="N202" s="141" t="s">
        <v>15</v>
      </c>
      <c r="O202" s="117"/>
      <c r="P202" s="193"/>
      <c r="Q202" s="194"/>
      <c r="R202" s="208"/>
    </row>
    <row r="203" spans="1:18" ht="81.75" customHeight="1" x14ac:dyDescent="0.3">
      <c r="A203" s="190"/>
      <c r="B203" s="190"/>
      <c r="C203" s="130">
        <f t="shared" ca="1" si="8"/>
        <v>182</v>
      </c>
      <c r="D203" s="440" t="s">
        <v>2042</v>
      </c>
      <c r="E203" s="251" t="s">
        <v>200</v>
      </c>
      <c r="F203" s="251"/>
      <c r="G203" s="220"/>
      <c r="H203" s="220" t="s">
        <v>1743</v>
      </c>
      <c r="I203" s="342" t="s">
        <v>2043</v>
      </c>
      <c r="J203" s="75" t="s">
        <v>15</v>
      </c>
      <c r="K203" s="407">
        <v>46085</v>
      </c>
      <c r="L203" s="40" t="s">
        <v>6</v>
      </c>
      <c r="M203" s="445" t="s">
        <v>2044</v>
      </c>
      <c r="N203" s="141" t="s">
        <v>15</v>
      </c>
      <c r="O203" s="222"/>
      <c r="P203" s="193"/>
      <c r="Q203" s="194"/>
      <c r="R203" s="394"/>
    </row>
    <row r="204" spans="1:18" ht="69" customHeight="1" x14ac:dyDescent="0.3">
      <c r="A204" s="190"/>
      <c r="B204" s="190"/>
      <c r="C204" s="130">
        <f t="shared" ca="1" si="8"/>
        <v>183</v>
      </c>
      <c r="D204" s="438"/>
      <c r="E204" s="251" t="s">
        <v>1721</v>
      </c>
      <c r="F204" s="432"/>
      <c r="G204" s="400"/>
      <c r="H204" s="220" t="s">
        <v>1722</v>
      </c>
      <c r="I204" s="426" t="s">
        <v>2045</v>
      </c>
      <c r="J204" s="75" t="s">
        <v>15</v>
      </c>
      <c r="K204" s="407">
        <v>46085</v>
      </c>
      <c r="L204" s="40" t="s">
        <v>6</v>
      </c>
      <c r="M204" s="445" t="s">
        <v>2046</v>
      </c>
      <c r="N204" s="141" t="s">
        <v>15</v>
      </c>
      <c r="O204" s="222" t="s">
        <v>211</v>
      </c>
      <c r="P204" s="193"/>
      <c r="Q204" s="194"/>
      <c r="R204" s="208" t="s">
        <v>2047</v>
      </c>
    </row>
    <row r="205" spans="1:18" ht="114" customHeight="1" x14ac:dyDescent="0.3">
      <c r="A205" s="190"/>
      <c r="B205" s="190"/>
      <c r="C205" s="130">
        <f t="shared" ca="1" si="8"/>
        <v>184</v>
      </c>
      <c r="D205" s="438"/>
      <c r="E205" s="251" t="s">
        <v>1726</v>
      </c>
      <c r="F205" s="432"/>
      <c r="G205" s="366"/>
      <c r="H205" s="220" t="s">
        <v>1845</v>
      </c>
      <c r="I205" s="426" t="s">
        <v>1846</v>
      </c>
      <c r="J205" s="75" t="s">
        <v>15</v>
      </c>
      <c r="K205" s="407">
        <v>46085</v>
      </c>
      <c r="L205" s="40" t="s">
        <v>6</v>
      </c>
      <c r="M205" s="445" t="s">
        <v>995</v>
      </c>
      <c r="N205" s="141" t="s">
        <v>15</v>
      </c>
      <c r="O205" s="222"/>
      <c r="P205" s="193"/>
      <c r="Q205" s="194"/>
      <c r="R205" s="208"/>
    </row>
    <row r="206" spans="1:18" ht="81.75" customHeight="1" x14ac:dyDescent="0.3">
      <c r="A206" s="190"/>
      <c r="B206" s="190"/>
      <c r="C206" s="130">
        <f t="shared" ca="1" si="8"/>
        <v>185</v>
      </c>
      <c r="D206" s="440" t="s">
        <v>1888</v>
      </c>
      <c r="E206" s="251" t="s">
        <v>200</v>
      </c>
      <c r="F206" s="251"/>
      <c r="G206" s="220"/>
      <c r="H206" s="220" t="s">
        <v>1743</v>
      </c>
      <c r="I206" s="342" t="s">
        <v>2048</v>
      </c>
      <c r="J206" s="75" t="s">
        <v>15</v>
      </c>
      <c r="K206" s="407">
        <v>46085</v>
      </c>
      <c r="L206" s="40" t="s">
        <v>6</v>
      </c>
      <c r="M206" s="445" t="s">
        <v>2049</v>
      </c>
      <c r="N206" s="141" t="s">
        <v>15</v>
      </c>
      <c r="O206" s="222"/>
      <c r="P206" s="193"/>
      <c r="Q206" s="194"/>
      <c r="R206" s="394"/>
    </row>
    <row r="207" spans="1:18" ht="69" customHeight="1" x14ac:dyDescent="0.3">
      <c r="A207" s="190"/>
      <c r="B207" s="190"/>
      <c r="C207" s="130">
        <f t="shared" ca="1" si="8"/>
        <v>186</v>
      </c>
      <c r="D207" s="438"/>
      <c r="E207" s="251" t="s">
        <v>1721</v>
      </c>
      <c r="F207" s="432"/>
      <c r="G207" s="400"/>
      <c r="H207" s="220" t="s">
        <v>1722</v>
      </c>
      <c r="I207" s="426" t="s">
        <v>1892</v>
      </c>
      <c r="J207" s="75" t="s">
        <v>15</v>
      </c>
      <c r="K207" s="407">
        <v>46085</v>
      </c>
      <c r="L207" s="40" t="s">
        <v>6</v>
      </c>
      <c r="M207" s="445" t="s">
        <v>2050</v>
      </c>
      <c r="N207" s="141" t="s">
        <v>15</v>
      </c>
      <c r="O207" s="222" t="s">
        <v>211</v>
      </c>
      <c r="P207" s="193"/>
      <c r="Q207" s="194"/>
      <c r="R207" s="208" t="s">
        <v>2051</v>
      </c>
    </row>
    <row r="208" spans="1:18" ht="114" customHeight="1" x14ac:dyDescent="0.3">
      <c r="A208" s="190"/>
      <c r="B208" s="190"/>
      <c r="C208" s="130">
        <f t="shared" ca="1" si="8"/>
        <v>187</v>
      </c>
      <c r="D208" s="438"/>
      <c r="E208" s="251" t="s">
        <v>1726</v>
      </c>
      <c r="F208" s="432"/>
      <c r="G208" s="366"/>
      <c r="H208" s="220" t="s">
        <v>1845</v>
      </c>
      <c r="I208" s="426" t="s">
        <v>1846</v>
      </c>
      <c r="J208" s="75" t="s">
        <v>15</v>
      </c>
      <c r="K208" s="407">
        <v>46085</v>
      </c>
      <c r="L208" s="40" t="s">
        <v>6</v>
      </c>
      <c r="M208" s="445" t="s">
        <v>2052</v>
      </c>
      <c r="N208" s="141" t="s">
        <v>15</v>
      </c>
      <c r="O208" s="222"/>
      <c r="P208" s="193"/>
      <c r="Q208" s="194"/>
      <c r="R208" s="208"/>
    </row>
    <row r="209" spans="1:18" ht="81.75" customHeight="1" x14ac:dyDescent="0.3">
      <c r="A209" s="190"/>
      <c r="B209" s="190"/>
      <c r="C209" s="130">
        <f t="shared" ca="1" si="8"/>
        <v>188</v>
      </c>
      <c r="D209" s="440" t="s">
        <v>1897</v>
      </c>
      <c r="E209" s="251" t="s">
        <v>200</v>
      </c>
      <c r="F209" s="251"/>
      <c r="G209" s="220"/>
      <c r="H209" s="220" t="s">
        <v>1743</v>
      </c>
      <c r="I209" s="342" t="s">
        <v>2053</v>
      </c>
      <c r="J209" s="75" t="s">
        <v>15</v>
      </c>
      <c r="K209" s="407">
        <v>46085</v>
      </c>
      <c r="L209" s="40" t="s">
        <v>6</v>
      </c>
      <c r="M209" s="445" t="s">
        <v>2054</v>
      </c>
      <c r="N209" s="141" t="s">
        <v>15</v>
      </c>
      <c r="O209" s="222"/>
      <c r="P209" s="193"/>
      <c r="Q209" s="194"/>
      <c r="R209" s="394"/>
    </row>
    <row r="210" spans="1:18" ht="69" customHeight="1" x14ac:dyDescent="0.3">
      <c r="A210" s="190"/>
      <c r="B210" s="190"/>
      <c r="C210" s="130">
        <f t="shared" ca="1" si="8"/>
        <v>189</v>
      </c>
      <c r="D210" s="438"/>
      <c r="E210" s="251" t="s">
        <v>1721</v>
      </c>
      <c r="F210" s="432"/>
      <c r="G210" s="400"/>
      <c r="H210" s="220" t="s">
        <v>1722</v>
      </c>
      <c r="I210" s="426" t="s">
        <v>1900</v>
      </c>
      <c r="J210" s="75" t="s">
        <v>15</v>
      </c>
      <c r="K210" s="407">
        <v>46085</v>
      </c>
      <c r="L210" s="40" t="s">
        <v>6</v>
      </c>
      <c r="M210" s="445" t="s">
        <v>2055</v>
      </c>
      <c r="N210" s="141" t="s">
        <v>15</v>
      </c>
      <c r="O210" s="222" t="s">
        <v>211</v>
      </c>
      <c r="P210" s="193"/>
      <c r="Q210" s="194"/>
      <c r="R210" s="208" t="s">
        <v>2056</v>
      </c>
    </row>
    <row r="211" spans="1:18" ht="114" customHeight="1" x14ac:dyDescent="0.3">
      <c r="A211" s="190"/>
      <c r="B211" s="190"/>
      <c r="C211" s="130">
        <f t="shared" ca="1" si="8"/>
        <v>190</v>
      </c>
      <c r="D211" s="438"/>
      <c r="E211" s="251" t="s">
        <v>1726</v>
      </c>
      <c r="F211" s="432"/>
      <c r="G211" s="366"/>
      <c r="H211" s="220" t="s">
        <v>1845</v>
      </c>
      <c r="I211" s="426" t="s">
        <v>1846</v>
      </c>
      <c r="J211" s="75" t="s">
        <v>15</v>
      </c>
      <c r="K211" s="407">
        <v>46085</v>
      </c>
      <c r="L211" s="40" t="s">
        <v>6</v>
      </c>
      <c r="M211" s="445" t="s">
        <v>1004</v>
      </c>
      <c r="N211" s="141" t="s">
        <v>15</v>
      </c>
      <c r="O211" s="222"/>
      <c r="P211" s="193"/>
      <c r="Q211" s="194"/>
      <c r="R211" s="208"/>
    </row>
    <row r="212" spans="1:18" ht="15.75" customHeight="1" x14ac:dyDescent="0.3">
      <c r="A212" s="190"/>
      <c r="B212" s="190"/>
      <c r="C212" s="130">
        <f t="shared" ca="1" si="8"/>
        <v>191</v>
      </c>
      <c r="D212" s="658" t="s">
        <v>2057</v>
      </c>
      <c r="E212" s="547" t="s">
        <v>198</v>
      </c>
      <c r="F212" s="436" t="s">
        <v>207</v>
      </c>
      <c r="G212" s="548"/>
      <c r="H212" s="342" t="s">
        <v>219</v>
      </c>
      <c r="I212" s="225" t="s">
        <v>2058</v>
      </c>
      <c r="J212" s="75" t="s">
        <v>15</v>
      </c>
      <c r="K212" s="407">
        <v>46085</v>
      </c>
      <c r="L212" s="40" t="s">
        <v>6</v>
      </c>
      <c r="M212" s="445" t="s">
        <v>2059</v>
      </c>
      <c r="N212" s="141" t="s">
        <v>15</v>
      </c>
      <c r="O212" s="222"/>
      <c r="P212" s="193"/>
      <c r="Q212" s="194"/>
      <c r="R212" s="394"/>
    </row>
    <row r="213" spans="1:18" ht="55.2" x14ac:dyDescent="0.3">
      <c r="A213" s="190"/>
      <c r="B213" s="190"/>
      <c r="C213" s="130">
        <f t="shared" ca="1" si="8"/>
        <v>192</v>
      </c>
      <c r="D213" s="636"/>
      <c r="E213" s="223" t="s">
        <v>200</v>
      </c>
      <c r="F213" s="436" t="s">
        <v>207</v>
      </c>
      <c r="G213" s="220"/>
      <c r="H213" s="220" t="s">
        <v>1743</v>
      </c>
      <c r="I213" s="342" t="s">
        <v>2060</v>
      </c>
      <c r="J213" s="75" t="s">
        <v>15</v>
      </c>
      <c r="K213" s="407">
        <v>46085</v>
      </c>
      <c r="L213" s="40" t="s">
        <v>6</v>
      </c>
      <c r="M213" s="445" t="s">
        <v>1007</v>
      </c>
      <c r="N213" s="141" t="s">
        <v>15</v>
      </c>
      <c r="O213" s="222"/>
      <c r="P213" s="193"/>
      <c r="Q213" s="194"/>
      <c r="R213" s="415"/>
    </row>
    <row r="214" spans="1:18" ht="82.8" x14ac:dyDescent="0.3">
      <c r="A214" s="190"/>
      <c r="B214" s="190"/>
      <c r="C214" s="130">
        <f t="shared" ca="1" si="8"/>
        <v>193</v>
      </c>
      <c r="D214" s="636"/>
      <c r="E214" s="549" t="s">
        <v>433</v>
      </c>
      <c r="F214" s="436" t="s">
        <v>207</v>
      </c>
      <c r="G214" s="538"/>
      <c r="H214" s="225" t="s">
        <v>2061</v>
      </c>
      <c r="I214" s="342" t="s">
        <v>2062</v>
      </c>
      <c r="J214" s="75" t="s">
        <v>15</v>
      </c>
      <c r="K214" s="407">
        <v>46085</v>
      </c>
      <c r="L214" s="40" t="s">
        <v>6</v>
      </c>
      <c r="M214" s="445" t="s">
        <v>2063</v>
      </c>
      <c r="N214" s="141" t="s">
        <v>15</v>
      </c>
      <c r="O214" s="222"/>
      <c r="P214" s="193"/>
      <c r="Q214" s="194"/>
      <c r="R214" s="415"/>
    </row>
    <row r="215" spans="1:18" ht="82.8" x14ac:dyDescent="0.3">
      <c r="A215" s="190"/>
      <c r="B215" s="190"/>
      <c r="C215" s="130">
        <f t="shared" ca="1" si="8"/>
        <v>194</v>
      </c>
      <c r="D215" s="636"/>
      <c r="E215" s="683"/>
      <c r="F215" s="436" t="s">
        <v>207</v>
      </c>
      <c r="G215" s="538"/>
      <c r="H215" s="225" t="s">
        <v>1909</v>
      </c>
      <c r="I215" s="225" t="s">
        <v>1910</v>
      </c>
      <c r="J215" s="75" t="s">
        <v>15</v>
      </c>
      <c r="K215" s="407">
        <v>46085</v>
      </c>
      <c r="L215" s="40" t="s">
        <v>6</v>
      </c>
      <c r="M215" s="445" t="s">
        <v>2064</v>
      </c>
      <c r="N215" s="141" t="s">
        <v>15</v>
      </c>
      <c r="O215" s="222"/>
      <c r="P215" s="193"/>
      <c r="Q215" s="194"/>
      <c r="R215" s="415"/>
    </row>
    <row r="216" spans="1:18" ht="96.6" x14ac:dyDescent="0.3">
      <c r="A216" s="190"/>
      <c r="B216" s="190"/>
      <c r="C216" s="130">
        <f t="shared" ca="1" si="8"/>
        <v>195</v>
      </c>
      <c r="D216" s="635"/>
      <c r="E216" s="607"/>
      <c r="F216" s="436" t="s">
        <v>207</v>
      </c>
      <c r="G216" s="538"/>
      <c r="H216" s="342" t="s">
        <v>2065</v>
      </c>
      <c r="I216" s="426" t="s">
        <v>1913</v>
      </c>
      <c r="J216" s="75" t="s">
        <v>15</v>
      </c>
      <c r="K216" s="407">
        <v>46085</v>
      </c>
      <c r="L216" s="40" t="s">
        <v>6</v>
      </c>
      <c r="M216" s="336" t="s">
        <v>1011</v>
      </c>
      <c r="N216" s="141" t="s">
        <v>15</v>
      </c>
      <c r="O216" s="222"/>
      <c r="P216" s="193"/>
      <c r="Q216" s="194"/>
      <c r="R216" s="415"/>
    </row>
    <row r="217" spans="1:18" ht="15.75" customHeight="1" x14ac:dyDescent="0.3">
      <c r="A217" s="190"/>
      <c r="B217" s="190"/>
      <c r="C217" s="130">
        <f t="shared" ca="1" si="8"/>
        <v>196</v>
      </c>
      <c r="D217" s="233" t="s">
        <v>1916</v>
      </c>
      <c r="E217" s="547" t="s">
        <v>198</v>
      </c>
      <c r="F217" s="436" t="s">
        <v>207</v>
      </c>
      <c r="G217" s="548"/>
      <c r="H217" s="342" t="s">
        <v>219</v>
      </c>
      <c r="I217" s="225" t="s">
        <v>1917</v>
      </c>
      <c r="J217" s="75" t="s">
        <v>15</v>
      </c>
      <c r="K217" s="407">
        <v>46085</v>
      </c>
      <c r="L217" s="40" t="s">
        <v>6</v>
      </c>
      <c r="M217" s="445" t="s">
        <v>2066</v>
      </c>
      <c r="N217" s="141" t="s">
        <v>15</v>
      </c>
      <c r="O217" s="222"/>
      <c r="P217" s="193"/>
      <c r="Q217" s="194"/>
      <c r="R217" s="415"/>
    </row>
    <row r="218" spans="1:18" ht="15.75" customHeight="1" x14ac:dyDescent="0.3">
      <c r="A218" s="190"/>
      <c r="B218" s="190"/>
      <c r="C218" s="130">
        <f t="shared" ca="1" si="8"/>
        <v>197</v>
      </c>
      <c r="D218" s="550" t="s">
        <v>2067</v>
      </c>
      <c r="E218" s="433" t="s">
        <v>435</v>
      </c>
      <c r="F218" s="436" t="s">
        <v>207</v>
      </c>
      <c r="G218" s="548"/>
      <c r="H218" s="225" t="s">
        <v>2068</v>
      </c>
      <c r="I218" s="225" t="s">
        <v>2069</v>
      </c>
      <c r="J218" s="75" t="s">
        <v>15</v>
      </c>
      <c r="K218" s="407">
        <v>46085</v>
      </c>
      <c r="L218" s="40" t="s">
        <v>6</v>
      </c>
      <c r="M218" s="445" t="s">
        <v>2070</v>
      </c>
      <c r="N218" s="141" t="s">
        <v>15</v>
      </c>
      <c r="O218" s="222"/>
      <c r="P218" s="193"/>
      <c r="Q218" s="194"/>
      <c r="R218" s="394"/>
    </row>
    <row r="219" spans="1:18" ht="15.75" customHeight="1" x14ac:dyDescent="0.3">
      <c r="A219" s="190"/>
      <c r="B219" s="190"/>
      <c r="C219" s="130">
        <f t="shared" ca="1" si="8"/>
        <v>198</v>
      </c>
      <c r="D219" s="352"/>
      <c r="E219" s="683" t="s">
        <v>444</v>
      </c>
      <c r="F219" s="436" t="s">
        <v>207</v>
      </c>
      <c r="G219" s="220" t="s">
        <v>1929</v>
      </c>
      <c r="H219" s="342" t="s">
        <v>1930</v>
      </c>
      <c r="I219" s="426" t="s">
        <v>2071</v>
      </c>
      <c r="J219" s="75" t="s">
        <v>15</v>
      </c>
      <c r="K219" s="407">
        <v>46085</v>
      </c>
      <c r="L219" s="40" t="s">
        <v>6</v>
      </c>
      <c r="M219" s="445" t="s">
        <v>2072</v>
      </c>
      <c r="N219" s="141" t="s">
        <v>15</v>
      </c>
      <c r="O219" s="222"/>
      <c r="P219" s="193"/>
      <c r="Q219" s="194"/>
      <c r="R219" s="415"/>
    </row>
    <row r="220" spans="1:18" ht="15.75" customHeight="1" x14ac:dyDescent="0.3">
      <c r="A220" s="190"/>
      <c r="B220" s="190"/>
      <c r="C220" s="130">
        <f t="shared" ca="1" si="8"/>
        <v>199</v>
      </c>
      <c r="D220" s="352"/>
      <c r="E220" s="607"/>
      <c r="F220" s="436" t="s">
        <v>207</v>
      </c>
      <c r="G220" s="220" t="s">
        <v>1933</v>
      </c>
      <c r="H220" s="342" t="s">
        <v>1934</v>
      </c>
      <c r="I220" s="426" t="s">
        <v>1931</v>
      </c>
      <c r="J220" s="75" t="s">
        <v>15</v>
      </c>
      <c r="K220" s="407">
        <v>46085</v>
      </c>
      <c r="L220" s="40" t="s">
        <v>6</v>
      </c>
      <c r="M220" s="445" t="s">
        <v>1015</v>
      </c>
      <c r="N220" s="141" t="s">
        <v>15</v>
      </c>
      <c r="O220" s="222"/>
      <c r="P220" s="193"/>
      <c r="Q220" s="194"/>
      <c r="R220" s="415"/>
    </row>
    <row r="221" spans="1:18" ht="15.75" customHeight="1" x14ac:dyDescent="0.3">
      <c r="A221" s="190"/>
      <c r="B221" s="190"/>
      <c r="C221" s="130">
        <f t="shared" ca="1" si="8"/>
        <v>200</v>
      </c>
      <c r="D221" s="352"/>
      <c r="E221" s="607"/>
      <c r="F221" s="436" t="s">
        <v>207</v>
      </c>
      <c r="G221" s="220" t="s">
        <v>1936</v>
      </c>
      <c r="H221" s="342" t="s">
        <v>1937</v>
      </c>
      <c r="I221" s="342" t="s">
        <v>2062</v>
      </c>
      <c r="J221" s="75" t="s">
        <v>15</v>
      </c>
      <c r="K221" s="407">
        <v>46085</v>
      </c>
      <c r="L221" s="40" t="s">
        <v>6</v>
      </c>
      <c r="M221" s="445" t="s">
        <v>1017</v>
      </c>
      <c r="N221" s="141" t="s">
        <v>15</v>
      </c>
      <c r="O221" s="222"/>
      <c r="P221" s="193"/>
      <c r="Q221" s="194"/>
      <c r="R221" s="415"/>
    </row>
    <row r="222" spans="1:18" ht="15.75" customHeight="1" x14ac:dyDescent="0.3">
      <c r="A222" s="190"/>
      <c r="B222" s="190"/>
      <c r="C222" s="130">
        <f t="shared" ca="1" si="8"/>
        <v>201</v>
      </c>
      <c r="D222" s="352"/>
      <c r="E222" s="610"/>
      <c r="F222" s="436" t="s">
        <v>207</v>
      </c>
      <c r="G222" s="220" t="s">
        <v>1941</v>
      </c>
      <c r="H222" s="342" t="s">
        <v>1942</v>
      </c>
      <c r="I222" s="225" t="s">
        <v>1943</v>
      </c>
      <c r="J222" s="75" t="s">
        <v>15</v>
      </c>
      <c r="K222" s="407">
        <v>46085</v>
      </c>
      <c r="L222" s="40" t="s">
        <v>6</v>
      </c>
      <c r="M222" s="445" t="s">
        <v>2073</v>
      </c>
      <c r="N222" s="141" t="s">
        <v>15</v>
      </c>
      <c r="O222" s="222"/>
      <c r="P222" s="193"/>
      <c r="Q222" s="194"/>
      <c r="R222" s="415"/>
    </row>
    <row r="223" spans="1:18" ht="41.4" x14ac:dyDescent="0.3">
      <c r="A223" s="190"/>
      <c r="B223" s="190"/>
      <c r="C223" s="130">
        <f t="shared" ca="1" si="8"/>
        <v>202</v>
      </c>
      <c r="D223" s="551" t="s">
        <v>1945</v>
      </c>
      <c r="E223" s="551" t="s">
        <v>1647</v>
      </c>
      <c r="F223" s="219"/>
      <c r="G223" s="366"/>
      <c r="H223" s="258" t="s">
        <v>466</v>
      </c>
      <c r="I223" s="420" t="s">
        <v>1946</v>
      </c>
      <c r="J223" s="75" t="s">
        <v>15</v>
      </c>
      <c r="K223" s="407">
        <v>46085</v>
      </c>
      <c r="L223" s="40" t="s">
        <v>6</v>
      </c>
      <c r="M223" s="445" t="s">
        <v>2074</v>
      </c>
      <c r="N223" s="141" t="s">
        <v>15</v>
      </c>
      <c r="O223" s="222"/>
      <c r="P223" s="193"/>
      <c r="Q223" s="194"/>
      <c r="R223" s="208"/>
    </row>
    <row r="224" spans="1:18" ht="207.75" customHeight="1" x14ac:dyDescent="0.3">
      <c r="A224" s="190"/>
      <c r="B224" s="190"/>
      <c r="C224" s="130">
        <f t="shared" ca="1" si="8"/>
        <v>203</v>
      </c>
      <c r="D224" s="442" t="s">
        <v>2075</v>
      </c>
      <c r="E224" s="442" t="s">
        <v>1647</v>
      </c>
      <c r="F224" s="251"/>
      <c r="G224" s="427"/>
      <c r="H224" s="220" t="s">
        <v>2076</v>
      </c>
      <c r="I224" s="342" t="s">
        <v>2077</v>
      </c>
      <c r="J224" s="75" t="s">
        <v>15</v>
      </c>
      <c r="K224" s="407">
        <v>46085</v>
      </c>
      <c r="L224" s="40" t="s">
        <v>6</v>
      </c>
      <c r="M224" s="445" t="s">
        <v>2078</v>
      </c>
      <c r="N224" s="141" t="s">
        <v>15</v>
      </c>
      <c r="O224" s="117" t="s">
        <v>211</v>
      </c>
      <c r="P224" s="193"/>
      <c r="Q224" s="194" t="s">
        <v>431</v>
      </c>
      <c r="R224" s="394" t="s">
        <v>2079</v>
      </c>
    </row>
    <row r="225" spans="1:18" ht="81.75" customHeight="1" x14ac:dyDescent="0.3">
      <c r="A225" s="190"/>
      <c r="B225" s="190"/>
      <c r="C225" s="130">
        <f t="shared" ca="1" si="8"/>
        <v>204</v>
      </c>
      <c r="D225" s="442"/>
      <c r="E225" s="251" t="s">
        <v>223</v>
      </c>
      <c r="F225" s="251"/>
      <c r="G225" s="427"/>
      <c r="H225" s="220" t="s">
        <v>2080</v>
      </c>
      <c r="I225" s="426" t="s">
        <v>2081</v>
      </c>
      <c r="J225" s="75" t="s">
        <v>15</v>
      </c>
      <c r="K225" s="407">
        <v>46085</v>
      </c>
      <c r="L225" s="40" t="s">
        <v>6</v>
      </c>
      <c r="M225" s="445" t="s">
        <v>2082</v>
      </c>
      <c r="N225" s="141" t="s">
        <v>15</v>
      </c>
      <c r="O225" s="222"/>
      <c r="P225" s="193"/>
      <c r="Q225" s="194"/>
      <c r="R225" s="208"/>
    </row>
    <row r="226" spans="1:18" ht="27.6" x14ac:dyDescent="0.3">
      <c r="A226" s="190"/>
      <c r="B226" s="190"/>
      <c r="C226" s="130">
        <f t="shared" ca="1" si="8"/>
        <v>205</v>
      </c>
      <c r="D226" s="551" t="s">
        <v>1957</v>
      </c>
      <c r="E226" s="551" t="s">
        <v>1647</v>
      </c>
      <c r="F226" s="219"/>
      <c r="G226" s="366"/>
      <c r="H226" s="258" t="s">
        <v>466</v>
      </c>
      <c r="I226" s="420" t="s">
        <v>1958</v>
      </c>
      <c r="J226" s="75" t="s">
        <v>15</v>
      </c>
      <c r="K226" s="407">
        <v>46085</v>
      </c>
      <c r="L226" s="40" t="s">
        <v>6</v>
      </c>
      <c r="M226" s="445" t="s">
        <v>2083</v>
      </c>
      <c r="N226" s="141" t="s">
        <v>15</v>
      </c>
      <c r="O226" s="222"/>
      <c r="P226" s="193"/>
      <c r="Q226" s="194"/>
      <c r="R226" s="208"/>
    </row>
    <row r="227" spans="1:18" ht="15.75" customHeight="1" x14ac:dyDescent="0.3">
      <c r="A227" s="190"/>
      <c r="B227" s="190"/>
      <c r="C227" s="130">
        <f t="shared" ca="1" si="8"/>
        <v>206</v>
      </c>
      <c r="D227" s="523" t="s">
        <v>1967</v>
      </c>
      <c r="E227" s="542" t="s">
        <v>435</v>
      </c>
      <c r="F227" s="527" t="s">
        <v>207</v>
      </c>
      <c r="G227" s="220"/>
      <c r="H227" s="226" t="s">
        <v>466</v>
      </c>
      <c r="I227" s="220" t="s">
        <v>2084</v>
      </c>
      <c r="J227" s="75" t="s">
        <v>15</v>
      </c>
      <c r="K227" s="407">
        <v>46085</v>
      </c>
      <c r="L227" s="40" t="s">
        <v>6</v>
      </c>
      <c r="M227" s="445" t="s">
        <v>2085</v>
      </c>
      <c r="N227" s="141" t="s">
        <v>15</v>
      </c>
      <c r="O227" s="117"/>
      <c r="P227" s="193"/>
      <c r="Q227" s="194"/>
      <c r="R227" s="394"/>
    </row>
    <row r="228" spans="1:18" ht="15.75" customHeight="1" x14ac:dyDescent="0.3">
      <c r="A228" s="190"/>
      <c r="B228" s="190"/>
      <c r="C228" s="130">
        <f t="shared" ca="1" si="8"/>
        <v>207</v>
      </c>
      <c r="D228" s="528"/>
      <c r="E228" s="84" t="s">
        <v>216</v>
      </c>
      <c r="F228" s="529"/>
      <c r="G228" s="220"/>
      <c r="H228" s="226" t="s">
        <v>1970</v>
      </c>
      <c r="I228" s="226" t="s">
        <v>1971</v>
      </c>
      <c r="J228" s="75" t="s">
        <v>15</v>
      </c>
      <c r="K228" s="407">
        <v>46085</v>
      </c>
      <c r="L228" s="40" t="s">
        <v>6</v>
      </c>
      <c r="M228" s="349" t="s">
        <v>2086</v>
      </c>
      <c r="N228" s="75" t="s">
        <v>15</v>
      </c>
      <c r="O228" s="117"/>
      <c r="P228" s="194"/>
      <c r="Q228" s="194"/>
      <c r="R228" s="303"/>
    </row>
    <row r="229" spans="1:18" ht="15.75" customHeight="1" x14ac:dyDescent="0.3">
      <c r="A229" s="190"/>
      <c r="B229" s="190"/>
      <c r="C229" s="130">
        <f t="shared" ca="1" si="8"/>
        <v>208</v>
      </c>
      <c r="D229" s="523" t="s">
        <v>1974</v>
      </c>
      <c r="E229" s="542" t="s">
        <v>435</v>
      </c>
      <c r="F229" s="527" t="s">
        <v>207</v>
      </c>
      <c r="G229" s="220"/>
      <c r="H229" s="220" t="s">
        <v>225</v>
      </c>
      <c r="I229" s="220" t="s">
        <v>2084</v>
      </c>
      <c r="J229" s="75" t="s">
        <v>15</v>
      </c>
      <c r="K229" s="407">
        <v>46085</v>
      </c>
      <c r="L229" s="40" t="s">
        <v>6</v>
      </c>
      <c r="M229" s="349" t="s">
        <v>2087</v>
      </c>
      <c r="N229" s="75" t="s">
        <v>15</v>
      </c>
      <c r="O229" s="117"/>
      <c r="P229" s="193"/>
      <c r="Q229" s="194"/>
      <c r="R229" s="394"/>
    </row>
    <row r="230" spans="1:18" ht="15.75" customHeight="1" x14ac:dyDescent="0.3">
      <c r="A230" s="190"/>
      <c r="B230" s="190"/>
      <c r="C230" s="130">
        <f t="shared" ca="1" si="8"/>
        <v>209</v>
      </c>
      <c r="D230" s="528"/>
      <c r="E230" s="84" t="s">
        <v>216</v>
      </c>
      <c r="F230" s="529"/>
      <c r="G230" s="220"/>
      <c r="H230" s="226" t="s">
        <v>1970</v>
      </c>
      <c r="I230" s="226" t="s">
        <v>1971</v>
      </c>
      <c r="J230" s="75" t="s">
        <v>15</v>
      </c>
      <c r="K230" s="407">
        <v>46085</v>
      </c>
      <c r="L230" s="40" t="s">
        <v>6</v>
      </c>
      <c r="M230" s="349" t="s">
        <v>2088</v>
      </c>
      <c r="N230" s="75" t="s">
        <v>15</v>
      </c>
      <c r="O230" s="117"/>
      <c r="P230" s="193"/>
      <c r="Q230" s="194"/>
      <c r="R230" s="208"/>
    </row>
    <row r="231" spans="1:18" ht="96.6" x14ac:dyDescent="0.3">
      <c r="A231" s="190"/>
      <c r="B231" s="190"/>
      <c r="C231" s="130">
        <f t="shared" ca="1" si="8"/>
        <v>210</v>
      </c>
      <c r="D231" s="665" t="s">
        <v>2089</v>
      </c>
      <c r="E231" s="219" t="s">
        <v>2090</v>
      </c>
      <c r="F231" s="432"/>
      <c r="G231" s="366"/>
      <c r="H231" s="226" t="s">
        <v>2091</v>
      </c>
      <c r="I231" s="226" t="s">
        <v>2092</v>
      </c>
      <c r="J231" s="75" t="s">
        <v>15</v>
      </c>
      <c r="K231" s="407">
        <v>46085</v>
      </c>
      <c r="L231" s="40" t="s">
        <v>6</v>
      </c>
      <c r="M231" s="349" t="s">
        <v>2093</v>
      </c>
      <c r="N231" s="75" t="s">
        <v>15</v>
      </c>
      <c r="O231" s="117"/>
      <c r="P231" s="193"/>
      <c r="Q231" s="194"/>
      <c r="R231" s="129"/>
    </row>
    <row r="232" spans="1:18" ht="92.4" x14ac:dyDescent="0.3">
      <c r="A232" s="190"/>
      <c r="B232" s="190"/>
      <c r="C232" s="130">
        <f t="shared" ca="1" si="8"/>
        <v>211</v>
      </c>
      <c r="D232" s="636"/>
      <c r="E232" s="219"/>
      <c r="F232" s="432"/>
      <c r="G232" s="366" t="s">
        <v>2094</v>
      </c>
      <c r="H232" s="226" t="s">
        <v>2095</v>
      </c>
      <c r="I232" s="261" t="s">
        <v>2096</v>
      </c>
      <c r="J232" s="75" t="s">
        <v>15</v>
      </c>
      <c r="K232" s="407">
        <v>46085</v>
      </c>
      <c r="L232" s="40" t="s">
        <v>6</v>
      </c>
      <c r="M232" s="349" t="s">
        <v>1031</v>
      </c>
      <c r="N232" s="75" t="s">
        <v>15</v>
      </c>
      <c r="O232" s="117" t="s">
        <v>211</v>
      </c>
      <c r="P232" s="193"/>
      <c r="Q232" s="194" t="s">
        <v>431</v>
      </c>
      <c r="R232" s="360" t="s">
        <v>2097</v>
      </c>
    </row>
    <row r="233" spans="1:18" ht="92.4" x14ac:dyDescent="0.3">
      <c r="A233" s="190"/>
      <c r="B233" s="190"/>
      <c r="C233" s="130">
        <f t="shared" ca="1" si="8"/>
        <v>212</v>
      </c>
      <c r="D233" s="636"/>
      <c r="E233" s="219"/>
      <c r="F233" s="432"/>
      <c r="G233" s="422"/>
      <c r="H233" s="226" t="s">
        <v>2098</v>
      </c>
      <c r="I233" s="261" t="s">
        <v>2096</v>
      </c>
      <c r="J233" s="75" t="s">
        <v>15</v>
      </c>
      <c r="K233" s="407">
        <v>46085</v>
      </c>
      <c r="L233" s="40" t="s">
        <v>6</v>
      </c>
      <c r="M233" s="349" t="s">
        <v>2099</v>
      </c>
      <c r="N233" s="75" t="s">
        <v>15</v>
      </c>
      <c r="O233" s="117" t="s">
        <v>211</v>
      </c>
      <c r="P233" s="193"/>
      <c r="Q233" s="194" t="s">
        <v>431</v>
      </c>
      <c r="R233" s="129" t="s">
        <v>2100</v>
      </c>
    </row>
    <row r="234" spans="1:18" ht="82.8" x14ac:dyDescent="0.3">
      <c r="A234" s="190"/>
      <c r="B234" s="190"/>
      <c r="C234" s="130">
        <f t="shared" ca="1" si="8"/>
        <v>213</v>
      </c>
      <c r="D234" s="636"/>
      <c r="E234" s="219"/>
      <c r="F234" s="432"/>
      <c r="G234" s="422" t="s">
        <v>2101</v>
      </c>
      <c r="H234" s="226" t="s">
        <v>2102</v>
      </c>
      <c r="I234" s="226" t="s">
        <v>2103</v>
      </c>
      <c r="J234" s="75" t="s">
        <v>15</v>
      </c>
      <c r="K234" s="407">
        <v>46085</v>
      </c>
      <c r="L234" s="40" t="s">
        <v>6</v>
      </c>
      <c r="M234" s="349" t="s">
        <v>2104</v>
      </c>
      <c r="N234" s="75" t="s">
        <v>15</v>
      </c>
      <c r="O234" s="117" t="s">
        <v>211</v>
      </c>
      <c r="P234" s="193"/>
      <c r="Q234" s="194" t="s">
        <v>431</v>
      </c>
      <c r="R234" s="129" t="s">
        <v>2105</v>
      </c>
    </row>
    <row r="235" spans="1:18" ht="82.8" x14ac:dyDescent="0.3">
      <c r="A235" s="190"/>
      <c r="B235" s="190"/>
      <c r="C235" s="130">
        <f t="shared" ca="1" si="8"/>
        <v>214</v>
      </c>
      <c r="D235" s="636"/>
      <c r="E235" s="219"/>
      <c r="F235" s="432"/>
      <c r="G235" s="422"/>
      <c r="H235" s="226" t="s">
        <v>2106</v>
      </c>
      <c r="I235" s="226" t="s">
        <v>2103</v>
      </c>
      <c r="J235" s="75" t="s">
        <v>15</v>
      </c>
      <c r="K235" s="407">
        <v>46085</v>
      </c>
      <c r="L235" s="40" t="s">
        <v>6</v>
      </c>
      <c r="M235" s="349" t="s">
        <v>2107</v>
      </c>
      <c r="N235" s="75" t="s">
        <v>15</v>
      </c>
      <c r="O235" s="117" t="s">
        <v>211</v>
      </c>
      <c r="P235" s="193"/>
      <c r="Q235" s="194" t="s">
        <v>431</v>
      </c>
      <c r="R235" s="129" t="s">
        <v>2108</v>
      </c>
    </row>
    <row r="236" spans="1:18" ht="234.6" x14ac:dyDescent="0.3">
      <c r="A236" s="190"/>
      <c r="B236" s="190"/>
      <c r="C236" s="130">
        <f t="shared" ca="1" si="8"/>
        <v>215</v>
      </c>
      <c r="D236" s="636"/>
      <c r="E236" s="219" t="s">
        <v>2109</v>
      </c>
      <c r="F236" s="432"/>
      <c r="G236" s="422"/>
      <c r="H236" s="226" t="s">
        <v>2110</v>
      </c>
      <c r="I236" s="226" t="s">
        <v>2111</v>
      </c>
      <c r="J236" s="75" t="s">
        <v>15</v>
      </c>
      <c r="K236" s="407">
        <v>46085</v>
      </c>
      <c r="L236" s="40" t="s">
        <v>6</v>
      </c>
      <c r="M236" s="349" t="s">
        <v>1035</v>
      </c>
      <c r="N236" s="75" t="s">
        <v>15</v>
      </c>
      <c r="O236" s="117" t="s">
        <v>211</v>
      </c>
      <c r="P236" s="193"/>
      <c r="Q236" s="194" t="s">
        <v>431</v>
      </c>
      <c r="R236" s="129" t="s">
        <v>2112</v>
      </c>
    </row>
    <row r="237" spans="1:18" ht="207" x14ac:dyDescent="0.3">
      <c r="A237" s="190"/>
      <c r="B237" s="190"/>
      <c r="C237" s="130">
        <f t="shared" ca="1" si="8"/>
        <v>216</v>
      </c>
      <c r="D237" s="636"/>
      <c r="E237" s="219" t="s">
        <v>2113</v>
      </c>
      <c r="F237" s="432"/>
      <c r="G237" s="422"/>
      <c r="H237" s="226" t="s">
        <v>2114</v>
      </c>
      <c r="I237" s="226" t="s">
        <v>2115</v>
      </c>
      <c r="J237" s="75" t="s">
        <v>15</v>
      </c>
      <c r="K237" s="407">
        <v>46086</v>
      </c>
      <c r="L237" s="40" t="s">
        <v>6</v>
      </c>
      <c r="M237" s="349" t="s">
        <v>2116</v>
      </c>
      <c r="N237" s="75" t="s">
        <v>15</v>
      </c>
      <c r="O237" s="117" t="s">
        <v>211</v>
      </c>
      <c r="P237" s="193"/>
      <c r="Q237" s="194" t="s">
        <v>431</v>
      </c>
      <c r="R237" s="129" t="s">
        <v>2117</v>
      </c>
    </row>
    <row r="238" spans="1:18" ht="110.4" x14ac:dyDescent="0.3">
      <c r="A238" s="190"/>
      <c r="B238" s="190"/>
      <c r="C238" s="130">
        <f t="shared" ca="1" si="8"/>
        <v>217</v>
      </c>
      <c r="D238" s="635"/>
      <c r="E238" s="251"/>
      <c r="F238" s="432"/>
      <c r="G238" s="422" t="s">
        <v>2118</v>
      </c>
      <c r="H238" s="226" t="s">
        <v>2119</v>
      </c>
      <c r="I238" s="226" t="s">
        <v>2120</v>
      </c>
      <c r="J238" s="75" t="s">
        <v>15</v>
      </c>
      <c r="K238" s="407">
        <v>46086</v>
      </c>
      <c r="L238" s="40" t="s">
        <v>6</v>
      </c>
      <c r="M238" s="349" t="s">
        <v>2121</v>
      </c>
      <c r="N238" s="75" t="s">
        <v>15</v>
      </c>
      <c r="O238" s="117" t="s">
        <v>211</v>
      </c>
      <c r="P238" s="193"/>
      <c r="Q238" s="194" t="s">
        <v>431</v>
      </c>
      <c r="R238" s="129" t="s">
        <v>2122</v>
      </c>
    </row>
    <row r="239" spans="1:18" ht="15.75" customHeight="1" x14ac:dyDescent="0.3">
      <c r="A239" s="190"/>
      <c r="B239" s="190"/>
      <c r="C239" s="130">
        <f t="shared" ca="1" si="8"/>
        <v>218</v>
      </c>
      <c r="D239" s="550" t="s">
        <v>2123</v>
      </c>
      <c r="E239" s="433" t="s">
        <v>435</v>
      </c>
      <c r="F239" s="436" t="s">
        <v>207</v>
      </c>
      <c r="G239" s="548"/>
      <c r="H239" s="225" t="s">
        <v>1921</v>
      </c>
      <c r="I239" s="225" t="s">
        <v>2124</v>
      </c>
      <c r="J239" s="75" t="s">
        <v>15</v>
      </c>
      <c r="K239" s="407">
        <v>46085</v>
      </c>
      <c r="L239" s="40" t="s">
        <v>6</v>
      </c>
      <c r="M239" s="349" t="s">
        <v>1041</v>
      </c>
      <c r="N239" s="75" t="s">
        <v>15</v>
      </c>
      <c r="O239" s="117"/>
      <c r="P239" s="193"/>
      <c r="Q239" s="194"/>
      <c r="R239" s="129"/>
    </row>
    <row r="240" spans="1:18" ht="15.75" customHeight="1" x14ac:dyDescent="0.3">
      <c r="A240" s="190"/>
      <c r="B240" s="190"/>
      <c r="C240" s="130">
        <f t="shared" ca="1" si="8"/>
        <v>219</v>
      </c>
      <c r="D240" s="552"/>
      <c r="E240" s="223" t="s">
        <v>200</v>
      </c>
      <c r="F240" s="436" t="s">
        <v>207</v>
      </c>
      <c r="G240" s="548"/>
      <c r="H240" s="225" t="s">
        <v>1921</v>
      </c>
      <c r="I240" s="225" t="s">
        <v>2125</v>
      </c>
      <c r="J240" s="75" t="s">
        <v>15</v>
      </c>
      <c r="K240" s="407">
        <v>46085</v>
      </c>
      <c r="L240" s="40" t="s">
        <v>6</v>
      </c>
      <c r="M240" s="349" t="s">
        <v>2126</v>
      </c>
      <c r="N240" s="75" t="s">
        <v>15</v>
      </c>
      <c r="O240" s="117"/>
      <c r="P240" s="193"/>
      <c r="Q240" s="194"/>
      <c r="R240" s="129"/>
    </row>
    <row r="241" spans="1:18" ht="41.4" x14ac:dyDescent="0.3">
      <c r="A241" s="190"/>
      <c r="B241" s="190"/>
      <c r="C241" s="130">
        <f t="shared" ca="1" si="8"/>
        <v>220</v>
      </c>
      <c r="D241" s="442"/>
      <c r="E241" s="665" t="s">
        <v>2127</v>
      </c>
      <c r="F241" s="435"/>
      <c r="G241" s="427" t="s">
        <v>2128</v>
      </c>
      <c r="H241" s="226" t="s">
        <v>466</v>
      </c>
      <c r="I241" s="226" t="s">
        <v>2129</v>
      </c>
      <c r="J241" s="75" t="s">
        <v>15</v>
      </c>
      <c r="K241" s="407">
        <v>46085</v>
      </c>
      <c r="L241" s="40" t="s">
        <v>6</v>
      </c>
      <c r="M241" s="349" t="s">
        <v>2130</v>
      </c>
      <c r="N241" s="75" t="s">
        <v>15</v>
      </c>
      <c r="O241" s="117"/>
      <c r="P241" s="193"/>
      <c r="Q241" s="194"/>
      <c r="R241" s="129"/>
    </row>
    <row r="242" spans="1:18" ht="27.6" x14ac:dyDescent="0.3">
      <c r="A242" s="190"/>
      <c r="B242" s="190"/>
      <c r="C242" s="130">
        <f t="shared" ca="1" si="8"/>
        <v>221</v>
      </c>
      <c r="D242" s="442"/>
      <c r="E242" s="635"/>
      <c r="F242" s="435"/>
      <c r="G242" s="427" t="s">
        <v>2131</v>
      </c>
      <c r="H242" s="226" t="s">
        <v>466</v>
      </c>
      <c r="I242" s="226" t="s">
        <v>2132</v>
      </c>
      <c r="J242" s="75" t="s">
        <v>15</v>
      </c>
      <c r="K242" s="407">
        <v>46085</v>
      </c>
      <c r="L242" s="40" t="s">
        <v>6</v>
      </c>
      <c r="M242" s="349" t="s">
        <v>2133</v>
      </c>
      <c r="N242" s="75" t="s">
        <v>15</v>
      </c>
      <c r="O242" s="117"/>
      <c r="P242" s="193"/>
      <c r="Q242" s="194"/>
      <c r="R242" s="129"/>
    </row>
    <row r="243" spans="1:18" ht="15.75" customHeight="1" x14ac:dyDescent="0.3">
      <c r="A243" s="190"/>
      <c r="B243" s="190"/>
      <c r="C243" s="130">
        <f t="shared" ca="1" si="8"/>
        <v>222</v>
      </c>
      <c r="D243" s="352"/>
      <c r="E243" s="549" t="s">
        <v>1926</v>
      </c>
      <c r="F243" s="436"/>
      <c r="G243" s="366"/>
      <c r="H243" s="225" t="s">
        <v>1921</v>
      </c>
      <c r="I243" s="225" t="s">
        <v>1927</v>
      </c>
      <c r="J243" s="75" t="s">
        <v>15</v>
      </c>
      <c r="K243" s="407">
        <v>46085</v>
      </c>
      <c r="L243" s="40" t="s">
        <v>6</v>
      </c>
      <c r="M243" s="349" t="s">
        <v>2134</v>
      </c>
      <c r="N243" s="75" t="s">
        <v>15</v>
      </c>
      <c r="O243" s="117"/>
      <c r="P243" s="193"/>
      <c r="Q243" s="194"/>
      <c r="R243" s="129"/>
    </row>
    <row r="244" spans="1:18" ht="15.75" customHeight="1" x14ac:dyDescent="0.3">
      <c r="A244" s="190"/>
      <c r="B244" s="190"/>
      <c r="C244" s="130">
        <f t="shared" ca="1" si="8"/>
        <v>223</v>
      </c>
      <c r="D244" s="352"/>
      <c r="E244" s="683" t="s">
        <v>444</v>
      </c>
      <c r="F244" s="436" t="s">
        <v>207</v>
      </c>
      <c r="G244" s="220" t="s">
        <v>1929</v>
      </c>
      <c r="H244" s="342" t="s">
        <v>1930</v>
      </c>
      <c r="I244" s="426" t="s">
        <v>1931</v>
      </c>
      <c r="J244" s="75" t="s">
        <v>15</v>
      </c>
      <c r="K244" s="407">
        <v>46085</v>
      </c>
      <c r="L244" s="40" t="s">
        <v>6</v>
      </c>
      <c r="M244" s="544" t="s">
        <v>2135</v>
      </c>
      <c r="N244" s="75" t="s">
        <v>15</v>
      </c>
      <c r="O244" s="117"/>
      <c r="P244" s="193"/>
      <c r="Q244" s="194"/>
      <c r="R244" s="129"/>
    </row>
    <row r="245" spans="1:18" ht="15.75" customHeight="1" x14ac:dyDescent="0.3">
      <c r="A245" s="190"/>
      <c r="B245" s="190"/>
      <c r="C245" s="130">
        <f t="shared" ca="1" si="8"/>
        <v>224</v>
      </c>
      <c r="D245" s="352"/>
      <c r="E245" s="607"/>
      <c r="F245" s="436" t="s">
        <v>207</v>
      </c>
      <c r="G245" s="220" t="s">
        <v>1933</v>
      </c>
      <c r="H245" s="342" t="s">
        <v>1934</v>
      </c>
      <c r="I245" s="426" t="s">
        <v>1931</v>
      </c>
      <c r="J245" s="75" t="s">
        <v>15</v>
      </c>
      <c r="K245" s="407">
        <v>46085</v>
      </c>
      <c r="L245" s="40" t="s">
        <v>6</v>
      </c>
      <c r="M245" s="349" t="s">
        <v>2136</v>
      </c>
      <c r="N245" s="75" t="s">
        <v>15</v>
      </c>
      <c r="O245" s="117"/>
      <c r="P245" s="193"/>
      <c r="Q245" s="194"/>
      <c r="R245" s="129"/>
    </row>
    <row r="246" spans="1:18" ht="15.75" customHeight="1" x14ac:dyDescent="0.3">
      <c r="A246" s="190"/>
      <c r="B246" s="190"/>
      <c r="C246" s="130">
        <f t="shared" ca="1" si="8"/>
        <v>225</v>
      </c>
      <c r="D246" s="352"/>
      <c r="E246" s="607"/>
      <c r="F246" s="436" t="s">
        <v>207</v>
      </c>
      <c r="G246" s="220" t="s">
        <v>2137</v>
      </c>
      <c r="H246" s="342" t="s">
        <v>1937</v>
      </c>
      <c r="I246" s="342" t="s">
        <v>2062</v>
      </c>
      <c r="J246" s="75" t="s">
        <v>15</v>
      </c>
      <c r="K246" s="407">
        <v>46085</v>
      </c>
      <c r="L246" s="40" t="s">
        <v>6</v>
      </c>
      <c r="M246" s="544" t="s">
        <v>2138</v>
      </c>
      <c r="N246" s="75" t="s">
        <v>15</v>
      </c>
      <c r="O246" s="117"/>
      <c r="P246" s="193"/>
      <c r="Q246" s="194"/>
      <c r="R246" s="129"/>
    </row>
    <row r="247" spans="1:18" ht="15.75" customHeight="1" x14ac:dyDescent="0.3">
      <c r="A247" s="190"/>
      <c r="B247" s="190"/>
      <c r="C247" s="130">
        <f t="shared" ca="1" si="8"/>
        <v>226</v>
      </c>
      <c r="D247" s="352"/>
      <c r="E247" s="610"/>
      <c r="F247" s="436" t="s">
        <v>207</v>
      </c>
      <c r="G247" s="220" t="s">
        <v>1941</v>
      </c>
      <c r="H247" s="342" t="s">
        <v>2139</v>
      </c>
      <c r="I247" s="426" t="s">
        <v>1931</v>
      </c>
      <c r="J247" s="75" t="s">
        <v>15</v>
      </c>
      <c r="K247" s="407">
        <v>46085</v>
      </c>
      <c r="L247" s="40" t="s">
        <v>6</v>
      </c>
      <c r="M247" s="349" t="s">
        <v>2140</v>
      </c>
      <c r="N247" s="75" t="s">
        <v>15</v>
      </c>
      <c r="O247" s="117" t="s">
        <v>211</v>
      </c>
      <c r="P247" s="193"/>
      <c r="Q247" s="194" t="s">
        <v>431</v>
      </c>
      <c r="R247" s="129" t="s">
        <v>2141</v>
      </c>
    </row>
    <row r="248" spans="1:18" ht="15.75" customHeight="1" x14ac:dyDescent="0.3">
      <c r="A248" s="190"/>
      <c r="B248" s="190"/>
      <c r="C248" s="130">
        <f t="shared" ca="1" si="8"/>
        <v>227</v>
      </c>
      <c r="D248" s="658" t="s">
        <v>2142</v>
      </c>
      <c r="E248" s="547" t="s">
        <v>198</v>
      </c>
      <c r="F248" s="436" t="s">
        <v>207</v>
      </c>
      <c r="G248" s="548"/>
      <c r="H248" s="342" t="s">
        <v>219</v>
      </c>
      <c r="I248" s="225" t="s">
        <v>2143</v>
      </c>
      <c r="J248" s="75" t="s">
        <v>15</v>
      </c>
      <c r="K248" s="407">
        <v>46085</v>
      </c>
      <c r="L248" s="40" t="s">
        <v>6</v>
      </c>
      <c r="M248" s="349" t="s">
        <v>2144</v>
      </c>
      <c r="N248" s="75" t="s">
        <v>15</v>
      </c>
      <c r="O248" s="117"/>
      <c r="P248" s="193"/>
      <c r="Q248" s="194"/>
      <c r="R248" s="129"/>
    </row>
    <row r="249" spans="1:18" ht="15.75" customHeight="1" x14ac:dyDescent="0.3">
      <c r="A249" s="190"/>
      <c r="B249" s="190"/>
      <c r="C249" s="130">
        <f t="shared" ca="1" si="8"/>
        <v>228</v>
      </c>
      <c r="D249" s="636"/>
      <c r="E249" s="658" t="s">
        <v>435</v>
      </c>
      <c r="F249" s="436" t="s">
        <v>207</v>
      </c>
      <c r="G249" s="548"/>
      <c r="H249" s="553" t="s">
        <v>207</v>
      </c>
      <c r="I249" s="225" t="s">
        <v>2145</v>
      </c>
      <c r="J249" s="75" t="s">
        <v>15</v>
      </c>
      <c r="K249" s="407">
        <v>46085</v>
      </c>
      <c r="L249" s="40" t="s">
        <v>6</v>
      </c>
      <c r="M249" s="349" t="s">
        <v>2146</v>
      </c>
      <c r="N249" s="75" t="s">
        <v>15</v>
      </c>
      <c r="O249" s="117"/>
      <c r="P249" s="193"/>
      <c r="Q249" s="194"/>
      <c r="R249" s="129"/>
    </row>
    <row r="250" spans="1:18" ht="41.4" x14ac:dyDescent="0.3">
      <c r="A250" s="190"/>
      <c r="B250" s="190"/>
      <c r="C250" s="130">
        <f t="shared" ca="1" si="8"/>
        <v>229</v>
      </c>
      <c r="D250" s="636"/>
      <c r="E250" s="636"/>
      <c r="F250" s="436"/>
      <c r="G250" s="366" t="s">
        <v>2147</v>
      </c>
      <c r="H250" s="226" t="s">
        <v>466</v>
      </c>
      <c r="I250" s="226" t="s">
        <v>2148</v>
      </c>
      <c r="J250" s="75" t="s">
        <v>15</v>
      </c>
      <c r="K250" s="407">
        <v>46085</v>
      </c>
      <c r="L250" s="40" t="s">
        <v>6</v>
      </c>
      <c r="M250" s="544" t="s">
        <v>2149</v>
      </c>
      <c r="N250" s="75" t="s">
        <v>15</v>
      </c>
      <c r="O250" s="117"/>
      <c r="P250" s="193"/>
      <c r="Q250" s="194"/>
      <c r="R250" s="129"/>
    </row>
    <row r="251" spans="1:18" ht="27.6" x14ac:dyDescent="0.3">
      <c r="A251" s="190"/>
      <c r="B251" s="190"/>
      <c r="C251" s="130">
        <f t="shared" ca="1" si="8"/>
        <v>230</v>
      </c>
      <c r="D251" s="636"/>
      <c r="E251" s="636"/>
      <c r="F251" s="436"/>
      <c r="G251" s="366" t="s">
        <v>2150</v>
      </c>
      <c r="H251" s="226" t="s">
        <v>466</v>
      </c>
      <c r="I251" s="226" t="s">
        <v>2151</v>
      </c>
      <c r="J251" s="75" t="s">
        <v>15</v>
      </c>
      <c r="K251" s="407">
        <v>46085</v>
      </c>
      <c r="L251" s="40" t="s">
        <v>6</v>
      </c>
      <c r="M251" s="349" t="s">
        <v>2152</v>
      </c>
      <c r="N251" s="75" t="s">
        <v>15</v>
      </c>
      <c r="O251" s="117"/>
      <c r="P251" s="193"/>
      <c r="Q251" s="194"/>
      <c r="R251" s="129"/>
    </row>
    <row r="252" spans="1:18" ht="27.6" x14ac:dyDescent="0.3">
      <c r="A252" s="190"/>
      <c r="B252" s="190"/>
      <c r="C252" s="130">
        <f t="shared" ca="1" si="8"/>
        <v>231</v>
      </c>
      <c r="D252" s="636"/>
      <c r="E252" s="636"/>
      <c r="F252" s="436"/>
      <c r="G252" s="220"/>
      <c r="H252" s="220" t="s">
        <v>1743</v>
      </c>
      <c r="I252" s="225" t="s">
        <v>2153</v>
      </c>
      <c r="J252" s="75" t="s">
        <v>15</v>
      </c>
      <c r="K252" s="407">
        <v>46085</v>
      </c>
      <c r="L252" s="40" t="s">
        <v>6</v>
      </c>
      <c r="M252" s="349" t="s">
        <v>2154</v>
      </c>
      <c r="N252" s="75" t="s">
        <v>15</v>
      </c>
      <c r="O252" s="117"/>
      <c r="P252" s="193"/>
      <c r="Q252" s="194"/>
      <c r="R252" s="129"/>
    </row>
    <row r="253" spans="1:18" ht="69" x14ac:dyDescent="0.3">
      <c r="A253" s="190"/>
      <c r="B253" s="190"/>
      <c r="C253" s="130">
        <f t="shared" ca="1" si="8"/>
        <v>232</v>
      </c>
      <c r="D253" s="636"/>
      <c r="E253" s="683" t="s">
        <v>433</v>
      </c>
      <c r="F253" s="436" t="s">
        <v>207</v>
      </c>
      <c r="G253" s="366" t="s">
        <v>2147</v>
      </c>
      <c r="H253" s="342" t="s">
        <v>2155</v>
      </c>
      <c r="I253" s="342" t="s">
        <v>2062</v>
      </c>
      <c r="J253" s="75" t="s">
        <v>15</v>
      </c>
      <c r="K253" s="407">
        <v>46085</v>
      </c>
      <c r="L253" s="40" t="s">
        <v>6</v>
      </c>
      <c r="M253" s="349" t="s">
        <v>2156</v>
      </c>
      <c r="N253" s="75" t="s">
        <v>15</v>
      </c>
      <c r="O253" s="117"/>
      <c r="P253" s="193"/>
      <c r="Q253" s="194"/>
      <c r="R253" s="129"/>
    </row>
    <row r="254" spans="1:18" ht="69" x14ac:dyDescent="0.3">
      <c r="A254" s="190"/>
      <c r="B254" s="190"/>
      <c r="C254" s="130">
        <f t="shared" ca="1" si="8"/>
        <v>233</v>
      </c>
      <c r="D254" s="636"/>
      <c r="E254" s="607"/>
      <c r="F254" s="436" t="s">
        <v>207</v>
      </c>
      <c r="G254" s="366" t="s">
        <v>2147</v>
      </c>
      <c r="H254" s="342" t="s">
        <v>2157</v>
      </c>
      <c r="I254" s="342" t="s">
        <v>2062</v>
      </c>
      <c r="J254" s="75" t="s">
        <v>15</v>
      </c>
      <c r="K254" s="407">
        <v>46085</v>
      </c>
      <c r="L254" s="40" t="s">
        <v>6</v>
      </c>
      <c r="M254" s="349" t="s">
        <v>2158</v>
      </c>
      <c r="N254" s="75" t="s">
        <v>15</v>
      </c>
      <c r="O254" s="117"/>
      <c r="P254" s="193"/>
      <c r="Q254" s="194"/>
      <c r="R254" s="129"/>
    </row>
    <row r="255" spans="1:18" ht="82.8" x14ac:dyDescent="0.3">
      <c r="A255" s="190"/>
      <c r="B255" s="190"/>
      <c r="C255" s="130">
        <f t="shared" ca="1" si="8"/>
        <v>234</v>
      </c>
      <c r="D255" s="636"/>
      <c r="E255" s="683"/>
      <c r="F255" s="436" t="s">
        <v>207</v>
      </c>
      <c r="G255" s="538"/>
      <c r="H255" s="342" t="s">
        <v>2159</v>
      </c>
      <c r="I255" s="225" t="s">
        <v>2160</v>
      </c>
      <c r="J255" s="75" t="s">
        <v>15</v>
      </c>
      <c r="K255" s="407">
        <v>46085</v>
      </c>
      <c r="L255" s="40" t="s">
        <v>6</v>
      </c>
      <c r="M255" s="349" t="s">
        <v>2161</v>
      </c>
      <c r="N255" s="75" t="s">
        <v>15</v>
      </c>
      <c r="O255" s="117"/>
      <c r="P255" s="193"/>
      <c r="Q255" s="194"/>
      <c r="R255" s="129"/>
    </row>
    <row r="256" spans="1:18" ht="82.8" x14ac:dyDescent="0.3">
      <c r="A256" s="190"/>
      <c r="B256" s="190"/>
      <c r="C256" s="130">
        <f t="shared" ca="1" si="8"/>
        <v>235</v>
      </c>
      <c r="D256" s="635"/>
      <c r="E256" s="607"/>
      <c r="F256" s="436" t="s">
        <v>207</v>
      </c>
      <c r="G256" s="538"/>
      <c r="H256" s="342" t="s">
        <v>2162</v>
      </c>
      <c r="I256" s="426" t="s">
        <v>1931</v>
      </c>
      <c r="J256" s="75" t="s">
        <v>15</v>
      </c>
      <c r="K256" s="407">
        <v>46085</v>
      </c>
      <c r="L256" s="40" t="s">
        <v>6</v>
      </c>
      <c r="M256" s="349" t="s">
        <v>2163</v>
      </c>
      <c r="N256" s="75" t="s">
        <v>15</v>
      </c>
      <c r="O256" s="117"/>
      <c r="P256" s="193"/>
      <c r="Q256" s="194"/>
      <c r="R256" s="129"/>
    </row>
    <row r="257" spans="1:18" ht="15.75" customHeight="1" x14ac:dyDescent="0.3">
      <c r="A257" s="190"/>
      <c r="B257" s="190"/>
      <c r="C257" s="130">
        <f t="shared" ca="1" si="8"/>
        <v>236</v>
      </c>
      <c r="D257" s="181" t="s">
        <v>438</v>
      </c>
      <c r="E257" s="306" t="s">
        <v>435</v>
      </c>
      <c r="F257" s="200" t="s">
        <v>207</v>
      </c>
      <c r="G257" s="354"/>
      <c r="H257" s="127" t="s">
        <v>1818</v>
      </c>
      <c r="I257" s="127" t="s">
        <v>1819</v>
      </c>
      <c r="J257" s="75" t="s">
        <v>15</v>
      </c>
      <c r="K257" s="407">
        <v>46085</v>
      </c>
      <c r="L257" s="40" t="s">
        <v>6</v>
      </c>
      <c r="M257" s="445" t="s">
        <v>2164</v>
      </c>
      <c r="N257" s="141" t="s">
        <v>15</v>
      </c>
      <c r="O257" s="222"/>
      <c r="P257" s="193"/>
      <c r="Q257" s="194"/>
      <c r="R257" s="208"/>
    </row>
    <row r="258" spans="1:18" ht="15.75" customHeight="1" x14ac:dyDescent="0.3">
      <c r="A258" s="190"/>
      <c r="B258" s="190"/>
      <c r="C258" s="130">
        <f t="shared" ca="1" si="8"/>
        <v>237</v>
      </c>
      <c r="D258" s="166" t="s">
        <v>1981</v>
      </c>
      <c r="E258" s="292" t="s">
        <v>435</v>
      </c>
      <c r="F258" s="435" t="s">
        <v>207</v>
      </c>
      <c r="G258" s="427"/>
      <c r="H258" s="220" t="s">
        <v>225</v>
      </c>
      <c r="I258" s="220" t="s">
        <v>2165</v>
      </c>
      <c r="J258" s="75" t="s">
        <v>15</v>
      </c>
      <c r="K258" s="407">
        <v>46085</v>
      </c>
      <c r="L258" s="40" t="s">
        <v>6</v>
      </c>
      <c r="M258" s="445" t="s">
        <v>2166</v>
      </c>
      <c r="N258" s="141" t="s">
        <v>15</v>
      </c>
      <c r="O258" s="117"/>
      <c r="P258" s="193"/>
      <c r="Q258" s="194"/>
      <c r="R258" s="208"/>
    </row>
    <row r="259" spans="1:18" ht="15.75" customHeight="1" x14ac:dyDescent="0.3">
      <c r="A259" s="190"/>
      <c r="B259" s="190"/>
      <c r="C259" s="130">
        <f t="shared" ca="1" si="8"/>
        <v>238</v>
      </c>
      <c r="D259" s="352"/>
      <c r="E259" s="665" t="s">
        <v>216</v>
      </c>
      <c r="F259" s="259"/>
      <c r="G259" s="674" t="s">
        <v>2167</v>
      </c>
      <c r="H259" s="220" t="s">
        <v>2168</v>
      </c>
      <c r="I259" s="226" t="s">
        <v>2169</v>
      </c>
      <c r="J259" s="75" t="s">
        <v>15</v>
      </c>
      <c r="K259" s="407">
        <v>46085</v>
      </c>
      <c r="L259" s="40" t="s">
        <v>6</v>
      </c>
      <c r="M259" s="445" t="s">
        <v>2170</v>
      </c>
      <c r="N259" s="141" t="s">
        <v>15</v>
      </c>
      <c r="O259" s="117"/>
      <c r="P259" s="193"/>
      <c r="Q259" s="194"/>
      <c r="R259" s="208"/>
    </row>
    <row r="260" spans="1:18" ht="126.75" customHeight="1" x14ac:dyDescent="0.3">
      <c r="A260" s="190"/>
      <c r="B260" s="190"/>
      <c r="C260" s="130">
        <f t="shared" ca="1" si="8"/>
        <v>239</v>
      </c>
      <c r="D260" s="442"/>
      <c r="E260" s="636"/>
      <c r="F260" s="432"/>
      <c r="G260" s="636"/>
      <c r="H260" s="220" t="s">
        <v>2171</v>
      </c>
      <c r="I260" s="226" t="s">
        <v>2172</v>
      </c>
      <c r="J260" s="75" t="s">
        <v>15</v>
      </c>
      <c r="K260" s="407">
        <v>46085</v>
      </c>
      <c r="L260" s="40" t="s">
        <v>6</v>
      </c>
      <c r="M260" s="445" t="s">
        <v>2173</v>
      </c>
      <c r="N260" s="141" t="s">
        <v>15</v>
      </c>
      <c r="O260" s="117"/>
      <c r="P260" s="193"/>
      <c r="Q260" s="194"/>
      <c r="R260" s="208"/>
    </row>
    <row r="261" spans="1:18" ht="126.75" customHeight="1" x14ac:dyDescent="0.3">
      <c r="A261" s="190"/>
      <c r="B261" s="190"/>
      <c r="C261" s="130">
        <f t="shared" ca="1" si="8"/>
        <v>240</v>
      </c>
      <c r="D261" s="442"/>
      <c r="E261" s="636"/>
      <c r="F261" s="432"/>
      <c r="G261" s="636"/>
      <c r="H261" s="220" t="s">
        <v>2174</v>
      </c>
      <c r="I261" s="226" t="s">
        <v>2175</v>
      </c>
      <c r="J261" s="75" t="s">
        <v>15</v>
      </c>
      <c r="K261" s="407">
        <v>46085</v>
      </c>
      <c r="L261" s="40" t="s">
        <v>6</v>
      </c>
      <c r="M261" s="445" t="s">
        <v>2176</v>
      </c>
      <c r="N261" s="141" t="s">
        <v>15</v>
      </c>
      <c r="O261" s="117" t="s">
        <v>211</v>
      </c>
      <c r="P261" s="193"/>
      <c r="Q261" s="194" t="s">
        <v>431</v>
      </c>
      <c r="R261" s="129" t="s">
        <v>2177</v>
      </c>
    </row>
    <row r="262" spans="1:18" ht="126.75" customHeight="1" x14ac:dyDescent="0.3">
      <c r="A262" s="190"/>
      <c r="B262" s="190"/>
      <c r="C262" s="130">
        <f t="shared" ca="1" si="8"/>
        <v>241</v>
      </c>
      <c r="D262" s="442"/>
      <c r="E262" s="636"/>
      <c r="F262" s="432"/>
      <c r="G262" s="636"/>
      <c r="H262" s="220" t="s">
        <v>2178</v>
      </c>
      <c r="I262" s="226" t="s">
        <v>2179</v>
      </c>
      <c r="J262" s="75" t="s">
        <v>15</v>
      </c>
      <c r="K262" s="407">
        <v>46085</v>
      </c>
      <c r="L262" s="40" t="s">
        <v>6</v>
      </c>
      <c r="M262" s="445" t="s">
        <v>2180</v>
      </c>
      <c r="N262" s="141" t="s">
        <v>15</v>
      </c>
      <c r="O262" s="117" t="s">
        <v>211</v>
      </c>
      <c r="P262" s="193"/>
      <c r="Q262" s="194" t="s">
        <v>431</v>
      </c>
      <c r="R262" s="129" t="s">
        <v>2181</v>
      </c>
    </row>
    <row r="263" spans="1:18" ht="126.75" customHeight="1" x14ac:dyDescent="0.3">
      <c r="A263" s="190"/>
      <c r="B263" s="190"/>
      <c r="C263" s="130">
        <f t="shared" ca="1" si="8"/>
        <v>242</v>
      </c>
      <c r="D263" s="442"/>
      <c r="E263" s="636"/>
      <c r="F263" s="432"/>
      <c r="G263" s="636"/>
      <c r="H263" s="220" t="s">
        <v>2182</v>
      </c>
      <c r="I263" s="226" t="s">
        <v>2179</v>
      </c>
      <c r="J263" s="75" t="s">
        <v>15</v>
      </c>
      <c r="K263" s="407">
        <v>46085</v>
      </c>
      <c r="L263" s="40" t="s">
        <v>6</v>
      </c>
      <c r="M263" s="445" t="s">
        <v>2183</v>
      </c>
      <c r="N263" s="141" t="s">
        <v>15</v>
      </c>
      <c r="O263" s="117" t="s">
        <v>211</v>
      </c>
      <c r="P263" s="193"/>
      <c r="Q263" s="194" t="s">
        <v>431</v>
      </c>
      <c r="R263" s="129" t="s">
        <v>2184</v>
      </c>
    </row>
    <row r="264" spans="1:18" ht="177" customHeight="1" x14ac:dyDescent="0.3">
      <c r="A264" s="190"/>
      <c r="B264" s="190"/>
      <c r="C264" s="130">
        <f t="shared" ca="1" si="8"/>
        <v>243</v>
      </c>
      <c r="D264" s="442"/>
      <c r="E264" s="636"/>
      <c r="F264" s="432"/>
      <c r="G264" s="636"/>
      <c r="H264" s="220" t="s">
        <v>2185</v>
      </c>
      <c r="I264" s="226" t="s">
        <v>2186</v>
      </c>
      <c r="J264" s="75" t="s">
        <v>15</v>
      </c>
      <c r="K264" s="407">
        <v>46085</v>
      </c>
      <c r="L264" s="40" t="s">
        <v>6</v>
      </c>
      <c r="M264" s="445" t="s">
        <v>2187</v>
      </c>
      <c r="N264" s="141" t="s">
        <v>15</v>
      </c>
      <c r="O264" s="117"/>
      <c r="P264" s="193"/>
      <c r="Q264" s="194"/>
      <c r="R264" s="129"/>
    </row>
    <row r="265" spans="1:18" ht="54.75" customHeight="1" x14ac:dyDescent="0.3">
      <c r="A265" s="190"/>
      <c r="B265" s="190"/>
      <c r="C265" s="130">
        <f t="shared" ca="1" si="8"/>
        <v>244</v>
      </c>
      <c r="D265" s="442"/>
      <c r="E265" s="636"/>
      <c r="F265" s="432"/>
      <c r="G265" s="636"/>
      <c r="H265" s="227" t="s">
        <v>2188</v>
      </c>
      <c r="I265" s="428" t="s">
        <v>2001</v>
      </c>
      <c r="J265" s="75" t="s">
        <v>15</v>
      </c>
      <c r="K265" s="407">
        <v>46085</v>
      </c>
      <c r="L265" s="40" t="s">
        <v>6</v>
      </c>
      <c r="M265" s="445" t="s">
        <v>2189</v>
      </c>
      <c r="N265" s="141" t="s">
        <v>15</v>
      </c>
      <c r="O265" s="117"/>
      <c r="P265" s="193"/>
      <c r="Q265" s="194"/>
      <c r="R265" s="208"/>
    </row>
    <row r="266" spans="1:18" ht="126.75" customHeight="1" x14ac:dyDescent="0.3">
      <c r="A266" s="190"/>
      <c r="B266" s="190"/>
      <c r="C266" s="130">
        <f t="shared" ca="1" si="8"/>
        <v>245</v>
      </c>
      <c r="D266" s="442"/>
      <c r="E266" s="635"/>
      <c r="F266" s="432"/>
      <c r="G266" s="635"/>
      <c r="H266" s="220" t="s">
        <v>2190</v>
      </c>
      <c r="I266" s="244" t="s">
        <v>2191</v>
      </c>
      <c r="J266" s="75" t="s">
        <v>15</v>
      </c>
      <c r="K266" s="407">
        <v>46085</v>
      </c>
      <c r="L266" s="40" t="s">
        <v>6</v>
      </c>
      <c r="M266" s="445" t="s">
        <v>1107</v>
      </c>
      <c r="N266" s="141" t="s">
        <v>15</v>
      </c>
      <c r="O266" s="117"/>
      <c r="P266" s="193"/>
      <c r="Q266" s="194"/>
      <c r="R266" s="208" t="s">
        <v>443</v>
      </c>
    </row>
    <row r="267" spans="1:18" ht="15.75" customHeight="1" x14ac:dyDescent="0.3">
      <c r="A267" s="190"/>
      <c r="B267" s="652" t="s">
        <v>220</v>
      </c>
      <c r="C267" s="602"/>
      <c r="D267" s="602"/>
      <c r="E267" s="602"/>
      <c r="F267" s="602"/>
      <c r="G267" s="602"/>
      <c r="H267" s="602"/>
      <c r="I267" s="602"/>
      <c r="J267" s="602"/>
      <c r="K267" s="602"/>
      <c r="L267" s="602"/>
      <c r="M267" s="602"/>
      <c r="N267" s="602"/>
      <c r="O267" s="602"/>
      <c r="P267" s="602"/>
      <c r="Q267" s="602"/>
      <c r="R267" s="602"/>
    </row>
    <row r="268" spans="1:18" ht="15.75" customHeight="1" x14ac:dyDescent="0.3">
      <c r="A268" s="190"/>
      <c r="B268" s="190"/>
      <c r="C268" s="130">
        <f t="shared" ref="C268:C272" ca="1" si="9">1+COUNT(INDIRECT("A1:"&amp;(ADDRESS(ROW()-1,COLUMN()))))</f>
        <v>246</v>
      </c>
      <c r="D268" s="438" t="s">
        <v>2192</v>
      </c>
      <c r="E268" s="439"/>
      <c r="F268" s="554"/>
      <c r="G268" s="366" t="s">
        <v>2193</v>
      </c>
      <c r="H268" s="342" t="s">
        <v>233</v>
      </c>
      <c r="I268" s="342" t="s">
        <v>2194</v>
      </c>
      <c r="J268" s="75" t="s">
        <v>15</v>
      </c>
      <c r="K268" s="407">
        <v>46085</v>
      </c>
      <c r="L268" s="40" t="s">
        <v>6</v>
      </c>
      <c r="M268" s="447" t="s">
        <v>2195</v>
      </c>
      <c r="N268" s="141" t="s">
        <v>15</v>
      </c>
      <c r="O268" s="222"/>
      <c r="P268" s="194"/>
      <c r="Q268" s="194"/>
      <c r="R268" s="208"/>
    </row>
    <row r="269" spans="1:18" ht="15.75" customHeight="1" x14ac:dyDescent="0.3">
      <c r="A269" s="190"/>
      <c r="B269" s="190"/>
      <c r="C269" s="130">
        <f t="shared" ca="1" si="9"/>
        <v>247</v>
      </c>
      <c r="D269" s="438"/>
      <c r="E269" s="439"/>
      <c r="F269" s="554"/>
      <c r="G269" s="366" t="s">
        <v>2196</v>
      </c>
      <c r="H269" s="342" t="s">
        <v>233</v>
      </c>
      <c r="I269" s="342" t="s">
        <v>2197</v>
      </c>
      <c r="J269" s="75" t="s">
        <v>15</v>
      </c>
      <c r="K269" s="407">
        <v>46085</v>
      </c>
      <c r="L269" s="40" t="s">
        <v>6</v>
      </c>
      <c r="M269" s="447" t="s">
        <v>1113</v>
      </c>
      <c r="N269" s="141" t="s">
        <v>15</v>
      </c>
      <c r="O269" s="193"/>
      <c r="P269" s="194"/>
      <c r="Q269" s="194"/>
      <c r="R269" s="208"/>
    </row>
    <row r="270" spans="1:18" ht="15.75" customHeight="1" x14ac:dyDescent="0.3">
      <c r="A270" s="190"/>
      <c r="B270" s="190"/>
      <c r="C270" s="130">
        <f t="shared" ca="1" si="9"/>
        <v>248</v>
      </c>
      <c r="D270" s="352"/>
      <c r="E270" s="442"/>
      <c r="F270" s="555"/>
      <c r="G270" s="220" t="s">
        <v>2198</v>
      </c>
      <c r="H270" s="342" t="s">
        <v>233</v>
      </c>
      <c r="I270" s="342" t="s">
        <v>447</v>
      </c>
      <c r="J270" s="75" t="s">
        <v>15</v>
      </c>
      <c r="K270" s="407">
        <v>46085</v>
      </c>
      <c r="L270" s="40" t="s">
        <v>445</v>
      </c>
      <c r="M270" s="447" t="s">
        <v>1119</v>
      </c>
      <c r="N270" s="141" t="s">
        <v>15</v>
      </c>
      <c r="O270" s="193"/>
      <c r="P270" s="194"/>
      <c r="Q270" s="194"/>
      <c r="R270" s="208" t="s">
        <v>443</v>
      </c>
    </row>
    <row r="271" spans="1:18" ht="15.75" customHeight="1" x14ac:dyDescent="0.3">
      <c r="A271" s="190"/>
      <c r="B271" s="190"/>
      <c r="C271" s="130">
        <f t="shared" ca="1" si="9"/>
        <v>249</v>
      </c>
      <c r="D271" s="352"/>
      <c r="E271" s="442"/>
      <c r="F271" s="555"/>
      <c r="G271" s="220" t="s">
        <v>2199</v>
      </c>
      <c r="H271" s="342" t="s">
        <v>233</v>
      </c>
      <c r="I271" s="342" t="s">
        <v>2200</v>
      </c>
      <c r="J271" s="75" t="s">
        <v>15</v>
      </c>
      <c r="K271" s="407">
        <v>46085</v>
      </c>
      <c r="L271" s="40" t="s">
        <v>6</v>
      </c>
      <c r="M271" s="447" t="s">
        <v>2201</v>
      </c>
      <c r="N271" s="141" t="s">
        <v>15</v>
      </c>
      <c r="O271" s="193"/>
      <c r="P271" s="194"/>
      <c r="Q271" s="194"/>
      <c r="R271" s="208"/>
    </row>
    <row r="272" spans="1:18" ht="15.75" customHeight="1" x14ac:dyDescent="0.3">
      <c r="A272" s="190"/>
      <c r="B272" s="190"/>
      <c r="C272" s="130">
        <f t="shared" ca="1" si="9"/>
        <v>250</v>
      </c>
      <c r="D272" s="556"/>
      <c r="E272" s="262"/>
      <c r="F272" s="555"/>
      <c r="G272" s="220" t="s">
        <v>2202</v>
      </c>
      <c r="H272" s="342" t="s">
        <v>233</v>
      </c>
      <c r="I272" s="342" t="s">
        <v>2203</v>
      </c>
      <c r="J272" s="75" t="s">
        <v>15</v>
      </c>
      <c r="K272" s="407">
        <v>46085</v>
      </c>
      <c r="L272" s="40" t="s">
        <v>445</v>
      </c>
      <c r="M272" s="447" t="s">
        <v>2204</v>
      </c>
      <c r="N272" s="141" t="s">
        <v>15</v>
      </c>
      <c r="O272" s="193"/>
      <c r="P272" s="194"/>
      <c r="Q272" s="194"/>
      <c r="R272" s="208" t="s">
        <v>443</v>
      </c>
    </row>
    <row r="273" spans="1:18" ht="15.75" customHeight="1" x14ac:dyDescent="0.3">
      <c r="A273" s="44"/>
      <c r="B273" s="652" t="s">
        <v>467</v>
      </c>
      <c r="C273" s="602"/>
      <c r="D273" s="602"/>
      <c r="E273" s="602"/>
      <c r="F273" s="602"/>
      <c r="G273" s="602"/>
      <c r="H273" s="602"/>
      <c r="I273" s="602"/>
      <c r="J273" s="602"/>
      <c r="K273" s="602"/>
      <c r="L273" s="602"/>
      <c r="M273" s="602"/>
      <c r="N273" s="602"/>
      <c r="O273" s="602"/>
      <c r="P273" s="602"/>
      <c r="Q273" s="602"/>
      <c r="R273" s="602"/>
    </row>
    <row r="274" spans="1:18" ht="15.75" customHeight="1" x14ac:dyDescent="0.3">
      <c r="A274" s="104"/>
      <c r="B274" s="104"/>
      <c r="C274" s="74">
        <f t="shared" ref="C274:C278" ca="1" si="10">1+COUNT(INDIRECT("A1:"&amp;(ADDRESS(ROW()-1,COLUMN()))))</f>
        <v>251</v>
      </c>
      <c r="D274" s="687" t="s">
        <v>2205</v>
      </c>
      <c r="E274" s="292"/>
      <c r="F274" s="435" t="s">
        <v>207</v>
      </c>
      <c r="G274" s="127" t="s">
        <v>2206</v>
      </c>
      <c r="H274" s="348" t="s">
        <v>2207</v>
      </c>
      <c r="I274" s="454" t="s">
        <v>2208</v>
      </c>
      <c r="J274" s="75" t="s">
        <v>15</v>
      </c>
      <c r="K274" s="407">
        <v>46086</v>
      </c>
      <c r="L274" s="40" t="s">
        <v>6</v>
      </c>
      <c r="M274" s="445" t="s">
        <v>2209</v>
      </c>
      <c r="N274" s="141" t="s">
        <v>15</v>
      </c>
      <c r="O274" s="117"/>
      <c r="P274" s="193"/>
      <c r="Q274" s="40"/>
      <c r="R274" s="364"/>
    </row>
    <row r="275" spans="1:18" ht="15.75" customHeight="1" x14ac:dyDescent="0.3">
      <c r="A275" s="104"/>
      <c r="B275" s="104"/>
      <c r="C275" s="74">
        <f t="shared" ca="1" si="10"/>
        <v>252</v>
      </c>
      <c r="D275" s="636"/>
      <c r="E275" s="292"/>
      <c r="F275" s="435" t="s">
        <v>207</v>
      </c>
      <c r="G275" s="127" t="s">
        <v>2210</v>
      </c>
      <c r="H275" s="348" t="s">
        <v>2211</v>
      </c>
      <c r="I275" s="454" t="s">
        <v>2212</v>
      </c>
      <c r="J275" s="75" t="s">
        <v>15</v>
      </c>
      <c r="K275" s="407">
        <v>46089</v>
      </c>
      <c r="L275" s="40" t="s">
        <v>6</v>
      </c>
      <c r="M275" s="445" t="s">
        <v>2213</v>
      </c>
      <c r="N275" s="141" t="s">
        <v>15</v>
      </c>
      <c r="O275" s="117"/>
      <c r="P275" s="193"/>
      <c r="Q275" s="40"/>
      <c r="R275" s="364"/>
    </row>
    <row r="276" spans="1:18" ht="15.75" customHeight="1" x14ac:dyDescent="0.3">
      <c r="A276" s="104"/>
      <c r="B276" s="104"/>
      <c r="C276" s="74">
        <f t="shared" ca="1" si="10"/>
        <v>253</v>
      </c>
      <c r="D276" s="636"/>
      <c r="E276" s="292"/>
      <c r="F276" s="435"/>
      <c r="G276" s="127" t="s">
        <v>2214</v>
      </c>
      <c r="H276" s="348" t="s">
        <v>2215</v>
      </c>
      <c r="I276" s="454" t="s">
        <v>2212</v>
      </c>
      <c r="J276" s="75" t="s">
        <v>15</v>
      </c>
      <c r="K276" s="407">
        <v>46086</v>
      </c>
      <c r="L276" s="40" t="s">
        <v>6</v>
      </c>
      <c r="M276" s="445" t="s">
        <v>2216</v>
      </c>
      <c r="N276" s="141" t="s">
        <v>15</v>
      </c>
      <c r="O276" s="222"/>
      <c r="P276" s="193"/>
      <c r="Q276" s="40"/>
      <c r="R276" s="364"/>
    </row>
    <row r="277" spans="1:18" ht="15.75" customHeight="1" x14ac:dyDescent="0.3">
      <c r="A277" s="104"/>
      <c r="B277" s="104"/>
      <c r="C277" s="74">
        <f t="shared" ca="1" si="10"/>
        <v>254</v>
      </c>
      <c r="D277" s="636"/>
      <c r="E277" s="292"/>
      <c r="F277" s="435"/>
      <c r="G277" s="127" t="s">
        <v>2217</v>
      </c>
      <c r="H277" s="348" t="s">
        <v>2218</v>
      </c>
      <c r="I277" s="127" t="s">
        <v>2219</v>
      </c>
      <c r="J277" s="75" t="s">
        <v>15</v>
      </c>
      <c r="K277" s="407">
        <v>46086</v>
      </c>
      <c r="L277" s="40" t="s">
        <v>6</v>
      </c>
      <c r="M277" s="445" t="s">
        <v>2220</v>
      </c>
      <c r="N277" s="141" t="s">
        <v>15</v>
      </c>
      <c r="O277" s="222"/>
      <c r="P277" s="193"/>
      <c r="Q277" s="40"/>
      <c r="R277" s="364"/>
    </row>
    <row r="278" spans="1:18" ht="15.75" customHeight="1" x14ac:dyDescent="0.3">
      <c r="A278" s="44"/>
      <c r="B278" s="44"/>
      <c r="C278" s="74">
        <f t="shared" ca="1" si="10"/>
        <v>255</v>
      </c>
      <c r="D278" s="635"/>
      <c r="E278" s="484"/>
      <c r="F278" s="484"/>
      <c r="G278" s="119" t="s">
        <v>2221</v>
      </c>
      <c r="H278" s="453" t="s">
        <v>2222</v>
      </c>
      <c r="I278" s="119" t="s">
        <v>2223</v>
      </c>
      <c r="J278" s="75" t="s">
        <v>15</v>
      </c>
      <c r="K278" s="407">
        <v>46086</v>
      </c>
      <c r="L278" s="40" t="s">
        <v>6</v>
      </c>
      <c r="M278" s="557" t="s">
        <v>2224</v>
      </c>
      <c r="N278" s="141" t="s">
        <v>15</v>
      </c>
      <c r="O278" s="484"/>
      <c r="P278" s="484"/>
      <c r="Q278" s="484"/>
      <c r="R278" s="558"/>
    </row>
  </sheetData>
  <mergeCells count="96">
    <mergeCell ref="P12:P13"/>
    <mergeCell ref="G1:I3"/>
    <mergeCell ref="B6:D6"/>
    <mergeCell ref="B7:D7"/>
    <mergeCell ref="B8:D8"/>
    <mergeCell ref="B9:D9"/>
    <mergeCell ref="N12:N13"/>
    <mergeCell ref="B12:C13"/>
    <mergeCell ref="D12:D13"/>
    <mergeCell ref="I12:I13"/>
    <mergeCell ref="O12:O13"/>
    <mergeCell ref="H12:H13"/>
    <mergeCell ref="J12:J13"/>
    <mergeCell ref="K12:K13"/>
    <mergeCell ref="L12:L13"/>
    <mergeCell ref="M12:M13"/>
    <mergeCell ref="D32:D36"/>
    <mergeCell ref="D43:D44"/>
    <mergeCell ref="D45:D46"/>
    <mergeCell ref="C49:R49"/>
    <mergeCell ref="E12:E13"/>
    <mergeCell ref="F12:F13"/>
    <mergeCell ref="D17:D19"/>
    <mergeCell ref="D20:D23"/>
    <mergeCell ref="D27:D28"/>
    <mergeCell ref="E27:E28"/>
    <mergeCell ref="F27:F28"/>
    <mergeCell ref="Q12:Q13"/>
    <mergeCell ref="R12:R13"/>
    <mergeCell ref="B15:R15"/>
    <mergeCell ref="B25:R25"/>
    <mergeCell ref="G12:G13"/>
    <mergeCell ref="D53:D54"/>
    <mergeCell ref="D55:D56"/>
    <mergeCell ref="D57:D58"/>
    <mergeCell ref="D59:D60"/>
    <mergeCell ref="D61:D62"/>
    <mergeCell ref="D274:D278"/>
    <mergeCell ref="E255:E256"/>
    <mergeCell ref="E259:E266"/>
    <mergeCell ref="G259:G266"/>
    <mergeCell ref="D200:D201"/>
    <mergeCell ref="E200:E201"/>
    <mergeCell ref="D212:D216"/>
    <mergeCell ref="E215:E216"/>
    <mergeCell ref="E219:E222"/>
    <mergeCell ref="E241:E242"/>
    <mergeCell ref="E244:E247"/>
    <mergeCell ref="C129:R129"/>
    <mergeCell ref="D66:D69"/>
    <mergeCell ref="D80:D81"/>
    <mergeCell ref="D101:D102"/>
    <mergeCell ref="E101:E102"/>
    <mergeCell ref="D103:D104"/>
    <mergeCell ref="E105:E106"/>
    <mergeCell ref="E107:E108"/>
    <mergeCell ref="D110:D114"/>
    <mergeCell ref="D115:D116"/>
    <mergeCell ref="D117:D118"/>
    <mergeCell ref="D119:D120"/>
    <mergeCell ref="D121:D123"/>
    <mergeCell ref="E67:E69"/>
    <mergeCell ref="C75:R75"/>
    <mergeCell ref="D105:D108"/>
    <mergeCell ref="E137:E138"/>
    <mergeCell ref="D141:D142"/>
    <mergeCell ref="E141:E142"/>
    <mergeCell ref="D143:D144"/>
    <mergeCell ref="E143:E144"/>
    <mergeCell ref="D145:D146"/>
    <mergeCell ref="E145:E146"/>
    <mergeCell ref="D175:D176"/>
    <mergeCell ref="D178:D185"/>
    <mergeCell ref="E179:E185"/>
    <mergeCell ref="G179:G185"/>
    <mergeCell ref="C186:R186"/>
    <mergeCell ref="D153:D156"/>
    <mergeCell ref="E155:E156"/>
    <mergeCell ref="D158:D164"/>
    <mergeCell ref="E161:E164"/>
    <mergeCell ref="D166:D168"/>
    <mergeCell ref="D170:D172"/>
    <mergeCell ref="D173:D174"/>
    <mergeCell ref="D188:D189"/>
    <mergeCell ref="D192:D193"/>
    <mergeCell ref="E194:E195"/>
    <mergeCell ref="D196:D197"/>
    <mergeCell ref="E196:E197"/>
    <mergeCell ref="B273:R273"/>
    <mergeCell ref="D198:D199"/>
    <mergeCell ref="E198:E199"/>
    <mergeCell ref="E249:E252"/>
    <mergeCell ref="E253:E254"/>
    <mergeCell ref="B267:R267"/>
    <mergeCell ref="D231:D238"/>
    <mergeCell ref="D248:D256"/>
  </mergeCells>
  <conditionalFormatting sqref="G5:G9 K5:K9 I5:I10 R5:R10 L5:Q13 A6:F9 H6:H9 J6:J9 B12:K13 R12:R13 A14:A272 B15:B277 J16:J24 N17:O24 J26:J48 N26:O48 P28:P48 J50:J74 N50:P74 J76:J128 N76:P128 R82:R86 Q82:Q128 P130:Q171 J130:J185 N130:O185 K147 R147:R164 M149:M150 K149:L185 M152 M156 M161:M162 K187:L266 N187:N266 O187:O277 J187:J278 P212:R222 R224 R227 Q227:Q256 P227:P257 R229 R239:R256 K268:L272 N268:N278 A274:A277 K274:L278">
    <cfRule type="cellIs" dxfId="27" priority="1" operator="equal">
      <formula>"x"</formula>
    </cfRule>
    <cfRule type="expression" dxfId="26" priority="2">
      <formula>"Not Used"</formula>
    </cfRule>
    <cfRule type="cellIs" dxfId="25" priority="3" operator="equal">
      <formula>"Cancelled"</formula>
    </cfRule>
  </conditionalFormatting>
  <conditionalFormatting sqref="I5:I9 L6:R6 J6:K9 J16:R24 J26:Q48 J50:R74 J76:R128 J130:R185 J187:R266 J268:R272 O274:R277 J274:L278 N274:N278 R26:R33 R37:R48 M274:M277">
    <cfRule type="expression" dxfId="24" priority="4" stopIfTrue="1">
      <formula>#REF!="X"</formula>
    </cfRule>
  </conditionalFormatting>
  <conditionalFormatting sqref="M1:M277 O1:R277 G1:L278 N1:N278 A1:A272 B1:B277 D1:F277 C1:C278 A274:A277">
    <cfRule type="cellIs" dxfId="23" priority="5" operator="equal">
      <formula>"OK"</formula>
    </cfRule>
    <cfRule type="cellIs" dxfId="22" priority="6" operator="equal">
      <formula>"NG"</formula>
    </cfRule>
    <cfRule type="cellIs" dxfId="21" priority="7" operator="equal">
      <formula>"Pending"</formula>
    </cfRule>
  </conditionalFormatting>
  <dataValidations count="4">
    <dataValidation type="list" allowBlank="1" showErrorMessage="1" sqref="J17:J24 N17:N24 J26:J48 N26:N48 J50:J74 N50:N74 J76:J128 N76:N128 J130:J185 N130:N185 J187:J266 N187:N266 J268:J272 N268:N272 J274:J278 N274:N278" xr:uid="{00000000-0002-0000-5300-000000000000}">
      <formula1>"OK,NG,N/A,Pending,Q&amp;A,ROC"</formula1>
    </dataValidation>
    <dataValidation type="custom" allowBlank="1" showDropDown="1" showErrorMessage="1" sqref="K22:K23 K38:K48 K50:K74 K76:K128 P172:P173 K130:K185 P175:P185 P187:P227 K187:K266 P229:P266 K268:K272 O269:O272 P274:P277 K274:K278" xr:uid="{00000000-0002-0000-5300-000001000000}">
      <formula1>OR(NOT(ISERROR(DATEVALUE(K22))), AND(ISNUMBER(K22), LEFT(CELL("format", K22))="D"))</formula1>
    </dataValidation>
    <dataValidation type="list" allowBlank="1" showErrorMessage="1" sqref="O17:O24 O26:O48 O50:O74 O76:O77 O79:O128 O130:O171 O179 O183 O187:O215 O224 O232:O256 O261:O263 O268" xr:uid="{00000000-0002-0000-5300-000003000000}">
      <formula1>"Todo,Done"</formula1>
    </dataValidation>
    <dataValidation type="list" allowBlank="1" showErrorMessage="1" sqref="I6:I9" xr:uid="{00000000-0002-0000-5300-000004000000}">
      <formula1>"OK,N/A,Pending,NG"</formula1>
    </dataValidation>
  </dataValidations>
  <hyperlinks>
    <hyperlink ref="M17" r:id="rId1" xr:uid="{00000000-0004-0000-5300-000000000000}"/>
    <hyperlink ref="M18" r:id="rId2" xr:uid="{00000000-0004-0000-5300-000001000000}"/>
    <hyperlink ref="M19" r:id="rId3" xr:uid="{00000000-0004-0000-5300-000002000000}"/>
    <hyperlink ref="M20" r:id="rId4" xr:uid="{00000000-0004-0000-5300-000003000000}"/>
    <hyperlink ref="M21" r:id="rId5" xr:uid="{00000000-0004-0000-5300-000004000000}"/>
    <hyperlink ref="M24" r:id="rId6" xr:uid="{00000000-0004-0000-5300-000005000000}"/>
    <hyperlink ref="I26" r:id="rId7" xr:uid="{00000000-0004-0000-5300-000006000000}"/>
    <hyperlink ref="M26" r:id="rId8" xr:uid="{00000000-0004-0000-5300-000007000000}"/>
    <hyperlink ref="M27" r:id="rId9" xr:uid="{00000000-0004-0000-5300-000008000000}"/>
    <hyperlink ref="M28" r:id="rId10" xr:uid="{00000000-0004-0000-5300-000009000000}"/>
    <hyperlink ref="M29" r:id="rId11" xr:uid="{00000000-0004-0000-5300-00000A000000}"/>
    <hyperlink ref="M30" r:id="rId12" xr:uid="{00000000-0004-0000-5300-00000B000000}"/>
    <hyperlink ref="M31" r:id="rId13" xr:uid="{00000000-0004-0000-5300-00000C000000}"/>
    <hyperlink ref="M32" r:id="rId14" xr:uid="{00000000-0004-0000-5300-00000D000000}"/>
    <hyperlink ref="M33" r:id="rId15" xr:uid="{00000000-0004-0000-5300-00000E000000}"/>
    <hyperlink ref="M34" r:id="rId16" xr:uid="{00000000-0004-0000-5300-00000F000000}"/>
    <hyperlink ref="M35" r:id="rId17" xr:uid="{00000000-0004-0000-5300-000010000000}"/>
    <hyperlink ref="M36" r:id="rId18" xr:uid="{00000000-0004-0000-5300-000011000000}"/>
    <hyperlink ref="M37" r:id="rId19" xr:uid="{00000000-0004-0000-5300-000012000000}"/>
    <hyperlink ref="M38" r:id="rId20" xr:uid="{00000000-0004-0000-5300-000013000000}"/>
    <hyperlink ref="M39" r:id="rId21" xr:uid="{00000000-0004-0000-5300-000014000000}"/>
    <hyperlink ref="R39" r:id="rId22" xr:uid="{00000000-0004-0000-5300-000015000000}"/>
    <hyperlink ref="M40" r:id="rId23" xr:uid="{00000000-0004-0000-5300-000016000000}"/>
    <hyperlink ref="M41" r:id="rId24" xr:uid="{00000000-0004-0000-5300-000017000000}"/>
    <hyperlink ref="M42" r:id="rId25" xr:uid="{00000000-0004-0000-5300-000018000000}"/>
    <hyperlink ref="I43" r:id="rId26" xr:uid="{00000000-0004-0000-5300-000019000000}"/>
    <hyperlink ref="M43" r:id="rId27" xr:uid="{00000000-0004-0000-5300-00001A000000}"/>
    <hyperlink ref="M44" r:id="rId28" xr:uid="{00000000-0004-0000-5300-00001B000000}"/>
    <hyperlink ref="M45" r:id="rId29" xr:uid="{00000000-0004-0000-5300-00001C000000}"/>
    <hyperlink ref="M46" r:id="rId30" xr:uid="{00000000-0004-0000-5300-00001D000000}"/>
    <hyperlink ref="M47" r:id="rId31" xr:uid="{00000000-0004-0000-5300-00001E000000}"/>
    <hyperlink ref="M48" r:id="rId32" xr:uid="{00000000-0004-0000-5300-00001F000000}"/>
    <hyperlink ref="I50" r:id="rId33" xr:uid="{00000000-0004-0000-5300-000020000000}"/>
    <hyperlink ref="M50" r:id="rId34" xr:uid="{00000000-0004-0000-5300-000021000000}"/>
    <hyperlink ref="R50" location="'MOB-010 指摘事項 (Add issue)'!26:26" display="Cùng nội dung đã note ở case #9" xr:uid="{00000000-0004-0000-5300-000022000000}"/>
    <hyperlink ref="I51" r:id="rId35" xr:uid="{00000000-0004-0000-5300-000023000000}"/>
    <hyperlink ref="M51" r:id="rId36" xr:uid="{00000000-0004-0000-5300-000024000000}"/>
    <hyperlink ref="R51" r:id="rId37" xr:uid="{00000000-0004-0000-5300-000025000000}"/>
    <hyperlink ref="M52" r:id="rId38" xr:uid="{00000000-0004-0000-5300-000026000000}"/>
    <hyperlink ref="M53" r:id="rId39" xr:uid="{00000000-0004-0000-5300-000027000000}"/>
    <hyperlink ref="M54" r:id="rId40" xr:uid="{00000000-0004-0000-5300-000028000000}"/>
    <hyperlink ref="M55" r:id="rId41" xr:uid="{00000000-0004-0000-5300-000029000000}"/>
    <hyperlink ref="I56" r:id="rId42" location="gid=0" xr:uid="{00000000-0004-0000-5300-00002A000000}"/>
    <hyperlink ref="M56" r:id="rId43" xr:uid="{00000000-0004-0000-5300-00002B000000}"/>
    <hyperlink ref="M57" r:id="rId44" xr:uid="{00000000-0004-0000-5300-00002C000000}"/>
    <hyperlink ref="I58" r:id="rId45" location="gid=0" xr:uid="{00000000-0004-0000-5300-00002D000000}"/>
    <hyperlink ref="M58" r:id="rId46" xr:uid="{00000000-0004-0000-5300-00002E000000}"/>
    <hyperlink ref="M59" r:id="rId47" xr:uid="{00000000-0004-0000-5300-00002F000000}"/>
    <hyperlink ref="M60" r:id="rId48" xr:uid="{00000000-0004-0000-5300-000030000000}"/>
    <hyperlink ref="M61" r:id="rId49" xr:uid="{00000000-0004-0000-5300-000031000000}"/>
    <hyperlink ref="M62" r:id="rId50" xr:uid="{00000000-0004-0000-5300-000032000000}"/>
    <hyperlink ref="M63" r:id="rId51" xr:uid="{00000000-0004-0000-5300-000033000000}"/>
    <hyperlink ref="M64" r:id="rId52" xr:uid="{00000000-0004-0000-5300-000034000000}"/>
    <hyperlink ref="M65" r:id="rId53" xr:uid="{00000000-0004-0000-5300-000035000000}"/>
    <hyperlink ref="M66" r:id="rId54" xr:uid="{00000000-0004-0000-5300-000036000000}"/>
    <hyperlink ref="M67" r:id="rId55" xr:uid="{00000000-0004-0000-5300-000037000000}"/>
    <hyperlink ref="M68" r:id="rId56" xr:uid="{00000000-0004-0000-5300-000038000000}"/>
    <hyperlink ref="M69" r:id="rId57" xr:uid="{00000000-0004-0000-5300-000039000000}"/>
    <hyperlink ref="M70" r:id="rId58" xr:uid="{00000000-0004-0000-5300-00003A000000}"/>
    <hyperlink ref="M71" r:id="rId59" xr:uid="{00000000-0004-0000-5300-00003B000000}"/>
    <hyperlink ref="M72" r:id="rId60" xr:uid="{00000000-0004-0000-5300-00003C000000}"/>
    <hyperlink ref="M73" r:id="rId61" xr:uid="{00000000-0004-0000-5300-00003D000000}"/>
    <hyperlink ref="M74" r:id="rId62" xr:uid="{00000000-0004-0000-5300-00003E000000}"/>
    <hyperlink ref="I76" r:id="rId63" xr:uid="{00000000-0004-0000-5300-00003F000000}"/>
    <hyperlink ref="M76" r:id="rId64" xr:uid="{00000000-0004-0000-5300-000040000000}"/>
    <hyperlink ref="M77" r:id="rId65" xr:uid="{00000000-0004-0000-5300-000041000000}"/>
    <hyperlink ref="M78" r:id="rId66" xr:uid="{00000000-0004-0000-5300-000042000000}"/>
    <hyperlink ref="R78" r:id="rId67" xr:uid="{00000000-0004-0000-5300-000043000000}"/>
    <hyperlink ref="M79" r:id="rId68" xr:uid="{00000000-0004-0000-5300-000044000000}"/>
    <hyperlink ref="M80" r:id="rId69" xr:uid="{00000000-0004-0000-5300-000045000000}"/>
    <hyperlink ref="M81" r:id="rId70" xr:uid="{00000000-0004-0000-5300-000046000000}"/>
    <hyperlink ref="M82" r:id="rId71" xr:uid="{00000000-0004-0000-5300-000047000000}"/>
    <hyperlink ref="M83" r:id="rId72" xr:uid="{00000000-0004-0000-5300-000048000000}"/>
    <hyperlink ref="M84" r:id="rId73" xr:uid="{00000000-0004-0000-5300-000049000000}"/>
    <hyperlink ref="M85" r:id="rId74" xr:uid="{00000000-0004-0000-5300-00004A000000}"/>
    <hyperlink ref="M86" r:id="rId75" xr:uid="{00000000-0004-0000-5300-00004B000000}"/>
    <hyperlink ref="M87" r:id="rId76" xr:uid="{00000000-0004-0000-5300-00004C000000}"/>
    <hyperlink ref="M88" r:id="rId77" xr:uid="{00000000-0004-0000-5300-00004D000000}"/>
    <hyperlink ref="M89" r:id="rId78" xr:uid="{00000000-0004-0000-5300-00004E000000}"/>
    <hyperlink ref="R89" r:id="rId79" xr:uid="{00000000-0004-0000-5300-00004F000000}"/>
    <hyperlink ref="M90" r:id="rId80" xr:uid="{00000000-0004-0000-5300-000050000000}"/>
    <hyperlink ref="M91" r:id="rId81" xr:uid="{00000000-0004-0000-5300-000051000000}"/>
    <hyperlink ref="M92" r:id="rId82" xr:uid="{00000000-0004-0000-5300-000052000000}"/>
    <hyperlink ref="M93" r:id="rId83" xr:uid="{00000000-0004-0000-5300-000053000000}"/>
    <hyperlink ref="M94" r:id="rId84" xr:uid="{00000000-0004-0000-5300-000054000000}"/>
    <hyperlink ref="M95" r:id="rId85" xr:uid="{00000000-0004-0000-5300-000055000000}"/>
    <hyperlink ref="M96" r:id="rId86" xr:uid="{00000000-0004-0000-5300-000056000000}"/>
    <hyperlink ref="M97" r:id="rId87" xr:uid="{00000000-0004-0000-5300-000057000000}"/>
    <hyperlink ref="M98" r:id="rId88" xr:uid="{00000000-0004-0000-5300-000058000000}"/>
    <hyperlink ref="M99" r:id="rId89" xr:uid="{00000000-0004-0000-5300-000059000000}"/>
    <hyperlink ref="M100" r:id="rId90" xr:uid="{00000000-0004-0000-5300-00005A000000}"/>
    <hyperlink ref="M101" r:id="rId91" xr:uid="{00000000-0004-0000-5300-00005B000000}"/>
    <hyperlink ref="M102" r:id="rId92" xr:uid="{00000000-0004-0000-5300-00005C000000}"/>
    <hyperlink ref="M103" r:id="rId93" xr:uid="{00000000-0004-0000-5300-00005D000000}"/>
    <hyperlink ref="M104" r:id="rId94" xr:uid="{00000000-0004-0000-5300-00005E000000}"/>
    <hyperlink ref="M105" r:id="rId95" xr:uid="{00000000-0004-0000-5300-00005F000000}"/>
    <hyperlink ref="M106" r:id="rId96" xr:uid="{00000000-0004-0000-5300-000060000000}"/>
    <hyperlink ref="M107" r:id="rId97" xr:uid="{00000000-0004-0000-5300-000061000000}"/>
    <hyperlink ref="M108" r:id="rId98" xr:uid="{00000000-0004-0000-5300-000062000000}"/>
    <hyperlink ref="M109" r:id="rId99" xr:uid="{00000000-0004-0000-5300-000063000000}"/>
    <hyperlink ref="M110" r:id="rId100" xr:uid="{00000000-0004-0000-5300-000064000000}"/>
    <hyperlink ref="M111" r:id="rId101" xr:uid="{00000000-0004-0000-5300-000065000000}"/>
    <hyperlink ref="M112" r:id="rId102" xr:uid="{00000000-0004-0000-5300-000066000000}"/>
    <hyperlink ref="M113" r:id="rId103" xr:uid="{00000000-0004-0000-5300-000067000000}"/>
    <hyperlink ref="M114" r:id="rId104" xr:uid="{00000000-0004-0000-5300-000068000000}"/>
    <hyperlink ref="M115" r:id="rId105" xr:uid="{00000000-0004-0000-5300-000069000000}"/>
    <hyperlink ref="I116" r:id="rId106" location="gid=0" xr:uid="{00000000-0004-0000-5300-00006A000000}"/>
    <hyperlink ref="M116" r:id="rId107" xr:uid="{00000000-0004-0000-5300-00006B000000}"/>
    <hyperlink ref="M117" r:id="rId108" xr:uid="{00000000-0004-0000-5300-00006C000000}"/>
    <hyperlink ref="I118" r:id="rId109" location="gid=0" xr:uid="{00000000-0004-0000-5300-00006D000000}"/>
    <hyperlink ref="M118" r:id="rId110" xr:uid="{00000000-0004-0000-5300-00006E000000}"/>
    <hyperlink ref="M119" r:id="rId111" xr:uid="{00000000-0004-0000-5300-00006F000000}"/>
    <hyperlink ref="I120" r:id="rId112" location="gid=0" xr:uid="{00000000-0004-0000-5300-000070000000}"/>
    <hyperlink ref="M120" r:id="rId113" xr:uid="{00000000-0004-0000-5300-000071000000}"/>
    <hyperlink ref="M121" r:id="rId114" xr:uid="{00000000-0004-0000-5300-000072000000}"/>
    <hyperlink ref="M122" r:id="rId115" xr:uid="{00000000-0004-0000-5300-000073000000}"/>
    <hyperlink ref="M123" r:id="rId116" xr:uid="{00000000-0004-0000-5300-000074000000}"/>
    <hyperlink ref="M124" r:id="rId117" xr:uid="{00000000-0004-0000-5300-000075000000}"/>
    <hyperlink ref="M125" r:id="rId118" xr:uid="{00000000-0004-0000-5300-000076000000}"/>
    <hyperlink ref="M126" r:id="rId119" xr:uid="{00000000-0004-0000-5300-000077000000}"/>
    <hyperlink ref="M127" r:id="rId120" xr:uid="{00000000-0004-0000-5300-000078000000}"/>
    <hyperlink ref="M128" r:id="rId121" xr:uid="{00000000-0004-0000-5300-000079000000}"/>
    <hyperlink ref="I130" r:id="rId122" xr:uid="{00000000-0004-0000-5300-00007A000000}"/>
    <hyperlink ref="M130" r:id="rId123" xr:uid="{00000000-0004-0000-5300-00007B000000}"/>
    <hyperlink ref="M131" r:id="rId124" xr:uid="{00000000-0004-0000-5300-00007C000000}"/>
    <hyperlink ref="M132" r:id="rId125" xr:uid="{00000000-0004-0000-5300-00007D000000}"/>
    <hyperlink ref="M133" r:id="rId126" xr:uid="{00000000-0004-0000-5300-00007E000000}"/>
    <hyperlink ref="M134" r:id="rId127" xr:uid="{00000000-0004-0000-5300-00007F000000}"/>
    <hyperlink ref="M135" r:id="rId128" xr:uid="{00000000-0004-0000-5300-000080000000}"/>
    <hyperlink ref="M136" r:id="rId129" xr:uid="{00000000-0004-0000-5300-000081000000}"/>
    <hyperlink ref="R136" r:id="rId130" xr:uid="{00000000-0004-0000-5300-000082000000}"/>
    <hyperlink ref="D137" r:id="rId131" xr:uid="{00000000-0004-0000-5300-000083000000}"/>
    <hyperlink ref="M137" r:id="rId132" xr:uid="{00000000-0004-0000-5300-000084000000}"/>
    <hyperlink ref="M138" r:id="rId133" xr:uid="{00000000-0004-0000-5300-000085000000}"/>
    <hyperlink ref="R138" r:id="rId134" xr:uid="{00000000-0004-0000-5300-000086000000}"/>
    <hyperlink ref="M139" r:id="rId135" xr:uid="{00000000-0004-0000-5300-000087000000}"/>
    <hyperlink ref="M140" r:id="rId136" xr:uid="{00000000-0004-0000-5300-000088000000}"/>
    <hyperlink ref="R140" r:id="rId137" xr:uid="{00000000-0004-0000-5300-000089000000}"/>
    <hyperlink ref="M141" r:id="rId138" xr:uid="{00000000-0004-0000-5300-00008A000000}"/>
    <hyperlink ref="R141" r:id="rId139" xr:uid="{00000000-0004-0000-5300-00008B000000}"/>
    <hyperlink ref="M142" r:id="rId140" xr:uid="{00000000-0004-0000-5300-00008C000000}"/>
    <hyperlink ref="R142" r:id="rId141" xr:uid="{00000000-0004-0000-5300-00008D000000}"/>
    <hyperlink ref="M143" r:id="rId142" xr:uid="{00000000-0004-0000-5300-00008E000000}"/>
    <hyperlink ref="M144" r:id="rId143" xr:uid="{00000000-0004-0000-5300-00008F000000}"/>
    <hyperlink ref="M145" r:id="rId144" xr:uid="{00000000-0004-0000-5300-000090000000}"/>
    <hyperlink ref="M146" r:id="rId145" xr:uid="{00000000-0004-0000-5300-000091000000}"/>
    <hyperlink ref="M147" r:id="rId146" xr:uid="{00000000-0004-0000-5300-000092000000}"/>
    <hyperlink ref="R147" r:id="rId147" xr:uid="{00000000-0004-0000-5300-000093000000}"/>
    <hyperlink ref="M148" r:id="rId148" xr:uid="{00000000-0004-0000-5300-000094000000}"/>
    <hyperlink ref="M149" r:id="rId149" xr:uid="{00000000-0004-0000-5300-000095000000}"/>
    <hyperlink ref="R149" r:id="rId150" xr:uid="{00000000-0004-0000-5300-000096000000}"/>
    <hyperlink ref="M150" r:id="rId151" xr:uid="{00000000-0004-0000-5300-000097000000}"/>
    <hyperlink ref="R150" r:id="rId152" xr:uid="{00000000-0004-0000-5300-000098000000}"/>
    <hyperlink ref="M151" r:id="rId153" xr:uid="{00000000-0004-0000-5300-000099000000}"/>
    <hyperlink ref="M152" r:id="rId154" xr:uid="{00000000-0004-0000-5300-00009A000000}"/>
    <hyperlink ref="R152" r:id="rId155" xr:uid="{00000000-0004-0000-5300-00009B000000}"/>
    <hyperlink ref="M153" r:id="rId156" xr:uid="{00000000-0004-0000-5300-00009C000000}"/>
    <hyperlink ref="M154" r:id="rId157" xr:uid="{00000000-0004-0000-5300-00009D000000}"/>
    <hyperlink ref="M155" r:id="rId158" xr:uid="{00000000-0004-0000-5300-00009E000000}"/>
    <hyperlink ref="M156" r:id="rId159" xr:uid="{00000000-0004-0000-5300-00009F000000}"/>
    <hyperlink ref="R156" r:id="rId160" xr:uid="{00000000-0004-0000-5300-0000A0000000}"/>
    <hyperlink ref="M157" r:id="rId161" xr:uid="{00000000-0004-0000-5300-0000A1000000}"/>
    <hyperlink ref="M158" r:id="rId162" xr:uid="{00000000-0004-0000-5300-0000A2000000}"/>
    <hyperlink ref="M159" r:id="rId163" xr:uid="{00000000-0004-0000-5300-0000A3000000}"/>
    <hyperlink ref="M160" r:id="rId164" xr:uid="{00000000-0004-0000-5300-0000A4000000}"/>
    <hyperlink ref="M161" r:id="rId165" xr:uid="{00000000-0004-0000-5300-0000A5000000}"/>
    <hyperlink ref="M162" r:id="rId166" xr:uid="{00000000-0004-0000-5300-0000A6000000}"/>
    <hyperlink ref="M163" r:id="rId167" xr:uid="{00000000-0004-0000-5300-0000A7000000}"/>
    <hyperlink ref="M164" r:id="rId168" xr:uid="{00000000-0004-0000-5300-0000A8000000}"/>
    <hyperlink ref="M165" r:id="rId169" xr:uid="{00000000-0004-0000-5300-0000A9000000}"/>
    <hyperlink ref="M166" r:id="rId170" xr:uid="{00000000-0004-0000-5300-0000AA000000}"/>
    <hyperlink ref="M167" r:id="rId171" xr:uid="{00000000-0004-0000-5300-0000AB000000}"/>
    <hyperlink ref="M168" r:id="rId172" xr:uid="{00000000-0004-0000-5300-0000AC000000}"/>
    <hyperlink ref="M169" r:id="rId173" xr:uid="{00000000-0004-0000-5300-0000AD000000}"/>
    <hyperlink ref="M170" r:id="rId174" xr:uid="{00000000-0004-0000-5300-0000AE000000}"/>
    <hyperlink ref="M171" r:id="rId175" xr:uid="{00000000-0004-0000-5300-0000AF000000}"/>
    <hyperlink ref="M172" r:id="rId176" xr:uid="{00000000-0004-0000-5300-0000B0000000}"/>
    <hyperlink ref="M173" r:id="rId177" xr:uid="{00000000-0004-0000-5300-0000B1000000}"/>
    <hyperlink ref="M174" r:id="rId178" xr:uid="{00000000-0004-0000-5300-0000B2000000}"/>
    <hyperlink ref="M175" r:id="rId179" xr:uid="{00000000-0004-0000-5300-0000B3000000}"/>
    <hyperlink ref="M176" r:id="rId180" xr:uid="{00000000-0004-0000-5300-0000B4000000}"/>
    <hyperlink ref="M177" r:id="rId181" xr:uid="{00000000-0004-0000-5300-0000B5000000}"/>
    <hyperlink ref="M178" r:id="rId182" xr:uid="{00000000-0004-0000-5300-0000B6000000}"/>
    <hyperlink ref="M179" r:id="rId183" xr:uid="{00000000-0004-0000-5300-0000B7000000}"/>
    <hyperlink ref="M180" r:id="rId184" xr:uid="{00000000-0004-0000-5300-0000B8000000}"/>
    <hyperlink ref="M181" r:id="rId185" xr:uid="{00000000-0004-0000-5300-0000B9000000}"/>
    <hyperlink ref="M182" r:id="rId186" xr:uid="{00000000-0004-0000-5300-0000BA000000}"/>
    <hyperlink ref="M183" r:id="rId187" xr:uid="{00000000-0004-0000-5300-0000BB000000}"/>
    <hyperlink ref="M184" r:id="rId188" xr:uid="{00000000-0004-0000-5300-0000BC000000}"/>
    <hyperlink ref="M185" r:id="rId189" xr:uid="{00000000-0004-0000-5300-0000BD000000}"/>
    <hyperlink ref="I187" r:id="rId190" xr:uid="{00000000-0004-0000-5300-0000BE000000}"/>
    <hyperlink ref="M187" r:id="rId191" xr:uid="{00000000-0004-0000-5300-0000BF000000}"/>
    <hyperlink ref="M188" r:id="rId192" xr:uid="{00000000-0004-0000-5300-0000C0000000}"/>
    <hyperlink ref="M189" r:id="rId193" xr:uid="{00000000-0004-0000-5300-0000C1000000}"/>
    <hyperlink ref="M190" r:id="rId194" xr:uid="{00000000-0004-0000-5300-0000C2000000}"/>
    <hyperlink ref="M191" r:id="rId195" xr:uid="{00000000-0004-0000-5300-0000C3000000}"/>
    <hyperlink ref="M192" r:id="rId196" xr:uid="{00000000-0004-0000-5300-0000C4000000}"/>
    <hyperlink ref="M193" r:id="rId197" xr:uid="{00000000-0004-0000-5300-0000C5000000}"/>
    <hyperlink ref="M194" r:id="rId198" xr:uid="{00000000-0004-0000-5300-0000C6000000}"/>
    <hyperlink ref="M195" r:id="rId199" xr:uid="{00000000-0004-0000-5300-0000C7000000}"/>
    <hyperlink ref="M196" r:id="rId200" xr:uid="{00000000-0004-0000-5300-0000C8000000}"/>
    <hyperlink ref="M197" r:id="rId201" xr:uid="{00000000-0004-0000-5300-0000C9000000}"/>
    <hyperlink ref="M198" r:id="rId202" xr:uid="{00000000-0004-0000-5300-0000CA000000}"/>
    <hyperlink ref="I199" r:id="rId203" xr:uid="{00000000-0004-0000-5300-0000CB000000}"/>
    <hyperlink ref="M199" r:id="rId204" xr:uid="{00000000-0004-0000-5300-0000CC000000}"/>
    <hyperlink ref="M200" r:id="rId205" xr:uid="{00000000-0004-0000-5300-0000CD000000}"/>
    <hyperlink ref="M201" r:id="rId206" xr:uid="{00000000-0004-0000-5300-0000CE000000}"/>
    <hyperlink ref="M202" r:id="rId207" xr:uid="{00000000-0004-0000-5300-0000CF000000}"/>
    <hyperlink ref="M203" r:id="rId208" xr:uid="{00000000-0004-0000-5300-0000D0000000}"/>
    <hyperlink ref="M204" r:id="rId209" xr:uid="{00000000-0004-0000-5300-0000D1000000}"/>
    <hyperlink ref="M205" r:id="rId210" xr:uid="{00000000-0004-0000-5300-0000D2000000}"/>
    <hyperlink ref="M206" r:id="rId211" xr:uid="{00000000-0004-0000-5300-0000D3000000}"/>
    <hyperlink ref="M207" r:id="rId212" xr:uid="{00000000-0004-0000-5300-0000D4000000}"/>
    <hyperlink ref="M208" r:id="rId213" xr:uid="{00000000-0004-0000-5300-0000D5000000}"/>
    <hyperlink ref="M209" r:id="rId214" xr:uid="{00000000-0004-0000-5300-0000D6000000}"/>
    <hyperlink ref="M210" r:id="rId215" xr:uid="{00000000-0004-0000-5300-0000D7000000}"/>
    <hyperlink ref="M211" r:id="rId216" xr:uid="{00000000-0004-0000-5300-0000D8000000}"/>
    <hyperlink ref="M212" r:id="rId217" xr:uid="{00000000-0004-0000-5300-0000D9000000}"/>
    <hyperlink ref="M213" r:id="rId218" xr:uid="{00000000-0004-0000-5300-0000DA000000}"/>
    <hyperlink ref="M214" r:id="rId219" xr:uid="{00000000-0004-0000-5300-0000DB000000}"/>
    <hyperlink ref="M215" r:id="rId220" xr:uid="{00000000-0004-0000-5300-0000DC000000}"/>
    <hyperlink ref="M216" r:id="rId221" xr:uid="{00000000-0004-0000-5300-0000DD000000}"/>
    <hyperlink ref="M217" r:id="rId222" xr:uid="{00000000-0004-0000-5300-0000DE000000}"/>
    <hyperlink ref="M218" r:id="rId223" xr:uid="{00000000-0004-0000-5300-0000DF000000}"/>
    <hyperlink ref="M219" r:id="rId224" xr:uid="{00000000-0004-0000-5300-0000E0000000}"/>
    <hyperlink ref="M220" r:id="rId225" xr:uid="{00000000-0004-0000-5300-0000E1000000}"/>
    <hyperlink ref="M221" r:id="rId226" xr:uid="{00000000-0004-0000-5300-0000E2000000}"/>
    <hyperlink ref="M222" r:id="rId227" xr:uid="{00000000-0004-0000-5300-0000E3000000}"/>
    <hyperlink ref="M223" r:id="rId228" xr:uid="{00000000-0004-0000-5300-0000E4000000}"/>
    <hyperlink ref="M224" r:id="rId229" xr:uid="{00000000-0004-0000-5300-0000E5000000}"/>
    <hyperlink ref="M225" r:id="rId230" xr:uid="{00000000-0004-0000-5300-0000E6000000}"/>
    <hyperlink ref="M226" r:id="rId231" xr:uid="{00000000-0004-0000-5300-0000E7000000}"/>
    <hyperlink ref="M227" r:id="rId232" xr:uid="{00000000-0004-0000-5300-0000E8000000}"/>
    <hyperlink ref="M228" r:id="rId233" xr:uid="{00000000-0004-0000-5300-0000E9000000}"/>
    <hyperlink ref="M229" r:id="rId234" xr:uid="{00000000-0004-0000-5300-0000EA000000}"/>
    <hyperlink ref="M230" r:id="rId235" xr:uid="{00000000-0004-0000-5300-0000EB000000}"/>
    <hyperlink ref="M231" r:id="rId236" xr:uid="{00000000-0004-0000-5300-0000EC000000}"/>
    <hyperlink ref="M232" r:id="rId237" xr:uid="{00000000-0004-0000-5300-0000ED000000}"/>
    <hyperlink ref="R232" r:id="rId238" xr:uid="{00000000-0004-0000-5300-0000EE000000}"/>
    <hyperlink ref="M233" r:id="rId239" xr:uid="{00000000-0004-0000-5300-0000EF000000}"/>
    <hyperlink ref="M234" r:id="rId240" xr:uid="{00000000-0004-0000-5300-0000F0000000}"/>
    <hyperlink ref="M235" r:id="rId241" xr:uid="{00000000-0004-0000-5300-0000F1000000}"/>
    <hyperlink ref="M236" r:id="rId242" xr:uid="{00000000-0004-0000-5300-0000F2000000}"/>
    <hyperlink ref="M237" r:id="rId243" xr:uid="{00000000-0004-0000-5300-0000F3000000}"/>
    <hyperlink ref="M238" r:id="rId244" xr:uid="{00000000-0004-0000-5300-0000F4000000}"/>
    <hyperlink ref="M239" r:id="rId245" xr:uid="{00000000-0004-0000-5300-0000F5000000}"/>
    <hyperlink ref="M240" r:id="rId246" xr:uid="{00000000-0004-0000-5300-0000F6000000}"/>
    <hyperlink ref="M241" r:id="rId247" xr:uid="{00000000-0004-0000-5300-0000F7000000}"/>
    <hyperlink ref="M242" r:id="rId248" xr:uid="{00000000-0004-0000-5300-0000F8000000}"/>
    <hyperlink ref="M243" r:id="rId249" xr:uid="{00000000-0004-0000-5300-0000F9000000}"/>
    <hyperlink ref="M244" r:id="rId250" xr:uid="{00000000-0004-0000-5300-0000FA000000}"/>
    <hyperlink ref="M245" r:id="rId251" xr:uid="{00000000-0004-0000-5300-0000FB000000}"/>
    <hyperlink ref="M246" r:id="rId252" xr:uid="{00000000-0004-0000-5300-0000FC000000}"/>
    <hyperlink ref="M247" r:id="rId253" xr:uid="{00000000-0004-0000-5300-0000FD000000}"/>
    <hyperlink ref="M248" r:id="rId254" xr:uid="{00000000-0004-0000-5300-0000FE000000}"/>
    <hyperlink ref="M249" r:id="rId255" xr:uid="{00000000-0004-0000-5300-0000FF000000}"/>
    <hyperlink ref="M250" r:id="rId256" xr:uid="{00000000-0004-0000-5300-000000010000}"/>
    <hyperlink ref="M251" r:id="rId257" xr:uid="{00000000-0004-0000-5300-000001010000}"/>
    <hyperlink ref="M252" r:id="rId258" xr:uid="{00000000-0004-0000-5300-000002010000}"/>
    <hyperlink ref="M253" r:id="rId259" xr:uid="{00000000-0004-0000-5300-000003010000}"/>
    <hyperlink ref="M254" r:id="rId260" xr:uid="{00000000-0004-0000-5300-000004010000}"/>
    <hyperlink ref="M255" r:id="rId261" xr:uid="{00000000-0004-0000-5300-000005010000}"/>
    <hyperlink ref="M256" r:id="rId262" xr:uid="{00000000-0004-0000-5300-000006010000}"/>
    <hyperlink ref="M257" r:id="rId263" xr:uid="{00000000-0004-0000-5300-000007010000}"/>
    <hyperlink ref="M258" r:id="rId264" xr:uid="{00000000-0004-0000-5300-000008010000}"/>
    <hyperlink ref="M259" r:id="rId265" xr:uid="{00000000-0004-0000-5300-000009010000}"/>
    <hyperlink ref="M260" r:id="rId266" xr:uid="{00000000-0004-0000-5300-00000A010000}"/>
    <hyperlink ref="M261" r:id="rId267" xr:uid="{00000000-0004-0000-5300-00000B010000}"/>
    <hyperlink ref="M262" r:id="rId268" xr:uid="{00000000-0004-0000-5300-00000C010000}"/>
    <hyperlink ref="M263" r:id="rId269" xr:uid="{00000000-0004-0000-5300-00000D010000}"/>
    <hyperlink ref="M264" r:id="rId270" xr:uid="{00000000-0004-0000-5300-00000E010000}"/>
    <hyperlink ref="M265" r:id="rId271" xr:uid="{00000000-0004-0000-5300-00000F010000}"/>
    <hyperlink ref="I266" r:id="rId272" xr:uid="{00000000-0004-0000-5300-000010010000}"/>
    <hyperlink ref="M266" r:id="rId273" xr:uid="{00000000-0004-0000-5300-000011010000}"/>
    <hyperlink ref="M268" r:id="rId274" xr:uid="{00000000-0004-0000-5300-000012010000}"/>
    <hyperlink ref="M269" r:id="rId275" xr:uid="{00000000-0004-0000-5300-000013010000}"/>
    <hyperlink ref="M270" r:id="rId276" xr:uid="{00000000-0004-0000-5300-000014010000}"/>
    <hyperlink ref="M271" r:id="rId277" xr:uid="{00000000-0004-0000-5300-000015010000}"/>
    <hyperlink ref="M272" r:id="rId278" xr:uid="{00000000-0004-0000-5300-000016010000}"/>
    <hyperlink ref="M274" r:id="rId279" xr:uid="{00000000-0004-0000-5300-000017010000}"/>
    <hyperlink ref="M275" r:id="rId280" xr:uid="{00000000-0004-0000-5300-000018010000}"/>
    <hyperlink ref="M276" r:id="rId281" xr:uid="{00000000-0004-0000-5300-000019010000}"/>
    <hyperlink ref="M277" r:id="rId282" xr:uid="{00000000-0004-0000-5300-00001A010000}"/>
    <hyperlink ref="M278" r:id="rId283" xr:uid="{00000000-0004-0000-5300-00001B010000}"/>
  </hyperlinks>
  <pageMargins left="0.25" right="0.25" top="0.75" bottom="0.75" header="0" footer="0"/>
  <pageSetup paperSize="9" fitToHeight="0" orientation="landscape"/>
  <drawing r:id="rId284"/>
  <legacyDrawing r:id="rId285"/>
  <extLst>
    <ext xmlns:x14="http://schemas.microsoft.com/office/spreadsheetml/2009/9/main" uri="{CCE6A557-97BC-4b89-ADB6-D9C93CAAB3DF}">
      <x14:dataValidations xmlns:xm="http://schemas.microsoft.com/office/excel/2006/main" count="1">
        <x14:dataValidation type="list" allowBlank="1" showErrorMessage="1" xr:uid="{00000000-0002-0000-5300-000002000000}">
          <x14:formula1>
            <xm:f>#REF!</xm:f>
          </x14:formula1>
          <xm:sqref>R82:R86 R213:R217 R219:R222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FF0000"/>
    <pageSetUpPr fitToPage="1"/>
  </sheetPr>
  <dimension ref="A1:AG1651"/>
  <sheetViews>
    <sheetView showGridLines="0" workbookViewId="0"/>
  </sheetViews>
  <sheetFormatPr defaultColWidth="14.44140625" defaultRowHeight="15" customHeight="1" x14ac:dyDescent="0.3"/>
  <cols>
    <col min="1" max="2" width="3.44140625" customWidth="1"/>
    <col min="3" max="3" width="6.33203125" customWidth="1"/>
    <col min="4" max="8" width="26.5546875" customWidth="1"/>
    <col min="9" max="9" width="36.6640625" customWidth="1"/>
    <col min="10" max="10" width="38.88671875" customWidth="1"/>
    <col min="11" max="11" width="52.44140625" customWidth="1"/>
    <col min="12" max="14" width="13.44140625" customWidth="1"/>
    <col min="15" max="15" width="30.88671875" customWidth="1"/>
    <col min="16" max="18" width="13.44140625" customWidth="1"/>
    <col min="19" max="19" width="28.6640625" customWidth="1"/>
    <col min="20" max="26" width="10.88671875" customWidth="1"/>
    <col min="27" max="33" width="4.5546875" customWidth="1"/>
  </cols>
  <sheetData>
    <row r="1" spans="1:33" ht="14.4" x14ac:dyDescent="0.3">
      <c r="A1" s="65"/>
      <c r="B1" s="66"/>
      <c r="C1" s="66"/>
      <c r="D1" s="66"/>
      <c r="E1" s="66"/>
      <c r="F1" s="66"/>
      <c r="G1" s="66"/>
      <c r="H1" s="337"/>
      <c r="I1" s="699"/>
      <c r="J1" s="601"/>
      <c r="K1" s="601"/>
      <c r="L1" s="90"/>
      <c r="M1" s="67"/>
      <c r="N1" s="67"/>
      <c r="O1" s="90"/>
      <c r="P1" s="67"/>
      <c r="Q1" s="67"/>
      <c r="R1" s="67"/>
      <c r="S1" s="68"/>
      <c r="T1" s="67"/>
      <c r="U1" s="67"/>
      <c r="V1" s="67"/>
      <c r="W1" s="67"/>
      <c r="X1" s="67"/>
      <c r="Y1" s="67"/>
      <c r="Z1" s="67"/>
      <c r="AA1" s="67"/>
      <c r="AB1" s="67"/>
      <c r="AC1" s="67"/>
      <c r="AD1" s="67"/>
      <c r="AE1" s="67"/>
      <c r="AF1" s="67"/>
      <c r="AG1" s="67"/>
    </row>
    <row r="2" spans="1:33" ht="14.4" x14ac:dyDescent="0.3">
      <c r="A2" s="65"/>
      <c r="B2" s="66"/>
      <c r="C2" s="66"/>
      <c r="D2" s="66"/>
      <c r="E2" s="66"/>
      <c r="F2" s="66"/>
      <c r="G2" s="66"/>
      <c r="H2" s="337"/>
      <c r="I2" s="601"/>
      <c r="J2" s="601"/>
      <c r="K2" s="601"/>
      <c r="L2" s="90"/>
      <c r="M2" s="67"/>
      <c r="N2" s="67"/>
      <c r="O2" s="90"/>
      <c r="P2" s="67"/>
      <c r="Q2" s="67"/>
      <c r="R2" s="67"/>
      <c r="S2" s="68"/>
      <c r="T2" s="67"/>
      <c r="U2" s="67"/>
      <c r="V2" s="67"/>
      <c r="W2" s="67"/>
      <c r="X2" s="67"/>
      <c r="Y2" s="67"/>
      <c r="Z2" s="67"/>
      <c r="AA2" s="67"/>
      <c r="AB2" s="67"/>
      <c r="AC2" s="67"/>
      <c r="AD2" s="67"/>
      <c r="AE2" s="67"/>
      <c r="AF2" s="67"/>
      <c r="AG2" s="67"/>
    </row>
    <row r="3" spans="1:33" ht="14.4" x14ac:dyDescent="0.3">
      <c r="A3" s="65"/>
      <c r="B3" s="66"/>
      <c r="C3" s="66"/>
      <c r="D3" s="66"/>
      <c r="E3" s="66"/>
      <c r="F3" s="66"/>
      <c r="G3" s="66"/>
      <c r="H3" s="337"/>
      <c r="I3" s="601"/>
      <c r="J3" s="601"/>
      <c r="K3" s="601"/>
      <c r="L3" s="90"/>
      <c r="M3" s="67"/>
      <c r="N3" s="67"/>
      <c r="O3" s="90"/>
      <c r="P3" s="67"/>
      <c r="Q3" s="67"/>
      <c r="R3" s="67"/>
      <c r="S3" s="68"/>
      <c r="T3" s="67"/>
      <c r="U3" s="67"/>
      <c r="V3" s="67"/>
      <c r="W3" s="67"/>
      <c r="X3" s="67"/>
      <c r="Y3" s="67"/>
      <c r="Z3" s="67"/>
      <c r="AA3" s="67"/>
      <c r="AB3" s="67"/>
      <c r="AC3" s="67"/>
      <c r="AD3" s="67"/>
      <c r="AE3" s="67"/>
      <c r="AF3" s="67"/>
      <c r="AG3" s="67"/>
    </row>
    <row r="4" spans="1:33" ht="12" customHeight="1" x14ac:dyDescent="0.3">
      <c r="A4" s="69"/>
      <c r="B4" s="70"/>
      <c r="C4" s="70"/>
      <c r="D4" s="70"/>
      <c r="E4" s="70"/>
      <c r="F4" s="70"/>
      <c r="G4" s="70"/>
      <c r="H4" s="91"/>
      <c r="I4" s="91"/>
      <c r="J4" s="91"/>
      <c r="K4" s="91"/>
      <c r="L4" s="92"/>
      <c r="M4" s="70"/>
      <c r="N4" s="70"/>
      <c r="O4" s="92"/>
      <c r="P4" s="70"/>
      <c r="Q4" s="70"/>
      <c r="R4" s="70"/>
      <c r="S4" s="70"/>
      <c r="T4" s="70"/>
      <c r="U4" s="70"/>
      <c r="V4" s="70"/>
      <c r="W4" s="70"/>
      <c r="X4" s="70"/>
      <c r="Y4" s="70"/>
      <c r="Z4" s="70"/>
      <c r="AA4" s="70"/>
      <c r="AB4" s="70"/>
      <c r="AC4" s="70"/>
      <c r="AD4" s="70"/>
      <c r="AE4" s="70"/>
      <c r="AF4" s="70"/>
      <c r="AG4" s="70"/>
    </row>
    <row r="5" spans="1:33" ht="16.5" customHeight="1" x14ac:dyDescent="0.3">
      <c r="A5" s="71"/>
      <c r="B5" s="39"/>
      <c r="C5" s="39"/>
      <c r="D5" s="39"/>
      <c r="E5" s="39"/>
      <c r="F5" s="39"/>
      <c r="G5" s="39"/>
      <c r="H5" s="85"/>
      <c r="I5" s="64"/>
      <c r="J5" s="85"/>
      <c r="K5" s="93" t="s">
        <v>169</v>
      </c>
      <c r="L5" s="74">
        <f ca="1">COUNT(C16:C1651)</f>
        <v>838</v>
      </c>
      <c r="M5" s="74">
        <f ca="1">COUNT(C16:C1651)</f>
        <v>838</v>
      </c>
      <c r="N5" s="17"/>
      <c r="O5" s="559" t="s">
        <v>448</v>
      </c>
      <c r="P5" s="74">
        <f t="shared" ref="P5:P10" si="0">COUNTIF(G$17:G1651,O5)</f>
        <v>728</v>
      </c>
      <c r="Q5" s="39"/>
      <c r="R5" s="39"/>
      <c r="S5" s="39"/>
      <c r="X5" s="39"/>
      <c r="Y5" s="39"/>
      <c r="Z5" s="39"/>
      <c r="AA5" s="39"/>
      <c r="AB5" s="39"/>
      <c r="AC5" s="39"/>
      <c r="AD5" s="39"/>
      <c r="AE5" s="39"/>
      <c r="AF5" s="39"/>
      <c r="AG5" s="39"/>
    </row>
    <row r="6" spans="1:33" ht="16.5" customHeight="1" x14ac:dyDescent="0.3">
      <c r="A6" s="94"/>
      <c r="B6" s="646" t="s">
        <v>170</v>
      </c>
      <c r="C6" s="602"/>
      <c r="D6" s="602"/>
      <c r="E6" s="676" t="s">
        <v>478</v>
      </c>
      <c r="F6" s="602"/>
      <c r="G6" s="602"/>
      <c r="H6" s="95" t="s">
        <v>171</v>
      </c>
      <c r="I6" s="96"/>
      <c r="J6" s="39"/>
      <c r="K6" s="75" t="s">
        <v>15</v>
      </c>
      <c r="L6" s="97">
        <f t="shared" ref="L6:L9" si="1">COUNTIF(L$16:L1651,K6)</f>
        <v>825</v>
      </c>
      <c r="M6" s="97">
        <f t="shared" ref="M6:M9" si="2">COUNTIF(O$16:O1651,K6)</f>
        <v>629</v>
      </c>
      <c r="N6" s="17"/>
      <c r="O6" s="559" t="s">
        <v>450</v>
      </c>
      <c r="P6" s="74">
        <f t="shared" si="0"/>
        <v>0</v>
      </c>
      <c r="Q6" s="39"/>
      <c r="R6" s="677" t="s">
        <v>451</v>
      </c>
      <c r="S6" s="605"/>
      <c r="X6" s="39"/>
      <c r="Y6" s="39"/>
      <c r="Z6" s="39"/>
      <c r="AA6" s="39"/>
      <c r="AB6" s="39"/>
      <c r="AC6" s="39"/>
      <c r="AD6" s="39"/>
      <c r="AE6" s="39"/>
      <c r="AF6" s="39"/>
      <c r="AG6" s="39"/>
    </row>
    <row r="7" spans="1:33" ht="16.5" customHeight="1" x14ac:dyDescent="0.3">
      <c r="A7" s="94"/>
      <c r="B7" s="646" t="s">
        <v>172</v>
      </c>
      <c r="C7" s="602"/>
      <c r="D7" s="602"/>
      <c r="E7" s="676" t="s">
        <v>2315</v>
      </c>
      <c r="F7" s="602"/>
      <c r="G7" s="602"/>
      <c r="H7" s="95" t="s">
        <v>173</v>
      </c>
      <c r="I7" s="96">
        <v>46036</v>
      </c>
      <c r="J7" s="39"/>
      <c r="K7" s="75" t="s">
        <v>158</v>
      </c>
      <c r="L7" s="97">
        <f t="shared" si="1"/>
        <v>0</v>
      </c>
      <c r="M7" s="97">
        <f t="shared" si="2"/>
        <v>172</v>
      </c>
      <c r="N7" s="17"/>
      <c r="O7" s="559" t="s">
        <v>452</v>
      </c>
      <c r="P7" s="74">
        <f t="shared" si="0"/>
        <v>1</v>
      </c>
      <c r="Q7" s="39"/>
      <c r="R7" s="608"/>
      <c r="S7" s="610"/>
      <c r="X7" s="39"/>
      <c r="Y7" s="39"/>
      <c r="Z7" s="39"/>
      <c r="AA7" s="39"/>
      <c r="AB7" s="39"/>
      <c r="AC7" s="39"/>
      <c r="AD7" s="39"/>
      <c r="AE7" s="39"/>
      <c r="AF7" s="39"/>
      <c r="AG7" s="39"/>
    </row>
    <row r="8" spans="1:33" ht="16.5" customHeight="1" x14ac:dyDescent="0.3">
      <c r="A8" s="94"/>
      <c r="B8" s="646" t="s">
        <v>174</v>
      </c>
      <c r="C8" s="602"/>
      <c r="D8" s="602"/>
      <c r="E8" s="676" t="s">
        <v>480</v>
      </c>
      <c r="F8" s="602"/>
      <c r="G8" s="602"/>
      <c r="H8" s="95" t="s">
        <v>175</v>
      </c>
      <c r="I8" s="98" t="s">
        <v>4</v>
      </c>
      <c r="J8" s="39"/>
      <c r="K8" s="75" t="s">
        <v>46</v>
      </c>
      <c r="L8" s="97">
        <f t="shared" si="1"/>
        <v>8</v>
      </c>
      <c r="M8" s="97">
        <f t="shared" si="2"/>
        <v>11</v>
      </c>
      <c r="N8" s="17"/>
      <c r="O8" s="559" t="s">
        <v>453</v>
      </c>
      <c r="P8" s="74">
        <f t="shared" si="0"/>
        <v>0</v>
      </c>
      <c r="Q8" s="39"/>
      <c r="R8" s="678">
        <f>SUM(P5:P7)/SUM(P5:P10)</f>
        <v>0.88470873786407767</v>
      </c>
      <c r="S8" s="605"/>
      <c r="X8" s="39"/>
      <c r="Y8" s="39"/>
      <c r="Z8" s="39"/>
      <c r="AA8" s="39"/>
      <c r="AB8" s="39"/>
      <c r="AC8" s="39"/>
      <c r="AD8" s="39"/>
      <c r="AE8" s="39"/>
      <c r="AF8" s="39"/>
      <c r="AG8" s="39"/>
    </row>
    <row r="9" spans="1:33" ht="16.5" customHeight="1" x14ac:dyDescent="0.3">
      <c r="A9" s="94"/>
      <c r="B9" s="646" t="s">
        <v>176</v>
      </c>
      <c r="C9" s="602"/>
      <c r="D9" s="602"/>
      <c r="E9" s="73"/>
      <c r="F9" s="99"/>
      <c r="G9" s="99"/>
      <c r="H9" s="99"/>
      <c r="I9" s="98"/>
      <c r="J9" s="39"/>
      <c r="K9" s="75" t="s">
        <v>47</v>
      </c>
      <c r="L9" s="97">
        <f t="shared" si="1"/>
        <v>0</v>
      </c>
      <c r="M9" s="97">
        <f t="shared" si="2"/>
        <v>1</v>
      </c>
      <c r="N9" s="17"/>
      <c r="O9" s="559" t="s">
        <v>454</v>
      </c>
      <c r="P9" s="74">
        <f t="shared" si="0"/>
        <v>0</v>
      </c>
      <c r="Q9" s="39"/>
      <c r="R9" s="608"/>
      <c r="S9" s="610"/>
      <c r="X9" s="39"/>
      <c r="Y9" s="39"/>
      <c r="Z9" s="39"/>
      <c r="AA9" s="39"/>
      <c r="AB9" s="39"/>
      <c r="AC9" s="39"/>
      <c r="AD9" s="39"/>
      <c r="AE9" s="39"/>
      <c r="AF9" s="39"/>
      <c r="AG9" s="39"/>
    </row>
    <row r="10" spans="1:33" ht="16.5" customHeight="1" x14ac:dyDescent="0.3">
      <c r="A10" s="76"/>
      <c r="B10" s="77"/>
      <c r="C10" s="77"/>
      <c r="D10" s="77"/>
      <c r="E10" s="78"/>
      <c r="F10" s="78"/>
      <c r="G10" s="700"/>
      <c r="H10" s="601"/>
      <c r="I10" s="78"/>
      <c r="J10" s="39"/>
      <c r="K10" s="345" t="s">
        <v>177</v>
      </c>
      <c r="L10" s="101">
        <f t="shared" ref="L10:M10" ca="1" si="3">SUM(L6,L7)/L5</f>
        <v>0.98448687350835318</v>
      </c>
      <c r="M10" s="101">
        <f t="shared" ca="1" si="3"/>
        <v>0.95584725536992843</v>
      </c>
      <c r="N10" s="39"/>
      <c r="O10" s="559" t="s">
        <v>455</v>
      </c>
      <c r="P10" s="74">
        <f t="shared" si="0"/>
        <v>95</v>
      </c>
      <c r="Q10" s="17"/>
      <c r="R10" s="17"/>
      <c r="S10" s="17"/>
      <c r="X10" s="17"/>
      <c r="Y10" s="17"/>
      <c r="Z10" s="17"/>
      <c r="AA10" s="79"/>
      <c r="AB10" s="79"/>
      <c r="AC10" s="79"/>
      <c r="AD10" s="79"/>
      <c r="AE10" s="79"/>
      <c r="AF10" s="79"/>
      <c r="AG10" s="79"/>
    </row>
    <row r="11" spans="1:33" ht="16.5" customHeight="1" x14ac:dyDescent="0.3">
      <c r="A11" s="76"/>
      <c r="B11" s="102"/>
      <c r="C11" s="102"/>
      <c r="D11" s="102"/>
      <c r="E11" s="78"/>
      <c r="F11" s="78"/>
      <c r="G11" s="100"/>
      <c r="H11" s="100"/>
      <c r="I11" s="78"/>
      <c r="J11" s="39"/>
      <c r="K11" s="39"/>
      <c r="L11" s="87" t="s">
        <v>1</v>
      </c>
      <c r="M11" s="457" t="s">
        <v>49</v>
      </c>
      <c r="N11" s="39"/>
      <c r="O11" s="363"/>
      <c r="P11" s="39"/>
      <c r="Q11" s="39"/>
      <c r="R11" s="39"/>
      <c r="S11" s="39"/>
      <c r="T11" s="79"/>
      <c r="U11" s="638" t="s">
        <v>159</v>
      </c>
      <c r="V11" s="601"/>
      <c r="W11" s="601"/>
      <c r="X11" s="601"/>
      <c r="Y11" s="601"/>
      <c r="Z11" s="601"/>
      <c r="AA11" s="79"/>
      <c r="AB11" s="79"/>
      <c r="AC11" s="79"/>
      <c r="AD11" s="79"/>
      <c r="AE11" s="79"/>
      <c r="AF11" s="79"/>
      <c r="AG11" s="79"/>
    </row>
    <row r="12" spans="1:33" ht="14.4" x14ac:dyDescent="0.3">
      <c r="A12" s="71"/>
      <c r="B12" s="644" t="s">
        <v>178</v>
      </c>
      <c r="C12" s="605"/>
      <c r="D12" s="645" t="s">
        <v>179</v>
      </c>
      <c r="E12" s="645" t="s">
        <v>180</v>
      </c>
      <c r="F12" s="675" t="s">
        <v>2316</v>
      </c>
      <c r="G12" s="698" t="s">
        <v>2317</v>
      </c>
      <c r="H12" s="644" t="s">
        <v>181</v>
      </c>
      <c r="I12" s="643" t="s">
        <v>182</v>
      </c>
      <c r="J12" s="644" t="s">
        <v>183</v>
      </c>
      <c r="K12" s="644" t="s">
        <v>184</v>
      </c>
      <c r="L12" s="643" t="s">
        <v>429</v>
      </c>
      <c r="M12" s="643" t="s">
        <v>185</v>
      </c>
      <c r="N12" s="643" t="s">
        <v>3</v>
      </c>
      <c r="O12" s="641" t="s">
        <v>187</v>
      </c>
      <c r="P12" s="641" t="s">
        <v>188</v>
      </c>
      <c r="Q12" s="641" t="s">
        <v>185</v>
      </c>
      <c r="R12" s="641" t="s">
        <v>189</v>
      </c>
      <c r="S12" s="642" t="s">
        <v>190</v>
      </c>
      <c r="T12" s="79"/>
      <c r="U12" s="679" t="s">
        <v>456</v>
      </c>
      <c r="V12" s="602"/>
      <c r="W12" s="602"/>
      <c r="X12" s="602"/>
      <c r="Y12" s="602"/>
      <c r="Z12" s="603"/>
      <c r="AA12" s="80"/>
      <c r="AB12" s="80"/>
      <c r="AC12" s="80"/>
      <c r="AD12" s="80"/>
      <c r="AE12" s="80"/>
      <c r="AF12" s="80"/>
      <c r="AG12" s="80"/>
    </row>
    <row r="13" spans="1:33" ht="26.4" x14ac:dyDescent="0.3">
      <c r="A13" s="71"/>
      <c r="B13" s="608"/>
      <c r="C13" s="610"/>
      <c r="D13" s="635"/>
      <c r="E13" s="635"/>
      <c r="F13" s="608"/>
      <c r="G13" s="635"/>
      <c r="H13" s="608"/>
      <c r="I13" s="635"/>
      <c r="J13" s="608"/>
      <c r="K13" s="608"/>
      <c r="L13" s="635"/>
      <c r="M13" s="635"/>
      <c r="N13" s="635"/>
      <c r="O13" s="635"/>
      <c r="P13" s="635"/>
      <c r="Q13" s="635"/>
      <c r="R13" s="635"/>
      <c r="S13" s="635"/>
      <c r="T13" s="79"/>
      <c r="U13" s="103" t="s">
        <v>160</v>
      </c>
      <c r="V13" s="103" t="s">
        <v>161</v>
      </c>
      <c r="W13" s="103" t="s">
        <v>162</v>
      </c>
      <c r="X13" s="103" t="s">
        <v>163</v>
      </c>
      <c r="Y13" s="103" t="s">
        <v>164</v>
      </c>
      <c r="Z13" s="103" t="s">
        <v>165</v>
      </c>
      <c r="AA13" s="80"/>
      <c r="AB13" s="80"/>
      <c r="AC13" s="80"/>
      <c r="AD13" s="80"/>
      <c r="AE13" s="80"/>
      <c r="AF13" s="80"/>
      <c r="AG13" s="80"/>
    </row>
    <row r="14" spans="1:33" ht="21.75" customHeight="1" x14ac:dyDescent="0.3">
      <c r="A14" s="104"/>
      <c r="B14" s="105" t="s">
        <v>2315</v>
      </c>
      <c r="C14" s="106"/>
      <c r="D14" s="106"/>
      <c r="E14" s="106"/>
      <c r="F14" s="106"/>
      <c r="G14" s="106"/>
      <c r="H14" s="107"/>
      <c r="I14" s="107"/>
      <c r="J14" s="107"/>
      <c r="K14" s="107"/>
      <c r="L14" s="108"/>
      <c r="M14" s="106"/>
      <c r="N14" s="106"/>
      <c r="O14" s="108"/>
      <c r="P14" s="106"/>
      <c r="Q14" s="106"/>
      <c r="R14" s="106"/>
      <c r="S14" s="106"/>
      <c r="T14" s="79"/>
      <c r="U14" s="106"/>
      <c r="V14" s="106"/>
      <c r="W14" s="106"/>
      <c r="X14" s="106"/>
      <c r="Y14" s="106"/>
      <c r="Z14" s="109"/>
      <c r="AA14" s="81"/>
      <c r="AB14" s="81"/>
      <c r="AC14" s="81"/>
      <c r="AD14" s="81"/>
      <c r="AE14" s="81"/>
      <c r="AF14" s="81"/>
      <c r="AG14" s="81"/>
    </row>
    <row r="15" spans="1:33" ht="15.75" customHeight="1" x14ac:dyDescent="0.3">
      <c r="A15" s="104"/>
      <c r="B15" s="640" t="s">
        <v>191</v>
      </c>
      <c r="C15" s="602"/>
      <c r="D15" s="602"/>
      <c r="E15" s="602"/>
      <c r="F15" s="602"/>
      <c r="G15" s="602"/>
      <c r="H15" s="602"/>
      <c r="I15" s="602"/>
      <c r="J15" s="602"/>
      <c r="K15" s="602"/>
      <c r="L15" s="602"/>
      <c r="M15" s="602"/>
      <c r="N15" s="602"/>
      <c r="O15" s="602"/>
      <c r="P15" s="602"/>
      <c r="Q15" s="602"/>
      <c r="R15" s="602"/>
      <c r="S15" s="602"/>
      <c r="T15" s="79"/>
      <c r="U15" s="560" t="b">
        <v>1</v>
      </c>
      <c r="V15" s="560" t="b">
        <v>0</v>
      </c>
      <c r="W15" s="560" t="b">
        <v>0</v>
      </c>
      <c r="X15" s="560" t="b">
        <v>0</v>
      </c>
      <c r="Y15" s="560" t="b">
        <v>0</v>
      </c>
      <c r="Z15" s="561" t="b">
        <v>0</v>
      </c>
      <c r="AA15" s="81"/>
      <c r="AB15" s="81"/>
      <c r="AC15" s="81"/>
      <c r="AD15" s="81"/>
      <c r="AE15" s="81"/>
      <c r="AF15" s="81"/>
      <c r="AG15" s="81"/>
    </row>
    <row r="16" spans="1:33" ht="15.75" customHeight="1" x14ac:dyDescent="0.3">
      <c r="A16" s="104"/>
      <c r="B16" s="104"/>
      <c r="C16" s="110" t="s">
        <v>192</v>
      </c>
      <c r="D16" s="111"/>
      <c r="E16" s="111"/>
      <c r="F16" s="111"/>
      <c r="G16" s="111"/>
      <c r="H16" s="112"/>
      <c r="I16" s="112"/>
      <c r="J16" s="112"/>
      <c r="K16" s="112"/>
      <c r="L16" s="113"/>
      <c r="M16" s="111"/>
      <c r="N16" s="111"/>
      <c r="O16" s="113"/>
      <c r="P16" s="113">
        <f>COUNTIF(P17:P1651, "Done")</f>
        <v>172</v>
      </c>
      <c r="Q16" s="111"/>
      <c r="R16" s="111"/>
      <c r="S16" s="111"/>
      <c r="T16" s="79"/>
      <c r="U16" s="111"/>
      <c r="V16" s="111"/>
      <c r="W16" s="111"/>
      <c r="X16" s="111"/>
      <c r="Y16" s="111"/>
      <c r="Z16" s="114"/>
      <c r="AA16" s="81"/>
      <c r="AB16" s="81"/>
      <c r="AC16" s="81"/>
      <c r="AD16" s="81"/>
      <c r="AE16" s="81"/>
      <c r="AF16" s="81"/>
      <c r="AG16" s="81"/>
    </row>
    <row r="17" spans="1:33" ht="15.75" customHeight="1" x14ac:dyDescent="0.3">
      <c r="A17" s="104" t="s">
        <v>208</v>
      </c>
      <c r="B17" s="104"/>
      <c r="C17" s="130">
        <f t="shared" ref="C17:C22" ca="1" si="4">1+COUNT(INDIRECT("A1:"&amp;(ADDRESS(ROW()-1,COLUMN()))))</f>
        <v>1</v>
      </c>
      <c r="D17" s="236" t="s">
        <v>193</v>
      </c>
      <c r="E17" s="237"/>
      <c r="F17" s="562" t="s">
        <v>2318</v>
      </c>
      <c r="G17" s="368" t="s">
        <v>448</v>
      </c>
      <c r="H17" s="115" t="s">
        <v>2319</v>
      </c>
      <c r="I17" s="284" t="s">
        <v>209</v>
      </c>
      <c r="J17" s="380" t="s">
        <v>2226</v>
      </c>
      <c r="K17" s="156" t="s">
        <v>2320</v>
      </c>
      <c r="L17" s="141" t="s">
        <v>15</v>
      </c>
      <c r="M17" s="407">
        <v>46041</v>
      </c>
      <c r="N17" s="40" t="s">
        <v>6</v>
      </c>
      <c r="O17" s="141" t="s">
        <v>15</v>
      </c>
      <c r="P17" s="117"/>
      <c r="Q17" s="407">
        <v>46037</v>
      </c>
      <c r="R17" s="40" t="s">
        <v>445</v>
      </c>
      <c r="S17" s="83"/>
      <c r="T17" s="79"/>
      <c r="U17" s="84"/>
      <c r="V17" s="84"/>
      <c r="W17" s="84"/>
      <c r="X17" s="84"/>
      <c r="Y17" s="84"/>
      <c r="Z17" s="84"/>
      <c r="AA17" s="81"/>
      <c r="AB17" s="81"/>
      <c r="AC17" s="81"/>
      <c r="AD17" s="81"/>
      <c r="AE17" s="81"/>
      <c r="AF17" s="81"/>
      <c r="AG17" s="81"/>
    </row>
    <row r="18" spans="1:33" ht="15.75" customHeight="1" x14ac:dyDescent="0.3">
      <c r="A18" s="104"/>
      <c r="B18" s="104"/>
      <c r="C18" s="130">
        <f t="shared" ca="1" si="4"/>
        <v>2</v>
      </c>
      <c r="D18" s="563"/>
      <c r="E18" s="237"/>
      <c r="F18" s="562" t="s">
        <v>2318</v>
      </c>
      <c r="G18" s="368" t="s">
        <v>448</v>
      </c>
      <c r="H18" s="126" t="s">
        <v>207</v>
      </c>
      <c r="I18" s="284" t="s">
        <v>209</v>
      </c>
      <c r="J18" s="380" t="s">
        <v>2227</v>
      </c>
      <c r="K18" s="156" t="s">
        <v>2321</v>
      </c>
      <c r="L18" s="141" t="s">
        <v>15</v>
      </c>
      <c r="M18" s="407">
        <v>46041</v>
      </c>
      <c r="N18" s="40" t="s">
        <v>6</v>
      </c>
      <c r="O18" s="141" t="s">
        <v>15</v>
      </c>
      <c r="P18" s="117"/>
      <c r="Q18" s="407">
        <v>46037</v>
      </c>
      <c r="R18" s="40" t="s">
        <v>445</v>
      </c>
      <c r="S18" s="118"/>
      <c r="T18" s="79"/>
      <c r="U18" s="84"/>
      <c r="V18" s="84"/>
      <c r="W18" s="84"/>
      <c r="X18" s="84"/>
      <c r="Y18" s="84"/>
      <c r="Z18" s="84"/>
      <c r="AA18" s="81"/>
      <c r="AB18" s="81"/>
      <c r="AC18" s="81"/>
      <c r="AD18" s="81"/>
      <c r="AE18" s="81"/>
      <c r="AF18" s="81"/>
      <c r="AG18" s="81"/>
    </row>
    <row r="19" spans="1:33" ht="15.75" customHeight="1" x14ac:dyDescent="0.3">
      <c r="A19" s="104"/>
      <c r="B19" s="104"/>
      <c r="C19" s="130">
        <f t="shared" ca="1" si="4"/>
        <v>3</v>
      </c>
      <c r="D19" s="563"/>
      <c r="E19" s="237"/>
      <c r="F19" s="562" t="s">
        <v>2318</v>
      </c>
      <c r="G19" s="368" t="s">
        <v>448</v>
      </c>
      <c r="H19" s="126" t="s">
        <v>207</v>
      </c>
      <c r="I19" s="123"/>
      <c r="J19" s="127" t="s">
        <v>2228</v>
      </c>
      <c r="K19" s="308" t="s">
        <v>2322</v>
      </c>
      <c r="L19" s="141" t="s">
        <v>15</v>
      </c>
      <c r="M19" s="407">
        <v>46041</v>
      </c>
      <c r="N19" s="40" t="s">
        <v>6</v>
      </c>
      <c r="O19" s="141" t="s">
        <v>15</v>
      </c>
      <c r="P19" s="117"/>
      <c r="Q19" s="407">
        <v>46037</v>
      </c>
      <c r="R19" s="40" t="s">
        <v>445</v>
      </c>
      <c r="S19" s="118"/>
      <c r="T19" s="79"/>
      <c r="U19" s="84"/>
      <c r="V19" s="84"/>
      <c r="W19" s="84"/>
      <c r="X19" s="84"/>
      <c r="Y19" s="84"/>
      <c r="Z19" s="84"/>
      <c r="AA19" s="81"/>
      <c r="AB19" s="81"/>
      <c r="AC19" s="81"/>
      <c r="AD19" s="81"/>
      <c r="AE19" s="81"/>
      <c r="AF19" s="81"/>
      <c r="AG19" s="81"/>
    </row>
    <row r="20" spans="1:33" ht="15.75" customHeight="1" x14ac:dyDescent="0.3">
      <c r="A20" s="104"/>
      <c r="B20" s="104"/>
      <c r="C20" s="130">
        <f t="shared" ca="1" si="4"/>
        <v>4</v>
      </c>
      <c r="D20" s="563"/>
      <c r="E20" s="237"/>
      <c r="F20" s="562" t="s">
        <v>2318</v>
      </c>
      <c r="G20" s="368" t="s">
        <v>448</v>
      </c>
      <c r="H20" s="126" t="s">
        <v>207</v>
      </c>
      <c r="I20" s="123"/>
      <c r="J20" s="127" t="s">
        <v>2229</v>
      </c>
      <c r="K20" s="308" t="s">
        <v>2322</v>
      </c>
      <c r="L20" s="141" t="s">
        <v>15</v>
      </c>
      <c r="M20" s="407">
        <v>46041</v>
      </c>
      <c r="N20" s="40" t="s">
        <v>6</v>
      </c>
      <c r="O20" s="141" t="s">
        <v>15</v>
      </c>
      <c r="P20" s="117"/>
      <c r="Q20" s="407">
        <v>46037</v>
      </c>
      <c r="R20" s="40" t="s">
        <v>445</v>
      </c>
      <c r="S20" s="118"/>
      <c r="T20" s="79"/>
      <c r="U20" s="84"/>
      <c r="V20" s="84"/>
      <c r="W20" s="84"/>
      <c r="X20" s="84"/>
      <c r="Y20" s="84"/>
      <c r="Z20" s="84"/>
      <c r="AA20" s="81"/>
      <c r="AB20" s="81"/>
      <c r="AC20" s="81"/>
      <c r="AD20" s="81"/>
      <c r="AE20" s="81"/>
      <c r="AF20" s="81"/>
      <c r="AG20" s="81"/>
    </row>
    <row r="21" spans="1:33" ht="15.75" customHeight="1" x14ac:dyDescent="0.3">
      <c r="A21" s="104"/>
      <c r="B21" s="104"/>
      <c r="C21" s="130">
        <f t="shared" ca="1" si="4"/>
        <v>5</v>
      </c>
      <c r="D21" s="563"/>
      <c r="E21" s="237"/>
      <c r="F21" s="562" t="s">
        <v>2318</v>
      </c>
      <c r="G21" s="368" t="s">
        <v>448</v>
      </c>
      <c r="H21" s="126" t="s">
        <v>207</v>
      </c>
      <c r="I21" s="123"/>
      <c r="J21" s="127" t="s">
        <v>2230</v>
      </c>
      <c r="K21" s="308" t="s">
        <v>2322</v>
      </c>
      <c r="L21" s="141" t="s">
        <v>15</v>
      </c>
      <c r="M21" s="407">
        <v>46041</v>
      </c>
      <c r="N21" s="40" t="s">
        <v>6</v>
      </c>
      <c r="O21" s="141" t="s">
        <v>15</v>
      </c>
      <c r="P21" s="117"/>
      <c r="Q21" s="407">
        <v>46037</v>
      </c>
      <c r="R21" s="40" t="s">
        <v>445</v>
      </c>
      <c r="S21" s="118"/>
      <c r="T21" s="79"/>
      <c r="U21" s="84"/>
      <c r="V21" s="84"/>
      <c r="W21" s="84"/>
      <c r="X21" s="84"/>
      <c r="Y21" s="84"/>
      <c r="Z21" s="84"/>
      <c r="AA21" s="81"/>
      <c r="AB21" s="81"/>
      <c r="AC21" s="81"/>
      <c r="AD21" s="81"/>
      <c r="AE21" s="81"/>
      <c r="AF21" s="81"/>
      <c r="AG21" s="81"/>
    </row>
    <row r="22" spans="1:33" ht="15.75" customHeight="1" x14ac:dyDescent="0.3">
      <c r="A22" s="104"/>
      <c r="B22" s="104"/>
      <c r="C22" s="130">
        <f t="shared" ca="1" si="4"/>
        <v>6</v>
      </c>
      <c r="D22" s="564" t="s">
        <v>212</v>
      </c>
      <c r="E22" s="565"/>
      <c r="F22" s="562" t="s">
        <v>2323</v>
      </c>
      <c r="G22" s="368" t="s">
        <v>455</v>
      </c>
      <c r="H22" s="126" t="s">
        <v>207</v>
      </c>
      <c r="I22" s="14" t="s">
        <v>213</v>
      </c>
      <c r="J22" s="284" t="s">
        <v>2324</v>
      </c>
      <c r="K22" s="566" t="s">
        <v>2325</v>
      </c>
      <c r="L22" s="141" t="s">
        <v>15</v>
      </c>
      <c r="M22" s="407">
        <v>46041</v>
      </c>
      <c r="N22" s="40" t="s">
        <v>6</v>
      </c>
      <c r="O22" s="141" t="s">
        <v>47</v>
      </c>
      <c r="P22" s="117"/>
      <c r="Q22" s="407"/>
      <c r="R22" s="40"/>
      <c r="S22" s="83"/>
      <c r="T22" s="79"/>
      <c r="U22" s="84"/>
      <c r="V22" s="84"/>
      <c r="W22" s="84"/>
      <c r="X22" s="84"/>
      <c r="Y22" s="84"/>
      <c r="Z22" s="84"/>
      <c r="AA22" s="81"/>
      <c r="AB22" s="81"/>
      <c r="AC22" s="81"/>
      <c r="AD22" s="81"/>
      <c r="AE22" s="81"/>
      <c r="AF22" s="81"/>
      <c r="AG22" s="81"/>
    </row>
    <row r="23" spans="1:33" ht="15.75" customHeight="1" x14ac:dyDescent="0.3">
      <c r="A23" s="104"/>
      <c r="B23" s="640" t="s">
        <v>194</v>
      </c>
      <c r="C23" s="602"/>
      <c r="D23" s="602"/>
      <c r="E23" s="602"/>
      <c r="F23" s="602"/>
      <c r="G23" s="602"/>
      <c r="H23" s="602"/>
      <c r="I23" s="602"/>
      <c r="J23" s="602"/>
      <c r="K23" s="602"/>
      <c r="L23" s="602"/>
      <c r="M23" s="602"/>
      <c r="N23" s="602"/>
      <c r="O23" s="602"/>
      <c r="P23" s="602"/>
      <c r="Q23" s="602"/>
      <c r="R23" s="602"/>
      <c r="S23" s="602"/>
      <c r="T23" s="602"/>
      <c r="U23" s="602"/>
      <c r="V23" s="602"/>
      <c r="W23" s="602"/>
      <c r="X23" s="602"/>
      <c r="Y23" s="602"/>
      <c r="Z23" s="602"/>
      <c r="AA23" s="602"/>
      <c r="AB23" s="602"/>
      <c r="AC23" s="602"/>
      <c r="AD23" s="602"/>
      <c r="AE23" s="602"/>
      <c r="AF23" s="602"/>
      <c r="AG23" s="602"/>
    </row>
    <row r="24" spans="1:33" ht="15.75" customHeight="1" x14ac:dyDescent="0.3">
      <c r="A24" s="104"/>
      <c r="B24" s="104"/>
      <c r="C24" s="130">
        <f t="shared" ref="C24:C28" ca="1" si="5">1+COUNT(INDIRECT("A1:"&amp;(ADDRESS(ROW()-1,COLUMN()))))</f>
        <v>7</v>
      </c>
      <c r="D24" s="166" t="s">
        <v>195</v>
      </c>
      <c r="E24" s="242" t="s">
        <v>214</v>
      </c>
      <c r="F24" s="567" t="s">
        <v>2326</v>
      </c>
      <c r="G24" s="219" t="s">
        <v>452</v>
      </c>
      <c r="H24" s="243" t="s">
        <v>215</v>
      </c>
      <c r="I24" s="172"/>
      <c r="J24" s="172" t="s">
        <v>231</v>
      </c>
      <c r="K24" s="244" t="s">
        <v>2327</v>
      </c>
      <c r="L24" s="141"/>
      <c r="M24" s="193"/>
      <c r="N24" s="194"/>
      <c r="O24" s="141" t="s">
        <v>158</v>
      </c>
      <c r="P24" s="117"/>
      <c r="Q24" s="407">
        <v>46037</v>
      </c>
      <c r="R24" s="40" t="s">
        <v>445</v>
      </c>
      <c r="S24" s="195" t="s">
        <v>2328</v>
      </c>
      <c r="T24" s="357"/>
      <c r="U24" s="84"/>
      <c r="V24" s="84"/>
      <c r="W24" s="84"/>
      <c r="X24" s="84"/>
      <c r="Y24" s="84"/>
      <c r="Z24" s="84"/>
      <c r="AA24" s="81"/>
      <c r="AB24" s="81"/>
      <c r="AC24" s="81"/>
      <c r="AD24" s="81"/>
      <c r="AE24" s="81"/>
      <c r="AF24" s="81"/>
      <c r="AG24" s="81"/>
    </row>
    <row r="25" spans="1:33" ht="15.75" customHeight="1" x14ac:dyDescent="0.3">
      <c r="A25" s="104"/>
      <c r="B25" s="104"/>
      <c r="C25" s="130">
        <f t="shared" ca="1" si="5"/>
        <v>8</v>
      </c>
      <c r="D25" s="181" t="s">
        <v>472</v>
      </c>
      <c r="E25" s="306" t="s">
        <v>435</v>
      </c>
      <c r="F25" s="401" t="s">
        <v>460</v>
      </c>
      <c r="G25" s="402" t="s">
        <v>448</v>
      </c>
      <c r="H25" s="200" t="s">
        <v>207</v>
      </c>
      <c r="I25" s="307"/>
      <c r="J25" s="127" t="s">
        <v>225</v>
      </c>
      <c r="K25" s="127" t="s">
        <v>437</v>
      </c>
      <c r="L25" s="141" t="s">
        <v>15</v>
      </c>
      <c r="M25" s="407">
        <v>46041</v>
      </c>
      <c r="N25" s="40" t="s">
        <v>6</v>
      </c>
      <c r="O25" s="141" t="s">
        <v>15</v>
      </c>
      <c r="P25" s="117"/>
      <c r="Q25" s="407">
        <v>46037</v>
      </c>
      <c r="R25" s="40" t="s">
        <v>445</v>
      </c>
      <c r="S25" s="208"/>
      <c r="T25" s="357"/>
      <c r="U25" s="84"/>
      <c r="V25" s="84"/>
      <c r="W25" s="84"/>
      <c r="X25" s="84"/>
      <c r="Y25" s="84"/>
      <c r="Z25" s="84"/>
      <c r="AA25" s="81"/>
      <c r="AB25" s="81"/>
      <c r="AC25" s="81"/>
      <c r="AD25" s="81"/>
      <c r="AE25" s="81"/>
      <c r="AF25" s="81"/>
      <c r="AG25" s="81"/>
    </row>
    <row r="26" spans="1:33" ht="15.75" customHeight="1" x14ac:dyDescent="0.3">
      <c r="A26" s="104"/>
      <c r="B26" s="104"/>
      <c r="C26" s="130">
        <f t="shared" ca="1" si="5"/>
        <v>9</v>
      </c>
      <c r="D26" s="295"/>
      <c r="E26" s="127" t="s">
        <v>216</v>
      </c>
      <c r="F26" s="229" t="s">
        <v>2329</v>
      </c>
      <c r="G26" s="568" t="s">
        <v>448</v>
      </c>
      <c r="H26" s="204"/>
      <c r="I26" s="203" t="s">
        <v>2231</v>
      </c>
      <c r="J26" s="203" t="s">
        <v>227</v>
      </c>
      <c r="K26" s="365" t="s">
        <v>2330</v>
      </c>
      <c r="L26" s="141" t="s">
        <v>15</v>
      </c>
      <c r="M26" s="407">
        <v>46041</v>
      </c>
      <c r="N26" s="40" t="s">
        <v>6</v>
      </c>
      <c r="O26" s="141" t="s">
        <v>15</v>
      </c>
      <c r="P26" s="117"/>
      <c r="Q26" s="407">
        <v>46037</v>
      </c>
      <c r="R26" s="40" t="s">
        <v>445</v>
      </c>
      <c r="S26" s="208"/>
      <c r="T26" s="357"/>
      <c r="U26" s="84"/>
      <c r="V26" s="84"/>
      <c r="W26" s="84"/>
      <c r="X26" s="84"/>
      <c r="Y26" s="84"/>
      <c r="Z26" s="84"/>
      <c r="AA26" s="81"/>
      <c r="AB26" s="81"/>
      <c r="AC26" s="81"/>
      <c r="AD26" s="81"/>
      <c r="AE26" s="81"/>
      <c r="AF26" s="81"/>
      <c r="AG26" s="81"/>
    </row>
    <row r="27" spans="1:33" ht="15.75" customHeight="1" x14ac:dyDescent="0.3">
      <c r="A27" s="104"/>
      <c r="B27" s="104"/>
      <c r="C27" s="130">
        <f t="shared" ca="1" si="5"/>
        <v>10</v>
      </c>
      <c r="D27" s="215"/>
      <c r="E27" s="127" t="s">
        <v>216</v>
      </c>
      <c r="F27" s="229" t="s">
        <v>2329</v>
      </c>
      <c r="G27" s="568" t="s">
        <v>448</v>
      </c>
      <c r="H27" s="204"/>
      <c r="I27" s="203" t="s">
        <v>2331</v>
      </c>
      <c r="J27" s="203" t="s">
        <v>227</v>
      </c>
      <c r="K27" s="365" t="s">
        <v>2332</v>
      </c>
      <c r="L27" s="141" t="s">
        <v>46</v>
      </c>
      <c r="M27" s="407"/>
      <c r="N27" s="40"/>
      <c r="O27" s="141"/>
      <c r="P27" s="117"/>
      <c r="Q27" s="407">
        <v>46037</v>
      </c>
      <c r="R27" s="40" t="s">
        <v>445</v>
      </c>
      <c r="S27" s="208"/>
      <c r="T27" s="357"/>
      <c r="U27" s="84"/>
      <c r="V27" s="84"/>
      <c r="W27" s="84"/>
      <c r="X27" s="84"/>
      <c r="Y27" s="84"/>
      <c r="Z27" s="84"/>
      <c r="AA27" s="81"/>
      <c r="AB27" s="81"/>
      <c r="AC27" s="81"/>
      <c r="AD27" s="81"/>
      <c r="AE27" s="81"/>
      <c r="AF27" s="81"/>
      <c r="AG27" s="81"/>
    </row>
    <row r="28" spans="1:33" ht="15.75" customHeight="1" x14ac:dyDescent="0.3">
      <c r="A28" s="104"/>
      <c r="B28" s="104"/>
      <c r="C28" s="130">
        <f t="shared" ca="1" si="5"/>
        <v>11</v>
      </c>
      <c r="D28" s="166" t="s">
        <v>2232</v>
      </c>
      <c r="E28" s="242" t="s">
        <v>237</v>
      </c>
      <c r="F28" s="567" t="s">
        <v>459</v>
      </c>
      <c r="G28" s="219" t="s">
        <v>448</v>
      </c>
      <c r="H28" s="243"/>
      <c r="I28" s="172"/>
      <c r="J28" s="172" t="s">
        <v>238</v>
      </c>
      <c r="K28" s="226" t="s">
        <v>2233</v>
      </c>
      <c r="L28" s="141" t="s">
        <v>15</v>
      </c>
      <c r="M28" s="407">
        <v>46041</v>
      </c>
      <c r="N28" s="40" t="s">
        <v>6</v>
      </c>
      <c r="O28" s="141" t="s">
        <v>15</v>
      </c>
      <c r="P28" s="117"/>
      <c r="Q28" s="407">
        <v>46037</v>
      </c>
      <c r="R28" s="40" t="s">
        <v>445</v>
      </c>
      <c r="S28" s="208"/>
      <c r="T28" s="357"/>
      <c r="U28" s="84"/>
      <c r="V28" s="84"/>
      <c r="W28" s="84"/>
      <c r="X28" s="84"/>
      <c r="Y28" s="84"/>
      <c r="Z28" s="84"/>
      <c r="AA28" s="81"/>
      <c r="AB28" s="81"/>
      <c r="AC28" s="81"/>
      <c r="AD28" s="81"/>
      <c r="AE28" s="81"/>
      <c r="AF28" s="81"/>
      <c r="AG28" s="81"/>
    </row>
    <row r="29" spans="1:33" ht="15.75" customHeight="1" x14ac:dyDescent="0.3">
      <c r="A29" s="104"/>
      <c r="B29" s="104"/>
      <c r="C29" s="663" t="s">
        <v>2333</v>
      </c>
      <c r="D29" s="602"/>
      <c r="E29" s="602"/>
      <c r="F29" s="602"/>
      <c r="G29" s="602"/>
      <c r="H29" s="602"/>
      <c r="I29" s="602"/>
      <c r="J29" s="602"/>
      <c r="K29" s="602"/>
      <c r="L29" s="602"/>
      <c r="M29" s="602"/>
      <c r="N29" s="602"/>
      <c r="O29" s="602"/>
      <c r="P29" s="602"/>
      <c r="Q29" s="602"/>
      <c r="R29" s="602"/>
      <c r="S29" s="602"/>
      <c r="T29" s="602"/>
      <c r="U29" s="602"/>
      <c r="V29" s="602"/>
      <c r="W29" s="602"/>
      <c r="X29" s="602"/>
      <c r="Y29" s="602"/>
      <c r="Z29" s="602"/>
      <c r="AA29" s="81"/>
      <c r="AB29" s="81"/>
      <c r="AC29" s="81"/>
      <c r="AD29" s="81"/>
      <c r="AE29" s="81"/>
      <c r="AF29" s="81"/>
      <c r="AG29" s="81"/>
    </row>
    <row r="30" spans="1:33" ht="15.75" customHeight="1" x14ac:dyDescent="0.3">
      <c r="A30" s="104"/>
      <c r="B30" s="104"/>
      <c r="C30" s="130">
        <f t="shared" ref="C30:C284" ca="1" si="6">1+COUNT(INDIRECT("A1:"&amp;(ADDRESS(ROW()-1,COLUMN()))))</f>
        <v>12</v>
      </c>
      <c r="D30" s="166" t="s">
        <v>239</v>
      </c>
      <c r="E30" s="242" t="s">
        <v>237</v>
      </c>
      <c r="F30" s="567" t="s">
        <v>459</v>
      </c>
      <c r="G30" s="219" t="s">
        <v>448</v>
      </c>
      <c r="H30" s="243"/>
      <c r="I30" s="172"/>
      <c r="J30" s="172" t="s">
        <v>238</v>
      </c>
      <c r="K30" s="226" t="s">
        <v>2236</v>
      </c>
      <c r="L30" s="141" t="s">
        <v>15</v>
      </c>
      <c r="M30" s="407">
        <v>46041</v>
      </c>
      <c r="N30" s="40" t="s">
        <v>6</v>
      </c>
      <c r="O30" s="141" t="s">
        <v>15</v>
      </c>
      <c r="P30" s="117"/>
      <c r="Q30" s="407">
        <v>46037</v>
      </c>
      <c r="R30" s="40" t="s">
        <v>445</v>
      </c>
      <c r="S30" s="208"/>
      <c r="T30" s="357"/>
      <c r="U30" s="84"/>
      <c r="V30" s="84"/>
      <c r="W30" s="84"/>
      <c r="X30" s="84"/>
      <c r="Y30" s="84"/>
      <c r="Z30" s="84"/>
      <c r="AA30" s="81"/>
      <c r="AB30" s="81"/>
      <c r="AC30" s="81"/>
      <c r="AD30" s="81"/>
      <c r="AE30" s="81"/>
      <c r="AF30" s="81"/>
      <c r="AG30" s="81"/>
    </row>
    <row r="31" spans="1:33" ht="15.75" customHeight="1" x14ac:dyDescent="0.3">
      <c r="A31" s="104"/>
      <c r="B31" s="104"/>
      <c r="C31" s="130">
        <f t="shared" ca="1" si="6"/>
        <v>13</v>
      </c>
      <c r="D31" s="166" t="s">
        <v>240</v>
      </c>
      <c r="E31" s="242" t="s">
        <v>237</v>
      </c>
      <c r="F31" s="567" t="s">
        <v>459</v>
      </c>
      <c r="G31" s="219" t="s">
        <v>448</v>
      </c>
      <c r="H31" s="243"/>
      <c r="I31" s="172"/>
      <c r="J31" s="172" t="s">
        <v>238</v>
      </c>
      <c r="K31" s="226" t="s">
        <v>2237</v>
      </c>
      <c r="L31" s="141" t="s">
        <v>15</v>
      </c>
      <c r="M31" s="407">
        <v>46041</v>
      </c>
      <c r="N31" s="40" t="s">
        <v>6</v>
      </c>
      <c r="O31" s="141" t="s">
        <v>15</v>
      </c>
      <c r="P31" s="117"/>
      <c r="Q31" s="407">
        <v>46037</v>
      </c>
      <c r="R31" s="40" t="s">
        <v>445</v>
      </c>
      <c r="S31" s="208"/>
      <c r="T31" s="357"/>
      <c r="U31" s="84"/>
      <c r="V31" s="84"/>
      <c r="W31" s="84"/>
      <c r="X31" s="84"/>
      <c r="Y31" s="84"/>
      <c r="Z31" s="84"/>
      <c r="AA31" s="81"/>
      <c r="AB31" s="81"/>
      <c r="AC31" s="81"/>
      <c r="AD31" s="81"/>
      <c r="AE31" s="81"/>
      <c r="AF31" s="81"/>
      <c r="AG31" s="81"/>
    </row>
    <row r="32" spans="1:33" ht="15.75" customHeight="1" x14ac:dyDescent="0.3">
      <c r="A32" s="104"/>
      <c r="B32" s="104"/>
      <c r="C32" s="130">
        <f t="shared" ca="1" si="6"/>
        <v>14</v>
      </c>
      <c r="D32" s="317" t="s">
        <v>546</v>
      </c>
      <c r="E32" s="120"/>
      <c r="F32" s="355" t="s">
        <v>457</v>
      </c>
      <c r="G32" s="127" t="s">
        <v>448</v>
      </c>
      <c r="H32" s="274"/>
      <c r="I32" s="14"/>
      <c r="J32" s="152" t="s">
        <v>2238</v>
      </c>
      <c r="K32" s="128" t="s">
        <v>2334</v>
      </c>
      <c r="L32" s="141" t="s">
        <v>15</v>
      </c>
      <c r="M32" s="193">
        <v>46045</v>
      </c>
      <c r="N32" s="194" t="s">
        <v>4</v>
      </c>
      <c r="O32" s="141"/>
      <c r="P32" s="117"/>
      <c r="Q32" s="407">
        <v>46037</v>
      </c>
      <c r="R32" s="40" t="s">
        <v>445</v>
      </c>
      <c r="S32" s="208"/>
      <c r="T32" s="357"/>
      <c r="U32" s="84"/>
      <c r="V32" s="84"/>
      <c r="W32" s="84"/>
      <c r="X32" s="84"/>
      <c r="Y32" s="84"/>
      <c r="Z32" s="84"/>
      <c r="AA32" s="81"/>
      <c r="AB32" s="81"/>
      <c r="AC32" s="81"/>
      <c r="AD32" s="81"/>
      <c r="AE32" s="81"/>
      <c r="AF32" s="81"/>
      <c r="AG32" s="81"/>
    </row>
    <row r="33" spans="1:33" ht="15.75" customHeight="1" x14ac:dyDescent="0.3">
      <c r="A33" s="104"/>
      <c r="B33" s="104"/>
      <c r="C33" s="130">
        <f t="shared" ca="1" si="6"/>
        <v>15</v>
      </c>
      <c r="D33" s="166" t="s">
        <v>2239</v>
      </c>
      <c r="E33" s="242" t="s">
        <v>237</v>
      </c>
      <c r="F33" s="567" t="s">
        <v>459</v>
      </c>
      <c r="G33" s="219" t="s">
        <v>448</v>
      </c>
      <c r="H33" s="243"/>
      <c r="I33" s="172" t="s">
        <v>364</v>
      </c>
      <c r="J33" s="172" t="s">
        <v>241</v>
      </c>
      <c r="K33" s="226" t="s">
        <v>2335</v>
      </c>
      <c r="L33" s="141" t="s">
        <v>15</v>
      </c>
      <c r="M33" s="407">
        <v>46041</v>
      </c>
      <c r="N33" s="40" t="s">
        <v>6</v>
      </c>
      <c r="O33" s="141" t="s">
        <v>15</v>
      </c>
      <c r="P33" s="117"/>
      <c r="Q33" s="407">
        <v>46037</v>
      </c>
      <c r="R33" s="40" t="s">
        <v>445</v>
      </c>
      <c r="S33" s="208"/>
      <c r="T33" s="357"/>
      <c r="U33" s="84"/>
      <c r="V33" s="84"/>
      <c r="W33" s="84"/>
      <c r="X33" s="84"/>
      <c r="Y33" s="84"/>
      <c r="Z33" s="84"/>
      <c r="AA33" s="81"/>
      <c r="AB33" s="81"/>
      <c r="AC33" s="81"/>
      <c r="AD33" s="81"/>
      <c r="AE33" s="81"/>
      <c r="AF33" s="81"/>
      <c r="AG33" s="81"/>
    </row>
    <row r="34" spans="1:33" ht="15.75" customHeight="1" x14ac:dyDescent="0.3">
      <c r="A34" s="104"/>
      <c r="B34" s="104"/>
      <c r="C34" s="130">
        <f t="shared" ca="1" si="6"/>
        <v>16</v>
      </c>
      <c r="D34" s="166" t="s">
        <v>2239</v>
      </c>
      <c r="E34" s="242" t="s">
        <v>237</v>
      </c>
      <c r="F34" s="567" t="s">
        <v>459</v>
      </c>
      <c r="G34" s="219" t="s">
        <v>448</v>
      </c>
      <c r="H34" s="243"/>
      <c r="I34" s="172" t="s">
        <v>372</v>
      </c>
      <c r="J34" s="172" t="s">
        <v>241</v>
      </c>
      <c r="K34" s="226" t="s">
        <v>2336</v>
      </c>
      <c r="L34" s="141" t="s">
        <v>15</v>
      </c>
      <c r="M34" s="193">
        <v>46045</v>
      </c>
      <c r="N34" s="194" t="s">
        <v>4</v>
      </c>
      <c r="O34" s="141" t="s">
        <v>15</v>
      </c>
      <c r="P34" s="117"/>
      <c r="Q34" s="407">
        <v>46037</v>
      </c>
      <c r="R34" s="40" t="s">
        <v>445</v>
      </c>
      <c r="S34" s="208"/>
      <c r="T34" s="357"/>
      <c r="U34" s="84"/>
      <c r="V34" s="84"/>
      <c r="W34" s="84"/>
      <c r="X34" s="84"/>
      <c r="Y34" s="84"/>
      <c r="Z34" s="84"/>
      <c r="AA34" s="81"/>
      <c r="AB34" s="81"/>
      <c r="AC34" s="81"/>
      <c r="AD34" s="81"/>
      <c r="AE34" s="81"/>
      <c r="AF34" s="81"/>
      <c r="AG34" s="81"/>
    </row>
    <row r="35" spans="1:33" ht="15.75" customHeight="1" x14ac:dyDescent="0.3">
      <c r="A35" s="104"/>
      <c r="B35" s="104"/>
      <c r="C35" s="130">
        <f t="shared" ca="1" si="6"/>
        <v>17</v>
      </c>
      <c r="D35" s="166" t="s">
        <v>2241</v>
      </c>
      <c r="E35" s="242" t="s">
        <v>237</v>
      </c>
      <c r="F35" s="567" t="s">
        <v>459</v>
      </c>
      <c r="G35" s="219" t="s">
        <v>448</v>
      </c>
      <c r="H35" s="243"/>
      <c r="I35" s="172"/>
      <c r="J35" s="172" t="s">
        <v>242</v>
      </c>
      <c r="K35" s="244" t="s">
        <v>2337</v>
      </c>
      <c r="L35" s="141" t="s">
        <v>15</v>
      </c>
      <c r="M35" s="407">
        <v>46041</v>
      </c>
      <c r="N35" s="40" t="s">
        <v>6</v>
      </c>
      <c r="O35" s="141" t="s">
        <v>15</v>
      </c>
      <c r="P35" s="117"/>
      <c r="Q35" s="407">
        <v>46037</v>
      </c>
      <c r="R35" s="40" t="s">
        <v>445</v>
      </c>
      <c r="S35" s="208"/>
      <c r="T35" s="357"/>
      <c r="U35" s="84"/>
      <c r="V35" s="84"/>
      <c r="W35" s="84"/>
      <c r="X35" s="84"/>
      <c r="Y35" s="84"/>
      <c r="Z35" s="84"/>
      <c r="AA35" s="81"/>
      <c r="AB35" s="81"/>
      <c r="AC35" s="81"/>
      <c r="AD35" s="81"/>
      <c r="AE35" s="81"/>
      <c r="AF35" s="81"/>
      <c r="AG35" s="81"/>
    </row>
    <row r="36" spans="1:33" ht="15.75" customHeight="1" x14ac:dyDescent="0.3">
      <c r="A36" s="104"/>
      <c r="B36" s="104"/>
      <c r="C36" s="130">
        <f t="shared" ca="1" si="6"/>
        <v>18</v>
      </c>
      <c r="D36" s="166" t="s">
        <v>243</v>
      </c>
      <c r="E36" s="242" t="s">
        <v>237</v>
      </c>
      <c r="F36" s="567" t="s">
        <v>459</v>
      </c>
      <c r="G36" s="219" t="s">
        <v>448</v>
      </c>
      <c r="H36" s="243"/>
      <c r="I36" s="172"/>
      <c r="J36" s="172" t="s">
        <v>242</v>
      </c>
      <c r="K36" s="226" t="s">
        <v>2338</v>
      </c>
      <c r="L36" s="141" t="s">
        <v>15</v>
      </c>
      <c r="M36" s="407">
        <v>46041</v>
      </c>
      <c r="N36" s="40" t="s">
        <v>6</v>
      </c>
      <c r="O36" s="141" t="s">
        <v>15</v>
      </c>
      <c r="P36" s="117"/>
      <c r="Q36" s="407">
        <v>46037</v>
      </c>
      <c r="R36" s="40" t="s">
        <v>445</v>
      </c>
      <c r="S36" s="208"/>
      <c r="T36" s="357"/>
      <c r="U36" s="84"/>
      <c r="V36" s="84"/>
      <c r="W36" s="84"/>
      <c r="X36" s="84"/>
      <c r="Y36" s="84"/>
      <c r="Z36" s="84"/>
      <c r="AA36" s="81"/>
      <c r="AB36" s="81"/>
      <c r="AC36" s="81"/>
      <c r="AD36" s="81"/>
      <c r="AE36" s="81"/>
      <c r="AF36" s="81"/>
      <c r="AG36" s="81"/>
    </row>
    <row r="37" spans="1:33" ht="15.75" customHeight="1" x14ac:dyDescent="0.3">
      <c r="A37" s="104"/>
      <c r="B37" s="104"/>
      <c r="C37" s="130">
        <f t="shared" ca="1" si="6"/>
        <v>19</v>
      </c>
      <c r="D37" s="166" t="s">
        <v>244</v>
      </c>
      <c r="E37" s="242" t="s">
        <v>237</v>
      </c>
      <c r="F37" s="567" t="s">
        <v>459</v>
      </c>
      <c r="G37" s="219" t="s">
        <v>448</v>
      </c>
      <c r="H37" s="243"/>
      <c r="I37" s="172"/>
      <c r="J37" s="172" t="s">
        <v>242</v>
      </c>
      <c r="K37" s="226" t="s">
        <v>245</v>
      </c>
      <c r="L37" s="141" t="s">
        <v>15</v>
      </c>
      <c r="M37" s="407">
        <v>46041</v>
      </c>
      <c r="N37" s="40" t="s">
        <v>6</v>
      </c>
      <c r="O37" s="141" t="s">
        <v>158</v>
      </c>
      <c r="P37" s="117"/>
      <c r="Q37" s="407">
        <v>46037</v>
      </c>
      <c r="R37" s="40" t="s">
        <v>445</v>
      </c>
      <c r="S37" s="208" t="s">
        <v>2339</v>
      </c>
      <c r="T37" s="357"/>
      <c r="U37" s="84"/>
      <c r="V37" s="84"/>
      <c r="W37" s="84"/>
      <c r="X37" s="84"/>
      <c r="Y37" s="84"/>
      <c r="Z37" s="84"/>
      <c r="AA37" s="81"/>
      <c r="AB37" s="81"/>
      <c r="AC37" s="81"/>
      <c r="AD37" s="81"/>
      <c r="AE37" s="81"/>
      <c r="AF37" s="81"/>
      <c r="AG37" s="81"/>
    </row>
    <row r="38" spans="1:33" ht="15.75" customHeight="1" x14ac:dyDescent="0.3">
      <c r="A38" s="104"/>
      <c r="B38" s="104"/>
      <c r="C38" s="130">
        <f t="shared" ca="1" si="6"/>
        <v>20</v>
      </c>
      <c r="D38" s="166" t="s">
        <v>246</v>
      </c>
      <c r="E38" s="242" t="s">
        <v>237</v>
      </c>
      <c r="F38" s="567" t="s">
        <v>459</v>
      </c>
      <c r="G38" s="219" t="s">
        <v>448</v>
      </c>
      <c r="H38" s="243"/>
      <c r="I38" s="172"/>
      <c r="J38" s="172" t="s">
        <v>242</v>
      </c>
      <c r="K38" s="226" t="s">
        <v>247</v>
      </c>
      <c r="L38" s="141" t="s">
        <v>15</v>
      </c>
      <c r="M38" s="407">
        <v>46041</v>
      </c>
      <c r="N38" s="40" t="s">
        <v>6</v>
      </c>
      <c r="O38" s="141" t="s">
        <v>158</v>
      </c>
      <c r="P38" s="117"/>
      <c r="Q38" s="407">
        <v>46037</v>
      </c>
      <c r="R38" s="40" t="s">
        <v>445</v>
      </c>
      <c r="S38" s="208" t="s">
        <v>2340</v>
      </c>
      <c r="T38" s="357"/>
      <c r="U38" s="84"/>
      <c r="V38" s="84"/>
      <c r="W38" s="84"/>
      <c r="X38" s="84"/>
      <c r="Y38" s="84"/>
      <c r="Z38" s="84"/>
      <c r="AA38" s="81"/>
      <c r="AB38" s="81"/>
      <c r="AC38" s="81"/>
      <c r="AD38" s="81"/>
      <c r="AE38" s="81"/>
      <c r="AF38" s="81"/>
      <c r="AG38" s="81"/>
    </row>
    <row r="39" spans="1:33" ht="15.75" customHeight="1" x14ac:dyDescent="0.3">
      <c r="A39" s="104"/>
      <c r="B39" s="104"/>
      <c r="C39" s="130">
        <f t="shared" ca="1" si="6"/>
        <v>21</v>
      </c>
      <c r="D39" s="166" t="s">
        <v>248</v>
      </c>
      <c r="E39" s="242" t="s">
        <v>237</v>
      </c>
      <c r="F39" s="567" t="s">
        <v>459</v>
      </c>
      <c r="G39" s="219" t="s">
        <v>448</v>
      </c>
      <c r="H39" s="243"/>
      <c r="I39" s="172"/>
      <c r="J39" s="172" t="s">
        <v>2242</v>
      </c>
      <c r="K39" s="249" t="s">
        <v>2341</v>
      </c>
      <c r="L39" s="141" t="s">
        <v>15</v>
      </c>
      <c r="M39" s="407">
        <v>46045</v>
      </c>
      <c r="N39" s="40" t="s">
        <v>6</v>
      </c>
      <c r="O39" s="141" t="s">
        <v>15</v>
      </c>
      <c r="P39" s="117"/>
      <c r="Q39" s="407">
        <v>46037</v>
      </c>
      <c r="R39" s="40" t="s">
        <v>445</v>
      </c>
      <c r="S39" s="208"/>
      <c r="T39" s="357"/>
      <c r="U39" s="84"/>
      <c r="V39" s="84"/>
      <c r="W39" s="84"/>
      <c r="X39" s="84"/>
      <c r="Y39" s="84"/>
      <c r="Z39" s="84"/>
      <c r="AA39" s="81"/>
      <c r="AB39" s="81"/>
      <c r="AC39" s="81"/>
      <c r="AD39" s="81"/>
      <c r="AE39" s="81"/>
      <c r="AF39" s="81"/>
      <c r="AG39" s="81"/>
    </row>
    <row r="40" spans="1:33" ht="15.75" customHeight="1" x14ac:dyDescent="0.3">
      <c r="A40" s="104"/>
      <c r="B40" s="104"/>
      <c r="C40" s="130">
        <f t="shared" ca="1" si="6"/>
        <v>22</v>
      </c>
      <c r="D40" s="166" t="s">
        <v>249</v>
      </c>
      <c r="E40" s="242" t="s">
        <v>237</v>
      </c>
      <c r="F40" s="567" t="s">
        <v>459</v>
      </c>
      <c r="G40" s="219" t="s">
        <v>448</v>
      </c>
      <c r="H40" s="243"/>
      <c r="I40" s="172"/>
      <c r="J40" s="172" t="s">
        <v>242</v>
      </c>
      <c r="K40" s="245" t="s">
        <v>2243</v>
      </c>
      <c r="L40" s="141" t="s">
        <v>15</v>
      </c>
      <c r="M40" s="407">
        <v>46041</v>
      </c>
      <c r="N40" s="40" t="s">
        <v>6</v>
      </c>
      <c r="O40" s="141" t="s">
        <v>15</v>
      </c>
      <c r="P40" s="117"/>
      <c r="Q40" s="407">
        <v>46037</v>
      </c>
      <c r="R40" s="40" t="s">
        <v>445</v>
      </c>
      <c r="S40" s="208"/>
      <c r="T40" s="357"/>
      <c r="U40" s="84"/>
      <c r="V40" s="84"/>
      <c r="W40" s="84"/>
      <c r="X40" s="84"/>
      <c r="Y40" s="84"/>
      <c r="Z40" s="84"/>
      <c r="AA40" s="81"/>
      <c r="AB40" s="81"/>
      <c r="AC40" s="81"/>
      <c r="AD40" s="81"/>
      <c r="AE40" s="81"/>
      <c r="AF40" s="81"/>
      <c r="AG40" s="81"/>
    </row>
    <row r="41" spans="1:33" ht="15.75" customHeight="1" x14ac:dyDescent="0.3">
      <c r="A41" s="104"/>
      <c r="B41" s="104"/>
      <c r="C41" s="130">
        <f t="shared" ca="1" si="6"/>
        <v>23</v>
      </c>
      <c r="D41" s="166" t="s">
        <v>250</v>
      </c>
      <c r="E41" s="242" t="s">
        <v>237</v>
      </c>
      <c r="F41" s="567" t="s">
        <v>459</v>
      </c>
      <c r="G41" s="219" t="s">
        <v>448</v>
      </c>
      <c r="H41" s="243"/>
      <c r="I41" s="172" t="s">
        <v>2244</v>
      </c>
      <c r="J41" s="172" t="s">
        <v>242</v>
      </c>
      <c r="K41" s="245" t="s">
        <v>2245</v>
      </c>
      <c r="L41" s="141" t="s">
        <v>15</v>
      </c>
      <c r="M41" s="407">
        <v>46041</v>
      </c>
      <c r="N41" s="40" t="s">
        <v>6</v>
      </c>
      <c r="O41" s="141" t="s">
        <v>46</v>
      </c>
      <c r="P41" s="117"/>
      <c r="Q41" s="407">
        <v>46037</v>
      </c>
      <c r="R41" s="40" t="s">
        <v>445</v>
      </c>
      <c r="S41" s="208"/>
      <c r="T41" s="357"/>
      <c r="U41" s="84"/>
      <c r="V41" s="84"/>
      <c r="W41" s="84"/>
      <c r="X41" s="84"/>
      <c r="Y41" s="84"/>
      <c r="Z41" s="84"/>
      <c r="AA41" s="81"/>
      <c r="AB41" s="81"/>
      <c r="AC41" s="81"/>
      <c r="AD41" s="81"/>
      <c r="AE41" s="81"/>
      <c r="AF41" s="81"/>
      <c r="AG41" s="81"/>
    </row>
    <row r="42" spans="1:33" ht="15.75" customHeight="1" x14ac:dyDescent="0.3">
      <c r="A42" s="104"/>
      <c r="B42" s="104"/>
      <c r="C42" s="130">
        <f t="shared" ca="1" si="6"/>
        <v>24</v>
      </c>
      <c r="D42" s="166"/>
      <c r="E42" s="242" t="s">
        <v>237</v>
      </c>
      <c r="F42" s="567" t="s">
        <v>459</v>
      </c>
      <c r="G42" s="219" t="s">
        <v>448</v>
      </c>
      <c r="H42" s="243"/>
      <c r="I42" s="172" t="s">
        <v>2342</v>
      </c>
      <c r="J42" s="172" t="s">
        <v>238</v>
      </c>
      <c r="K42" s="245" t="s">
        <v>2343</v>
      </c>
      <c r="L42" s="141" t="s">
        <v>15</v>
      </c>
      <c r="M42" s="407">
        <v>46041</v>
      </c>
      <c r="N42" s="40" t="s">
        <v>6</v>
      </c>
      <c r="O42" s="141" t="s">
        <v>46</v>
      </c>
      <c r="P42" s="117"/>
      <c r="Q42" s="407">
        <v>46037</v>
      </c>
      <c r="R42" s="40" t="s">
        <v>445</v>
      </c>
      <c r="S42" s="208"/>
      <c r="T42" s="357"/>
      <c r="U42" s="84"/>
      <c r="V42" s="84"/>
      <c r="W42" s="84"/>
      <c r="X42" s="84"/>
      <c r="Y42" s="84"/>
      <c r="Z42" s="84"/>
      <c r="AA42" s="81"/>
      <c r="AB42" s="81"/>
      <c r="AC42" s="81"/>
      <c r="AD42" s="81"/>
      <c r="AE42" s="81"/>
      <c r="AF42" s="81"/>
      <c r="AG42" s="81"/>
    </row>
    <row r="43" spans="1:33" ht="15.75" customHeight="1" x14ac:dyDescent="0.3">
      <c r="A43" s="104"/>
      <c r="B43" s="104"/>
      <c r="C43" s="130">
        <f t="shared" ca="1" si="6"/>
        <v>25</v>
      </c>
      <c r="D43" s="166"/>
      <c r="E43" s="242" t="s">
        <v>237</v>
      </c>
      <c r="F43" s="567" t="s">
        <v>459</v>
      </c>
      <c r="G43" s="219" t="s">
        <v>448</v>
      </c>
      <c r="H43" s="243"/>
      <c r="I43" s="172" t="s">
        <v>2344</v>
      </c>
      <c r="J43" s="172" t="s">
        <v>238</v>
      </c>
      <c r="K43" s="245" t="s">
        <v>2345</v>
      </c>
      <c r="L43" s="141" t="s">
        <v>15</v>
      </c>
      <c r="M43" s="407">
        <v>46041</v>
      </c>
      <c r="N43" s="40" t="s">
        <v>6</v>
      </c>
      <c r="O43" s="141" t="s">
        <v>46</v>
      </c>
      <c r="P43" s="117"/>
      <c r="Q43" s="407">
        <v>46037</v>
      </c>
      <c r="R43" s="40" t="s">
        <v>445</v>
      </c>
      <c r="S43" s="208"/>
      <c r="T43" s="357"/>
      <c r="U43" s="84"/>
      <c r="V43" s="84"/>
      <c r="W43" s="84"/>
      <c r="X43" s="84"/>
      <c r="Y43" s="84"/>
      <c r="Z43" s="84"/>
      <c r="AA43" s="81"/>
      <c r="AB43" s="81"/>
      <c r="AC43" s="81"/>
      <c r="AD43" s="81"/>
      <c r="AE43" s="81"/>
      <c r="AF43" s="81"/>
      <c r="AG43" s="81"/>
    </row>
    <row r="44" spans="1:33" ht="15.75" customHeight="1" x14ac:dyDescent="0.3">
      <c r="A44" s="104"/>
      <c r="B44" s="104"/>
      <c r="C44" s="130">
        <f t="shared" ca="1" si="6"/>
        <v>26</v>
      </c>
      <c r="D44" s="166"/>
      <c r="E44" s="242" t="s">
        <v>237</v>
      </c>
      <c r="F44" s="567" t="s">
        <v>459</v>
      </c>
      <c r="G44" s="219" t="s">
        <v>448</v>
      </c>
      <c r="H44" s="243"/>
      <c r="I44" s="172" t="s">
        <v>2346</v>
      </c>
      <c r="J44" s="172" t="s">
        <v>238</v>
      </c>
      <c r="K44" s="245" t="s">
        <v>2347</v>
      </c>
      <c r="L44" s="141" t="s">
        <v>15</v>
      </c>
      <c r="M44" s="407">
        <v>46041</v>
      </c>
      <c r="N44" s="40" t="s">
        <v>6</v>
      </c>
      <c r="O44" s="141" t="s">
        <v>46</v>
      </c>
      <c r="P44" s="117"/>
      <c r="Q44" s="407">
        <v>46037</v>
      </c>
      <c r="R44" s="40" t="s">
        <v>445</v>
      </c>
      <c r="S44" s="208"/>
      <c r="T44" s="357"/>
      <c r="U44" s="84"/>
      <c r="V44" s="84"/>
      <c r="W44" s="84"/>
      <c r="X44" s="84"/>
      <c r="Y44" s="84"/>
      <c r="Z44" s="84"/>
      <c r="AA44" s="81"/>
      <c r="AB44" s="81"/>
      <c r="AC44" s="81"/>
      <c r="AD44" s="81"/>
      <c r="AE44" s="81"/>
      <c r="AF44" s="81"/>
      <c r="AG44" s="81"/>
    </row>
    <row r="45" spans="1:33" ht="15.75" customHeight="1" x14ac:dyDescent="0.3">
      <c r="A45" s="104"/>
      <c r="B45" s="104"/>
      <c r="C45" s="130">
        <f t="shared" ca="1" si="6"/>
        <v>27</v>
      </c>
      <c r="D45" s="166"/>
      <c r="E45" s="242" t="s">
        <v>237</v>
      </c>
      <c r="F45" s="567" t="s">
        <v>459</v>
      </c>
      <c r="G45" s="219" t="s">
        <v>448</v>
      </c>
      <c r="H45" s="243"/>
      <c r="I45" s="172" t="s">
        <v>2348</v>
      </c>
      <c r="J45" s="172" t="s">
        <v>238</v>
      </c>
      <c r="K45" s="245" t="s">
        <v>2349</v>
      </c>
      <c r="L45" s="141" t="s">
        <v>15</v>
      </c>
      <c r="M45" s="407">
        <v>46041</v>
      </c>
      <c r="N45" s="40" t="s">
        <v>6</v>
      </c>
      <c r="O45" s="141" t="s">
        <v>46</v>
      </c>
      <c r="P45" s="117"/>
      <c r="Q45" s="407">
        <v>46037</v>
      </c>
      <c r="R45" s="40" t="s">
        <v>445</v>
      </c>
      <c r="S45" s="208"/>
      <c r="T45" s="357"/>
      <c r="U45" s="84"/>
      <c r="V45" s="84"/>
      <c r="W45" s="84"/>
      <c r="X45" s="84"/>
      <c r="Y45" s="84"/>
      <c r="Z45" s="84"/>
      <c r="AA45" s="81"/>
      <c r="AB45" s="81"/>
      <c r="AC45" s="81"/>
      <c r="AD45" s="81"/>
      <c r="AE45" s="81"/>
      <c r="AF45" s="81"/>
      <c r="AG45" s="81"/>
    </row>
    <row r="46" spans="1:33" ht="15.75" customHeight="1" x14ac:dyDescent="0.3">
      <c r="A46" s="104"/>
      <c r="B46" s="104"/>
      <c r="C46" s="130">
        <f t="shared" ca="1" si="6"/>
        <v>28</v>
      </c>
      <c r="D46" s="166"/>
      <c r="E46" s="242" t="s">
        <v>237</v>
      </c>
      <c r="F46" s="567" t="s">
        <v>459</v>
      </c>
      <c r="G46" s="219" t="s">
        <v>448</v>
      </c>
      <c r="H46" s="243"/>
      <c r="I46" s="172" t="s">
        <v>2350</v>
      </c>
      <c r="J46" s="172" t="s">
        <v>238</v>
      </c>
      <c r="K46" s="245" t="s">
        <v>2351</v>
      </c>
      <c r="L46" s="141" t="s">
        <v>15</v>
      </c>
      <c r="M46" s="407">
        <v>46041</v>
      </c>
      <c r="N46" s="40" t="s">
        <v>6</v>
      </c>
      <c r="O46" s="141" t="s">
        <v>46</v>
      </c>
      <c r="P46" s="117"/>
      <c r="Q46" s="407">
        <v>46037</v>
      </c>
      <c r="R46" s="40" t="s">
        <v>445</v>
      </c>
      <c r="S46" s="208"/>
      <c r="T46" s="357"/>
      <c r="U46" s="84"/>
      <c r="V46" s="84"/>
      <c r="W46" s="84"/>
      <c r="X46" s="84"/>
      <c r="Y46" s="84"/>
      <c r="Z46" s="84"/>
      <c r="AA46" s="81"/>
      <c r="AB46" s="81"/>
      <c r="AC46" s="81"/>
      <c r="AD46" s="81"/>
      <c r="AE46" s="81"/>
      <c r="AF46" s="81"/>
      <c r="AG46" s="81"/>
    </row>
    <row r="47" spans="1:33" ht="15.75" customHeight="1" x14ac:dyDescent="0.3">
      <c r="A47" s="104"/>
      <c r="B47" s="104"/>
      <c r="C47" s="130">
        <f t="shared" ca="1" si="6"/>
        <v>29</v>
      </c>
      <c r="D47" s="166" t="s">
        <v>251</v>
      </c>
      <c r="E47" s="242" t="s">
        <v>237</v>
      </c>
      <c r="F47" s="567" t="s">
        <v>459</v>
      </c>
      <c r="G47" s="219" t="s">
        <v>448</v>
      </c>
      <c r="H47" s="243"/>
      <c r="I47" s="172" t="s">
        <v>2246</v>
      </c>
      <c r="J47" s="172" t="s">
        <v>242</v>
      </c>
      <c r="K47" s="245" t="s">
        <v>252</v>
      </c>
      <c r="L47" s="141" t="s">
        <v>15</v>
      </c>
      <c r="M47" s="193">
        <v>46045</v>
      </c>
      <c r="N47" s="194" t="s">
        <v>4</v>
      </c>
      <c r="O47" s="141" t="s">
        <v>46</v>
      </c>
      <c r="P47" s="117"/>
      <c r="Q47" s="407">
        <v>46037</v>
      </c>
      <c r="R47" s="40" t="s">
        <v>445</v>
      </c>
      <c r="S47" s="208"/>
      <c r="T47" s="357"/>
      <c r="U47" s="84"/>
      <c r="V47" s="84"/>
      <c r="W47" s="84"/>
      <c r="X47" s="84"/>
      <c r="Y47" s="84"/>
      <c r="Z47" s="84"/>
      <c r="AA47" s="81"/>
      <c r="AB47" s="81"/>
      <c r="AC47" s="81"/>
      <c r="AD47" s="81"/>
      <c r="AE47" s="81"/>
      <c r="AF47" s="81"/>
      <c r="AG47" s="81"/>
    </row>
    <row r="48" spans="1:33" ht="15.75" customHeight="1" x14ac:dyDescent="0.3">
      <c r="A48" s="104"/>
      <c r="B48" s="104"/>
      <c r="C48" s="130">
        <f t="shared" ca="1" si="6"/>
        <v>30</v>
      </c>
      <c r="D48" s="166" t="s">
        <v>253</v>
      </c>
      <c r="E48" s="242" t="s">
        <v>237</v>
      </c>
      <c r="F48" s="567" t="s">
        <v>459</v>
      </c>
      <c r="G48" s="219" t="s">
        <v>448</v>
      </c>
      <c r="H48" s="243"/>
      <c r="I48" s="172" t="s">
        <v>2247</v>
      </c>
      <c r="J48" s="172" t="s">
        <v>242</v>
      </c>
      <c r="K48" s="245" t="s">
        <v>254</v>
      </c>
      <c r="L48" s="141" t="s">
        <v>15</v>
      </c>
      <c r="M48" s="193">
        <v>46045</v>
      </c>
      <c r="N48" s="194" t="s">
        <v>4</v>
      </c>
      <c r="O48" s="141" t="s">
        <v>46</v>
      </c>
      <c r="P48" s="117"/>
      <c r="Q48" s="407">
        <v>46037</v>
      </c>
      <c r="R48" s="40" t="s">
        <v>445</v>
      </c>
      <c r="S48" s="208"/>
      <c r="T48" s="357"/>
      <c r="U48" s="84"/>
      <c r="V48" s="84"/>
      <c r="W48" s="84"/>
      <c r="X48" s="84"/>
      <c r="Y48" s="84"/>
      <c r="Z48" s="84"/>
      <c r="AA48" s="81"/>
      <c r="AB48" s="81"/>
      <c r="AC48" s="81"/>
      <c r="AD48" s="81"/>
      <c r="AE48" s="81"/>
      <c r="AF48" s="81"/>
      <c r="AG48" s="81"/>
    </row>
    <row r="49" spans="1:33" ht="15.75" customHeight="1" x14ac:dyDescent="0.3">
      <c r="A49" s="104"/>
      <c r="B49" s="104"/>
      <c r="C49" s="130">
        <f t="shared" ca="1" si="6"/>
        <v>31</v>
      </c>
      <c r="D49" s="166" t="s">
        <v>255</v>
      </c>
      <c r="E49" s="242" t="s">
        <v>237</v>
      </c>
      <c r="F49" s="567" t="s">
        <v>459</v>
      </c>
      <c r="G49" s="219" t="s">
        <v>448</v>
      </c>
      <c r="H49" s="243"/>
      <c r="I49" s="172"/>
      <c r="J49" s="172" t="s">
        <v>242</v>
      </c>
      <c r="K49" s="245" t="s">
        <v>2352</v>
      </c>
      <c r="L49" s="141" t="s">
        <v>15</v>
      </c>
      <c r="M49" s="407">
        <v>46041</v>
      </c>
      <c r="N49" s="40" t="s">
        <v>6</v>
      </c>
      <c r="O49" s="141" t="s">
        <v>15</v>
      </c>
      <c r="P49" s="117"/>
      <c r="Q49" s="407">
        <v>46037</v>
      </c>
      <c r="R49" s="40" t="s">
        <v>445</v>
      </c>
      <c r="S49" s="208"/>
      <c r="T49" s="357"/>
      <c r="U49" s="84"/>
      <c r="V49" s="84"/>
      <c r="W49" s="84"/>
      <c r="X49" s="84"/>
      <c r="Y49" s="84"/>
      <c r="Z49" s="84"/>
      <c r="AA49" s="81"/>
      <c r="AB49" s="81"/>
      <c r="AC49" s="81"/>
      <c r="AD49" s="81"/>
      <c r="AE49" s="81"/>
      <c r="AF49" s="81"/>
      <c r="AG49" s="81"/>
    </row>
    <row r="50" spans="1:33" ht="15.75" customHeight="1" x14ac:dyDescent="0.3">
      <c r="A50" s="104"/>
      <c r="B50" s="104"/>
      <c r="C50" s="130">
        <f t="shared" ca="1" si="6"/>
        <v>32</v>
      </c>
      <c r="D50" s="166" t="s">
        <v>256</v>
      </c>
      <c r="E50" s="242" t="s">
        <v>257</v>
      </c>
      <c r="F50" s="567" t="s">
        <v>457</v>
      </c>
      <c r="G50" s="219" t="s">
        <v>448</v>
      </c>
      <c r="H50" s="243"/>
      <c r="I50" s="172"/>
      <c r="J50" s="172" t="s">
        <v>238</v>
      </c>
      <c r="K50" s="245" t="s">
        <v>258</v>
      </c>
      <c r="L50" s="141" t="s">
        <v>15</v>
      </c>
      <c r="M50" s="407">
        <v>46041</v>
      </c>
      <c r="N50" s="40" t="s">
        <v>6</v>
      </c>
      <c r="O50" s="141" t="s">
        <v>15</v>
      </c>
      <c r="P50" s="117"/>
      <c r="Q50" s="407">
        <v>46037</v>
      </c>
      <c r="R50" s="40" t="s">
        <v>445</v>
      </c>
      <c r="S50" s="208"/>
      <c r="T50" s="357"/>
      <c r="U50" s="84"/>
      <c r="V50" s="84"/>
      <c r="W50" s="84"/>
      <c r="X50" s="84"/>
      <c r="Y50" s="84"/>
      <c r="Z50" s="84"/>
      <c r="AA50" s="81"/>
      <c r="AB50" s="81"/>
      <c r="AC50" s="81"/>
      <c r="AD50" s="81"/>
      <c r="AE50" s="81"/>
      <c r="AF50" s="81"/>
      <c r="AG50" s="81"/>
    </row>
    <row r="51" spans="1:33" ht="15.75" customHeight="1" x14ac:dyDescent="0.3">
      <c r="A51" s="104"/>
      <c r="B51" s="104"/>
      <c r="C51" s="130">
        <f t="shared" ca="1" si="6"/>
        <v>33</v>
      </c>
      <c r="D51" s="166" t="s">
        <v>2248</v>
      </c>
      <c r="E51" s="242" t="s">
        <v>237</v>
      </c>
      <c r="F51" s="567" t="s">
        <v>459</v>
      </c>
      <c r="G51" s="219" t="s">
        <v>448</v>
      </c>
      <c r="H51" s="243"/>
      <c r="I51" s="172"/>
      <c r="J51" s="172" t="s">
        <v>238</v>
      </c>
      <c r="K51" s="244" t="s">
        <v>2353</v>
      </c>
      <c r="L51" s="141" t="s">
        <v>46</v>
      </c>
      <c r="M51" s="193"/>
      <c r="N51" s="194"/>
      <c r="O51" s="141"/>
      <c r="P51" s="117"/>
      <c r="Q51" s="407">
        <v>46037</v>
      </c>
      <c r="R51" s="40" t="s">
        <v>445</v>
      </c>
      <c r="S51" s="208" t="s">
        <v>2354</v>
      </c>
      <c r="T51" s="357"/>
      <c r="U51" s="84"/>
      <c r="V51" s="84"/>
      <c r="W51" s="84"/>
      <c r="X51" s="84"/>
      <c r="Y51" s="84"/>
      <c r="Z51" s="84"/>
      <c r="AA51" s="81"/>
      <c r="AB51" s="81"/>
      <c r="AC51" s="81"/>
      <c r="AD51" s="81"/>
      <c r="AE51" s="81"/>
      <c r="AF51" s="81"/>
      <c r="AG51" s="81"/>
    </row>
    <row r="52" spans="1:33" ht="15.75" customHeight="1" x14ac:dyDescent="0.3">
      <c r="A52" s="104"/>
      <c r="B52" s="104"/>
      <c r="C52" s="130">
        <f t="shared" ca="1" si="6"/>
        <v>34</v>
      </c>
      <c r="D52" s="166" t="s">
        <v>259</v>
      </c>
      <c r="E52" s="242" t="s">
        <v>257</v>
      </c>
      <c r="F52" s="567" t="s">
        <v>457</v>
      </c>
      <c r="G52" s="219" t="s">
        <v>448</v>
      </c>
      <c r="H52" s="243"/>
      <c r="I52" s="172"/>
      <c r="J52" s="172" t="s">
        <v>261</v>
      </c>
      <c r="K52" s="245" t="s">
        <v>2249</v>
      </c>
      <c r="L52" s="141" t="s">
        <v>15</v>
      </c>
      <c r="M52" s="407">
        <v>46041</v>
      </c>
      <c r="N52" s="40" t="s">
        <v>6</v>
      </c>
      <c r="O52" s="141" t="s">
        <v>15</v>
      </c>
      <c r="P52" s="117"/>
      <c r="Q52" s="407">
        <v>46037</v>
      </c>
      <c r="R52" s="40" t="s">
        <v>445</v>
      </c>
      <c r="S52" s="208" t="s">
        <v>2355</v>
      </c>
      <c r="T52" s="357"/>
      <c r="U52" s="84"/>
      <c r="V52" s="84"/>
      <c r="W52" s="84"/>
      <c r="X52" s="84"/>
      <c r="Y52" s="84"/>
      <c r="Z52" s="84"/>
      <c r="AA52" s="81"/>
      <c r="AB52" s="81"/>
      <c r="AC52" s="81"/>
      <c r="AD52" s="81"/>
      <c r="AE52" s="81"/>
      <c r="AF52" s="81"/>
      <c r="AG52" s="81"/>
    </row>
    <row r="53" spans="1:33" ht="15.75" customHeight="1" x14ac:dyDescent="0.3">
      <c r="A53" s="104"/>
      <c r="B53" s="104"/>
      <c r="C53" s="130">
        <f t="shared" ca="1" si="6"/>
        <v>35</v>
      </c>
      <c r="D53" s="166"/>
      <c r="E53" s="242" t="s">
        <v>237</v>
      </c>
      <c r="F53" s="567" t="s">
        <v>459</v>
      </c>
      <c r="G53" s="219" t="s">
        <v>448</v>
      </c>
      <c r="H53" s="243"/>
      <c r="I53" s="172" t="s">
        <v>2250</v>
      </c>
      <c r="J53" s="172" t="s">
        <v>242</v>
      </c>
      <c r="K53" s="245" t="s">
        <v>2356</v>
      </c>
      <c r="L53" s="141" t="s">
        <v>15</v>
      </c>
      <c r="M53" s="407">
        <v>46041</v>
      </c>
      <c r="N53" s="40" t="s">
        <v>6</v>
      </c>
      <c r="O53" s="141" t="s">
        <v>15</v>
      </c>
      <c r="P53" s="117"/>
      <c r="Q53" s="407">
        <v>46037</v>
      </c>
      <c r="R53" s="40" t="s">
        <v>445</v>
      </c>
      <c r="S53" s="208"/>
      <c r="T53" s="357"/>
      <c r="U53" s="84"/>
      <c r="V53" s="84"/>
      <c r="W53" s="84"/>
      <c r="X53" s="84"/>
      <c r="Y53" s="84"/>
      <c r="Z53" s="84"/>
      <c r="AA53" s="81"/>
      <c r="AB53" s="81"/>
      <c r="AC53" s="81"/>
      <c r="AD53" s="81"/>
      <c r="AE53" s="81"/>
      <c r="AF53" s="81"/>
      <c r="AG53" s="81"/>
    </row>
    <row r="54" spans="1:33" ht="15.75" customHeight="1" x14ac:dyDescent="0.3">
      <c r="A54" s="104"/>
      <c r="B54" s="104"/>
      <c r="C54" s="130">
        <f t="shared" ca="1" si="6"/>
        <v>36</v>
      </c>
      <c r="D54" s="166"/>
      <c r="E54" s="242" t="s">
        <v>237</v>
      </c>
      <c r="F54" s="567" t="s">
        <v>459</v>
      </c>
      <c r="G54" s="219" t="s">
        <v>448</v>
      </c>
      <c r="H54" s="243"/>
      <c r="I54" s="172" t="s">
        <v>2251</v>
      </c>
      <c r="J54" s="172" t="s">
        <v>242</v>
      </c>
      <c r="K54" s="245" t="s">
        <v>2357</v>
      </c>
      <c r="L54" s="141" t="s">
        <v>15</v>
      </c>
      <c r="M54" s="407">
        <v>46041</v>
      </c>
      <c r="N54" s="40" t="s">
        <v>6</v>
      </c>
      <c r="O54" s="141" t="s">
        <v>15</v>
      </c>
      <c r="P54" s="117"/>
      <c r="Q54" s="407">
        <v>46037</v>
      </c>
      <c r="R54" s="40" t="s">
        <v>445</v>
      </c>
      <c r="S54" s="208"/>
      <c r="T54" s="357"/>
      <c r="U54" s="84"/>
      <c r="V54" s="84"/>
      <c r="W54" s="84"/>
      <c r="X54" s="84"/>
      <c r="Y54" s="84"/>
      <c r="Z54" s="84"/>
      <c r="AA54" s="81"/>
      <c r="AB54" s="81"/>
      <c r="AC54" s="81"/>
      <c r="AD54" s="81"/>
      <c r="AE54" s="81"/>
      <c r="AF54" s="81"/>
      <c r="AG54" s="81"/>
    </row>
    <row r="55" spans="1:33" ht="15.75" customHeight="1" x14ac:dyDescent="0.3">
      <c r="A55" s="104"/>
      <c r="B55" s="104"/>
      <c r="C55" s="130">
        <f t="shared" ca="1" si="6"/>
        <v>37</v>
      </c>
      <c r="D55" s="166" t="s">
        <v>260</v>
      </c>
      <c r="E55" s="242" t="s">
        <v>257</v>
      </c>
      <c r="F55" s="567" t="s">
        <v>457</v>
      </c>
      <c r="G55" s="219" t="s">
        <v>448</v>
      </c>
      <c r="H55" s="243"/>
      <c r="I55" s="172"/>
      <c r="J55" s="172" t="s">
        <v>261</v>
      </c>
      <c r="K55" s="245" t="s">
        <v>262</v>
      </c>
      <c r="L55" s="141" t="s">
        <v>15</v>
      </c>
      <c r="M55" s="407">
        <v>46041</v>
      </c>
      <c r="N55" s="40" t="s">
        <v>6</v>
      </c>
      <c r="O55" s="141" t="s">
        <v>15</v>
      </c>
      <c r="P55" s="117"/>
      <c r="Q55" s="407">
        <v>46037</v>
      </c>
      <c r="R55" s="40" t="s">
        <v>445</v>
      </c>
      <c r="S55" s="208"/>
      <c r="T55" s="357"/>
      <c r="U55" s="84"/>
      <c r="V55" s="84"/>
      <c r="W55" s="84"/>
      <c r="X55" s="84"/>
      <c r="Y55" s="84"/>
      <c r="Z55" s="84"/>
      <c r="AA55" s="81"/>
      <c r="AB55" s="81"/>
      <c r="AC55" s="81"/>
      <c r="AD55" s="81"/>
      <c r="AE55" s="81"/>
      <c r="AF55" s="81"/>
      <c r="AG55" s="81"/>
    </row>
    <row r="56" spans="1:33" ht="15.75" customHeight="1" x14ac:dyDescent="0.3">
      <c r="A56" s="104"/>
      <c r="B56" s="104"/>
      <c r="C56" s="130">
        <f t="shared" ca="1" si="6"/>
        <v>38</v>
      </c>
      <c r="D56" s="166" t="s">
        <v>263</v>
      </c>
      <c r="E56" s="242" t="s">
        <v>237</v>
      </c>
      <c r="F56" s="567" t="s">
        <v>459</v>
      </c>
      <c r="G56" s="219" t="s">
        <v>448</v>
      </c>
      <c r="H56" s="243"/>
      <c r="I56" s="172"/>
      <c r="J56" s="172" t="s">
        <v>238</v>
      </c>
      <c r="K56" s="245" t="s">
        <v>264</v>
      </c>
      <c r="L56" s="141" t="s">
        <v>15</v>
      </c>
      <c r="M56" s="407">
        <v>46042</v>
      </c>
      <c r="N56" s="40" t="s">
        <v>6</v>
      </c>
      <c r="O56" s="141" t="s">
        <v>15</v>
      </c>
      <c r="P56" s="117"/>
      <c r="Q56" s="407">
        <v>46037</v>
      </c>
      <c r="R56" s="40" t="s">
        <v>445</v>
      </c>
      <c r="S56" s="221" t="s">
        <v>2358</v>
      </c>
      <c r="T56" s="357"/>
      <c r="U56" s="84"/>
      <c r="V56" s="84"/>
      <c r="W56" s="84"/>
      <c r="X56" s="84"/>
      <c r="Y56" s="84"/>
      <c r="Z56" s="84"/>
      <c r="AA56" s="81"/>
      <c r="AB56" s="81"/>
      <c r="AC56" s="81"/>
      <c r="AD56" s="81"/>
      <c r="AE56" s="81"/>
      <c r="AF56" s="81"/>
      <c r="AG56" s="81"/>
    </row>
    <row r="57" spans="1:33" ht="15.75" customHeight="1" x14ac:dyDescent="0.3">
      <c r="A57" s="104"/>
      <c r="B57" s="104"/>
      <c r="C57" s="130">
        <f t="shared" ca="1" si="6"/>
        <v>39</v>
      </c>
      <c r="D57" s="658" t="s">
        <v>265</v>
      </c>
      <c r="E57" s="665" t="s">
        <v>237</v>
      </c>
      <c r="F57" s="567" t="s">
        <v>459</v>
      </c>
      <c r="G57" s="219" t="s">
        <v>448</v>
      </c>
      <c r="H57" s="243"/>
      <c r="I57" s="172" t="s">
        <v>2252</v>
      </c>
      <c r="J57" s="172" t="s">
        <v>238</v>
      </c>
      <c r="K57" s="245" t="s">
        <v>2253</v>
      </c>
      <c r="L57" s="141" t="s">
        <v>15</v>
      </c>
      <c r="M57" s="407">
        <v>46042</v>
      </c>
      <c r="N57" s="40" t="s">
        <v>6</v>
      </c>
      <c r="O57" s="141" t="s">
        <v>15</v>
      </c>
      <c r="P57" s="117"/>
      <c r="Q57" s="407">
        <v>46037</v>
      </c>
      <c r="R57" s="40" t="s">
        <v>445</v>
      </c>
      <c r="S57" s="360" t="s">
        <v>2358</v>
      </c>
      <c r="T57" s="357"/>
      <c r="U57" s="84"/>
      <c r="V57" s="84"/>
      <c r="W57" s="84"/>
      <c r="X57" s="84"/>
      <c r="Y57" s="84"/>
      <c r="Z57" s="84"/>
      <c r="AA57" s="81"/>
      <c r="AB57" s="81"/>
      <c r="AC57" s="81"/>
      <c r="AD57" s="81"/>
      <c r="AE57" s="81"/>
      <c r="AF57" s="81"/>
      <c r="AG57" s="81"/>
    </row>
    <row r="58" spans="1:33" ht="15.75" customHeight="1" x14ac:dyDescent="0.3">
      <c r="A58" s="104"/>
      <c r="B58" s="104"/>
      <c r="C58" s="130">
        <f t="shared" ca="1" si="6"/>
        <v>40</v>
      </c>
      <c r="D58" s="636"/>
      <c r="E58" s="636"/>
      <c r="F58" s="567" t="s">
        <v>459</v>
      </c>
      <c r="G58" s="219" t="s">
        <v>448</v>
      </c>
      <c r="H58" s="243"/>
      <c r="I58" s="172" t="s">
        <v>2359</v>
      </c>
      <c r="J58" s="172" t="s">
        <v>238</v>
      </c>
      <c r="K58" s="245" t="s">
        <v>2360</v>
      </c>
      <c r="L58" s="141" t="s">
        <v>15</v>
      </c>
      <c r="M58" s="407">
        <v>46041</v>
      </c>
      <c r="N58" s="40" t="s">
        <v>6</v>
      </c>
      <c r="O58" s="141" t="s">
        <v>15</v>
      </c>
      <c r="P58" s="117"/>
      <c r="Q58" s="407">
        <v>46037</v>
      </c>
      <c r="R58" s="40" t="s">
        <v>445</v>
      </c>
      <c r="S58" s="208"/>
      <c r="T58" s="357"/>
      <c r="U58" s="84"/>
      <c r="V58" s="84"/>
      <c r="W58" s="84"/>
      <c r="X58" s="84"/>
      <c r="Y58" s="84"/>
      <c r="Z58" s="84"/>
      <c r="AA58" s="81"/>
      <c r="AB58" s="81"/>
      <c r="AC58" s="81"/>
      <c r="AD58" s="81"/>
      <c r="AE58" s="81"/>
      <c r="AF58" s="81"/>
      <c r="AG58" s="81"/>
    </row>
    <row r="59" spans="1:33" ht="15.75" customHeight="1" x14ac:dyDescent="0.3">
      <c r="A59" s="104"/>
      <c r="B59" s="104"/>
      <c r="C59" s="130">
        <f t="shared" ca="1" si="6"/>
        <v>41</v>
      </c>
      <c r="D59" s="166" t="s">
        <v>266</v>
      </c>
      <c r="E59" s="242" t="s">
        <v>257</v>
      </c>
      <c r="F59" s="567" t="s">
        <v>457</v>
      </c>
      <c r="G59" s="219" t="s">
        <v>448</v>
      </c>
      <c r="H59" s="243"/>
      <c r="I59" s="172"/>
      <c r="J59" s="172" t="s">
        <v>238</v>
      </c>
      <c r="K59" s="245" t="s">
        <v>267</v>
      </c>
      <c r="L59" s="141" t="s">
        <v>15</v>
      </c>
      <c r="M59" s="407">
        <v>46041</v>
      </c>
      <c r="N59" s="40" t="s">
        <v>6</v>
      </c>
      <c r="O59" s="141" t="s">
        <v>15</v>
      </c>
      <c r="P59" s="117"/>
      <c r="Q59" s="407">
        <v>46037</v>
      </c>
      <c r="R59" s="40" t="s">
        <v>445</v>
      </c>
      <c r="S59" s="208"/>
      <c r="T59" s="357"/>
      <c r="U59" s="84"/>
      <c r="V59" s="84"/>
      <c r="W59" s="84"/>
      <c r="X59" s="84"/>
      <c r="Y59" s="84"/>
      <c r="Z59" s="84"/>
      <c r="AA59" s="81"/>
      <c r="AB59" s="81"/>
      <c r="AC59" s="81"/>
      <c r="AD59" s="81"/>
      <c r="AE59" s="81"/>
      <c r="AF59" s="81"/>
      <c r="AG59" s="81"/>
    </row>
    <row r="60" spans="1:33" ht="15.75" customHeight="1" x14ac:dyDescent="0.3">
      <c r="A60" s="104"/>
      <c r="B60" s="104"/>
      <c r="C60" s="130">
        <f t="shared" ca="1" si="6"/>
        <v>42</v>
      </c>
      <c r="D60" s="166" t="s">
        <v>268</v>
      </c>
      <c r="E60" s="242" t="s">
        <v>257</v>
      </c>
      <c r="F60" s="567" t="s">
        <v>457</v>
      </c>
      <c r="G60" s="219" t="s">
        <v>448</v>
      </c>
      <c r="H60" s="243"/>
      <c r="I60" s="172"/>
      <c r="J60" s="172" t="s">
        <v>238</v>
      </c>
      <c r="K60" s="245" t="s">
        <v>2361</v>
      </c>
      <c r="L60" s="141" t="s">
        <v>15</v>
      </c>
      <c r="M60" s="407">
        <v>46045</v>
      </c>
      <c r="N60" s="40" t="s">
        <v>6</v>
      </c>
      <c r="O60" s="141" t="s">
        <v>15</v>
      </c>
      <c r="P60" s="117" t="s">
        <v>211</v>
      </c>
      <c r="Q60" s="407">
        <v>46037</v>
      </c>
      <c r="R60" s="40" t="s">
        <v>445</v>
      </c>
      <c r="S60" s="208" t="s">
        <v>2362</v>
      </c>
      <c r="T60" s="357"/>
      <c r="U60" s="84"/>
      <c r="V60" s="84"/>
      <c r="W60" s="84"/>
      <c r="X60" s="84"/>
      <c r="Y60" s="84"/>
      <c r="Z60" s="84"/>
      <c r="AA60" s="81"/>
      <c r="AB60" s="81"/>
      <c r="AC60" s="81"/>
      <c r="AD60" s="81"/>
      <c r="AE60" s="81"/>
      <c r="AF60" s="81"/>
      <c r="AG60" s="81"/>
    </row>
    <row r="61" spans="1:33" ht="15.75" customHeight="1" x14ac:dyDescent="0.3">
      <c r="A61" s="104"/>
      <c r="B61" s="104"/>
      <c r="C61" s="130">
        <f t="shared" ca="1" si="6"/>
        <v>43</v>
      </c>
      <c r="D61" s="166" t="s">
        <v>269</v>
      </c>
      <c r="E61" s="242" t="s">
        <v>257</v>
      </c>
      <c r="F61" s="567" t="s">
        <v>457</v>
      </c>
      <c r="G61" s="219" t="s">
        <v>448</v>
      </c>
      <c r="H61" s="243"/>
      <c r="I61" s="172"/>
      <c r="J61" s="172" t="s">
        <v>242</v>
      </c>
      <c r="K61" s="245" t="s">
        <v>270</v>
      </c>
      <c r="L61" s="141" t="s">
        <v>15</v>
      </c>
      <c r="M61" s="407">
        <v>46041</v>
      </c>
      <c r="N61" s="40" t="s">
        <v>6</v>
      </c>
      <c r="O61" s="141" t="s">
        <v>15</v>
      </c>
      <c r="P61" s="117"/>
      <c r="Q61" s="407">
        <v>46037</v>
      </c>
      <c r="R61" s="40" t="s">
        <v>445</v>
      </c>
      <c r="S61" s="208"/>
      <c r="T61" s="357"/>
      <c r="U61" s="84"/>
      <c r="V61" s="84"/>
      <c r="W61" s="84"/>
      <c r="X61" s="84"/>
      <c r="Y61" s="84"/>
      <c r="Z61" s="84"/>
      <c r="AA61" s="81"/>
      <c r="AB61" s="81"/>
      <c r="AC61" s="81"/>
      <c r="AD61" s="81"/>
      <c r="AE61" s="81"/>
      <c r="AF61" s="81"/>
      <c r="AG61" s="81"/>
    </row>
    <row r="62" spans="1:33" ht="15.75" customHeight="1" x14ac:dyDescent="0.3">
      <c r="A62" s="104"/>
      <c r="B62" s="104"/>
      <c r="C62" s="130">
        <f t="shared" ca="1" si="6"/>
        <v>44</v>
      </c>
      <c r="D62" s="658" t="s">
        <v>271</v>
      </c>
      <c r="E62" s="242" t="s">
        <v>257</v>
      </c>
      <c r="F62" s="567" t="s">
        <v>457</v>
      </c>
      <c r="G62" s="219" t="s">
        <v>448</v>
      </c>
      <c r="H62" s="243"/>
      <c r="I62" s="172"/>
      <c r="J62" s="172" t="s">
        <v>261</v>
      </c>
      <c r="K62" s="245" t="s">
        <v>2363</v>
      </c>
      <c r="L62" s="141" t="s">
        <v>15</v>
      </c>
      <c r="M62" s="407">
        <v>46041</v>
      </c>
      <c r="N62" s="40" t="s">
        <v>6</v>
      </c>
      <c r="O62" s="141" t="s">
        <v>15</v>
      </c>
      <c r="P62" s="117"/>
      <c r="Q62" s="407">
        <v>46037</v>
      </c>
      <c r="R62" s="40" t="s">
        <v>445</v>
      </c>
      <c r="S62" s="208"/>
      <c r="T62" s="357"/>
      <c r="U62" s="84"/>
      <c r="V62" s="84"/>
      <c r="W62" s="84"/>
      <c r="X62" s="84"/>
      <c r="Y62" s="84"/>
      <c r="Z62" s="84"/>
      <c r="AA62" s="81"/>
      <c r="AB62" s="81"/>
      <c r="AC62" s="81"/>
      <c r="AD62" s="81"/>
      <c r="AE62" s="81"/>
      <c r="AF62" s="81"/>
      <c r="AG62" s="81"/>
    </row>
    <row r="63" spans="1:33" ht="15.75" customHeight="1" x14ac:dyDescent="0.3">
      <c r="A63" s="104"/>
      <c r="B63" s="104"/>
      <c r="C63" s="130">
        <f t="shared" ca="1" si="6"/>
        <v>45</v>
      </c>
      <c r="D63" s="636"/>
      <c r="E63" s="665" t="s">
        <v>237</v>
      </c>
      <c r="F63" s="567" t="s">
        <v>459</v>
      </c>
      <c r="G63" s="219" t="s">
        <v>448</v>
      </c>
      <c r="H63" s="243"/>
      <c r="I63" s="172" t="s">
        <v>364</v>
      </c>
      <c r="J63" s="172" t="s">
        <v>238</v>
      </c>
      <c r="K63" s="245" t="s">
        <v>2364</v>
      </c>
      <c r="L63" s="141" t="s">
        <v>15</v>
      </c>
      <c r="M63" s="193">
        <v>46045</v>
      </c>
      <c r="N63" s="194" t="s">
        <v>4</v>
      </c>
      <c r="O63" s="141" t="s">
        <v>15</v>
      </c>
      <c r="P63" s="117"/>
      <c r="Q63" s="407">
        <v>46037</v>
      </c>
      <c r="R63" s="40" t="s">
        <v>445</v>
      </c>
      <c r="S63" s="208" t="s">
        <v>2365</v>
      </c>
      <c r="T63" s="357"/>
      <c r="U63" s="84"/>
      <c r="V63" s="84"/>
      <c r="W63" s="84"/>
      <c r="X63" s="84"/>
      <c r="Y63" s="84"/>
      <c r="Z63" s="84"/>
      <c r="AA63" s="81"/>
      <c r="AB63" s="81"/>
      <c r="AC63" s="81"/>
      <c r="AD63" s="81"/>
      <c r="AE63" s="81"/>
      <c r="AF63" s="81"/>
      <c r="AG63" s="81"/>
    </row>
    <row r="64" spans="1:33" ht="15.75" customHeight="1" x14ac:dyDescent="0.3">
      <c r="A64" s="104"/>
      <c r="B64" s="104"/>
      <c r="C64" s="130">
        <f t="shared" ca="1" si="6"/>
        <v>46</v>
      </c>
      <c r="D64" s="636"/>
      <c r="E64" s="636"/>
      <c r="F64" s="567" t="s">
        <v>459</v>
      </c>
      <c r="G64" s="219" t="s">
        <v>448</v>
      </c>
      <c r="H64" s="243"/>
      <c r="I64" s="657" t="s">
        <v>372</v>
      </c>
      <c r="J64" s="172" t="s">
        <v>311</v>
      </c>
      <c r="K64" s="245" t="s">
        <v>2366</v>
      </c>
      <c r="L64" s="141" t="s">
        <v>15</v>
      </c>
      <c r="M64" s="407">
        <v>46042</v>
      </c>
      <c r="N64" s="40" t="s">
        <v>6</v>
      </c>
      <c r="O64" s="141" t="s">
        <v>15</v>
      </c>
      <c r="P64" s="117"/>
      <c r="Q64" s="407">
        <v>46037</v>
      </c>
      <c r="R64" s="40" t="s">
        <v>445</v>
      </c>
      <c r="S64" s="208"/>
      <c r="T64" s="357"/>
      <c r="U64" s="84"/>
      <c r="V64" s="84"/>
      <c r="W64" s="84"/>
      <c r="X64" s="84"/>
      <c r="Y64" s="84"/>
      <c r="Z64" s="84"/>
      <c r="AA64" s="81"/>
      <c r="AB64" s="81"/>
      <c r="AC64" s="81"/>
      <c r="AD64" s="81"/>
      <c r="AE64" s="81"/>
      <c r="AF64" s="81"/>
      <c r="AG64" s="81"/>
    </row>
    <row r="65" spans="1:33" ht="15.75" customHeight="1" x14ac:dyDescent="0.3">
      <c r="A65" s="104"/>
      <c r="B65" s="104"/>
      <c r="C65" s="130">
        <f t="shared" ca="1" si="6"/>
        <v>47</v>
      </c>
      <c r="D65" s="636"/>
      <c r="E65" s="636"/>
      <c r="F65" s="567" t="s">
        <v>459</v>
      </c>
      <c r="G65" s="219" t="s">
        <v>448</v>
      </c>
      <c r="H65" s="243"/>
      <c r="I65" s="606"/>
      <c r="J65" s="172" t="s">
        <v>313</v>
      </c>
      <c r="K65" s="245" t="s">
        <v>2367</v>
      </c>
      <c r="L65" s="141" t="s">
        <v>15</v>
      </c>
      <c r="M65" s="407">
        <v>46042</v>
      </c>
      <c r="N65" s="40" t="s">
        <v>6</v>
      </c>
      <c r="O65" s="141" t="s">
        <v>15</v>
      </c>
      <c r="P65" s="117"/>
      <c r="Q65" s="407">
        <v>46037</v>
      </c>
      <c r="R65" s="40" t="s">
        <v>445</v>
      </c>
      <c r="S65" s="208"/>
      <c r="T65" s="357"/>
      <c r="U65" s="84"/>
      <c r="V65" s="84"/>
      <c r="W65" s="84"/>
      <c r="X65" s="84"/>
      <c r="Y65" s="84"/>
      <c r="Z65" s="84"/>
      <c r="AA65" s="81"/>
      <c r="AB65" s="81"/>
      <c r="AC65" s="81"/>
      <c r="AD65" s="81"/>
      <c r="AE65" s="81"/>
      <c r="AF65" s="81"/>
      <c r="AG65" s="81"/>
    </row>
    <row r="66" spans="1:33" ht="15.75" customHeight="1" x14ac:dyDescent="0.3">
      <c r="A66" s="104"/>
      <c r="B66" s="104"/>
      <c r="C66" s="130">
        <f t="shared" ca="1" si="6"/>
        <v>48</v>
      </c>
      <c r="D66" s="352"/>
      <c r="E66" s="636"/>
      <c r="F66" s="567" t="s">
        <v>459</v>
      </c>
      <c r="G66" s="219" t="s">
        <v>455</v>
      </c>
      <c r="H66" s="243"/>
      <c r="I66" s="608"/>
      <c r="J66" s="172" t="s">
        <v>2368</v>
      </c>
      <c r="K66" s="226" t="s">
        <v>2369</v>
      </c>
      <c r="L66" s="141" t="s">
        <v>15</v>
      </c>
      <c r="M66" s="407">
        <v>46042</v>
      </c>
      <c r="N66" s="40" t="s">
        <v>6</v>
      </c>
      <c r="O66" s="141" t="s">
        <v>15</v>
      </c>
      <c r="P66" s="117"/>
      <c r="Q66" s="407">
        <v>46037</v>
      </c>
      <c r="R66" s="40" t="s">
        <v>445</v>
      </c>
      <c r="S66" s="208"/>
      <c r="T66" s="357"/>
      <c r="U66" s="84"/>
      <c r="V66" s="84"/>
      <c r="W66" s="84"/>
      <c r="X66" s="84"/>
      <c r="Y66" s="84"/>
      <c r="Z66" s="84"/>
      <c r="AA66" s="81"/>
      <c r="AB66" s="81"/>
      <c r="AC66" s="81"/>
      <c r="AD66" s="81"/>
      <c r="AE66" s="81"/>
      <c r="AF66" s="81"/>
      <c r="AG66" s="81"/>
    </row>
    <row r="67" spans="1:33" ht="15.75" customHeight="1" x14ac:dyDescent="0.3">
      <c r="A67" s="104"/>
      <c r="B67" s="104"/>
      <c r="C67" s="130">
        <f t="shared" ca="1" si="6"/>
        <v>49</v>
      </c>
      <c r="D67" s="658" t="s">
        <v>272</v>
      </c>
      <c r="E67" s="242" t="s">
        <v>257</v>
      </c>
      <c r="F67" s="567" t="s">
        <v>457</v>
      </c>
      <c r="G67" s="219" t="s">
        <v>448</v>
      </c>
      <c r="H67" s="243"/>
      <c r="I67" s="172"/>
      <c r="J67" s="172" t="s">
        <v>261</v>
      </c>
      <c r="K67" s="245" t="s">
        <v>2370</v>
      </c>
      <c r="L67" s="141" t="s">
        <v>15</v>
      </c>
      <c r="M67" s="407">
        <v>46041</v>
      </c>
      <c r="N67" s="40" t="s">
        <v>6</v>
      </c>
      <c r="O67" s="141" t="s">
        <v>15</v>
      </c>
      <c r="P67" s="117"/>
      <c r="Q67" s="407">
        <v>46037</v>
      </c>
      <c r="R67" s="40" t="s">
        <v>445</v>
      </c>
      <c r="S67" s="208"/>
      <c r="T67" s="357"/>
      <c r="U67" s="84"/>
      <c r="V67" s="84"/>
      <c r="W67" s="84"/>
      <c r="X67" s="84"/>
      <c r="Y67" s="84"/>
      <c r="Z67" s="84"/>
      <c r="AA67" s="81"/>
      <c r="AB67" s="81"/>
      <c r="AC67" s="81"/>
      <c r="AD67" s="81"/>
      <c r="AE67" s="81"/>
      <c r="AF67" s="81"/>
      <c r="AG67" s="81"/>
    </row>
    <row r="68" spans="1:33" ht="15.75" customHeight="1" x14ac:dyDescent="0.3">
      <c r="A68" s="104"/>
      <c r="B68" s="104"/>
      <c r="C68" s="130">
        <f t="shared" ca="1" si="6"/>
        <v>50</v>
      </c>
      <c r="D68" s="636"/>
      <c r="E68" s="665" t="s">
        <v>237</v>
      </c>
      <c r="F68" s="567" t="s">
        <v>459</v>
      </c>
      <c r="G68" s="219" t="s">
        <v>448</v>
      </c>
      <c r="H68" s="243"/>
      <c r="I68" s="172" t="s">
        <v>364</v>
      </c>
      <c r="J68" s="172" t="s">
        <v>238</v>
      </c>
      <c r="K68" s="245" t="s">
        <v>2371</v>
      </c>
      <c r="L68" s="141" t="s">
        <v>15</v>
      </c>
      <c r="M68" s="193">
        <v>46045</v>
      </c>
      <c r="N68" s="194" t="s">
        <v>4</v>
      </c>
      <c r="O68" s="141" t="s">
        <v>15</v>
      </c>
      <c r="P68" s="117"/>
      <c r="Q68" s="407">
        <v>46037</v>
      </c>
      <c r="R68" s="40" t="s">
        <v>445</v>
      </c>
      <c r="S68" s="208" t="s">
        <v>2372</v>
      </c>
      <c r="T68" s="357"/>
      <c r="U68" s="84"/>
      <c r="V68" s="84"/>
      <c r="W68" s="84"/>
      <c r="X68" s="84"/>
      <c r="Y68" s="84"/>
      <c r="Z68" s="84"/>
      <c r="AA68" s="81"/>
      <c r="AB68" s="81"/>
      <c r="AC68" s="81"/>
      <c r="AD68" s="81"/>
      <c r="AE68" s="81"/>
      <c r="AF68" s="81"/>
      <c r="AG68" s="81"/>
    </row>
    <row r="69" spans="1:33" ht="15.75" customHeight="1" x14ac:dyDescent="0.3">
      <c r="A69" s="104"/>
      <c r="B69" s="104"/>
      <c r="C69" s="130">
        <f t="shared" ca="1" si="6"/>
        <v>51</v>
      </c>
      <c r="D69" s="636"/>
      <c r="E69" s="636"/>
      <c r="F69" s="567" t="s">
        <v>459</v>
      </c>
      <c r="G69" s="219" t="s">
        <v>448</v>
      </c>
      <c r="H69" s="243"/>
      <c r="I69" s="657" t="s">
        <v>372</v>
      </c>
      <c r="J69" s="172" t="s">
        <v>311</v>
      </c>
      <c r="K69" s="245" t="s">
        <v>2373</v>
      </c>
      <c r="L69" s="141" t="s">
        <v>15</v>
      </c>
      <c r="M69" s="407">
        <v>46042</v>
      </c>
      <c r="N69" s="40" t="s">
        <v>6</v>
      </c>
      <c r="O69" s="141" t="s">
        <v>15</v>
      </c>
      <c r="P69" s="117"/>
      <c r="Q69" s="407">
        <v>46037</v>
      </c>
      <c r="R69" s="40" t="s">
        <v>445</v>
      </c>
      <c r="S69" s="208"/>
      <c r="T69" s="357"/>
      <c r="U69" s="84"/>
      <c r="V69" s="84"/>
      <c r="W69" s="84"/>
      <c r="X69" s="84"/>
      <c r="Y69" s="84"/>
      <c r="Z69" s="84"/>
      <c r="AA69" s="81"/>
      <c r="AB69" s="81"/>
      <c r="AC69" s="81"/>
      <c r="AD69" s="81"/>
      <c r="AE69" s="81"/>
      <c r="AF69" s="81"/>
      <c r="AG69" s="81"/>
    </row>
    <row r="70" spans="1:33" ht="15.75" customHeight="1" x14ac:dyDescent="0.3">
      <c r="A70" s="104"/>
      <c r="B70" s="104"/>
      <c r="C70" s="130">
        <f t="shared" ca="1" si="6"/>
        <v>52</v>
      </c>
      <c r="D70" s="636"/>
      <c r="E70" s="636"/>
      <c r="F70" s="567" t="s">
        <v>459</v>
      </c>
      <c r="G70" s="219" t="s">
        <v>448</v>
      </c>
      <c r="H70" s="243"/>
      <c r="I70" s="606"/>
      <c r="J70" s="172" t="s">
        <v>313</v>
      </c>
      <c r="K70" s="245" t="s">
        <v>2374</v>
      </c>
      <c r="L70" s="141" t="s">
        <v>15</v>
      </c>
      <c r="M70" s="407">
        <v>46042</v>
      </c>
      <c r="N70" s="40" t="s">
        <v>6</v>
      </c>
      <c r="O70" s="141" t="s">
        <v>15</v>
      </c>
      <c r="P70" s="117"/>
      <c r="Q70" s="407">
        <v>46037</v>
      </c>
      <c r="R70" s="40" t="s">
        <v>445</v>
      </c>
      <c r="S70" s="208"/>
      <c r="T70" s="357"/>
      <c r="U70" s="84"/>
      <c r="V70" s="84"/>
      <c r="W70" s="84"/>
      <c r="X70" s="84"/>
      <c r="Y70" s="84"/>
      <c r="Z70" s="84"/>
      <c r="AA70" s="81"/>
      <c r="AB70" s="81"/>
      <c r="AC70" s="81"/>
      <c r="AD70" s="81"/>
      <c r="AE70" s="81"/>
      <c r="AF70" s="81"/>
      <c r="AG70" s="81"/>
    </row>
    <row r="71" spans="1:33" ht="15.75" customHeight="1" x14ac:dyDescent="0.3">
      <c r="A71" s="104"/>
      <c r="B71" s="104"/>
      <c r="C71" s="130">
        <f t="shared" ca="1" si="6"/>
        <v>53</v>
      </c>
      <c r="D71" s="636"/>
      <c r="E71" s="636"/>
      <c r="F71" s="567" t="s">
        <v>459</v>
      </c>
      <c r="G71" s="219" t="s">
        <v>455</v>
      </c>
      <c r="H71" s="243"/>
      <c r="I71" s="608"/>
      <c r="J71" s="172" t="s">
        <v>2375</v>
      </c>
      <c r="K71" s="226" t="s">
        <v>2369</v>
      </c>
      <c r="L71" s="141" t="s">
        <v>15</v>
      </c>
      <c r="M71" s="407">
        <v>46042</v>
      </c>
      <c r="N71" s="40" t="s">
        <v>6</v>
      </c>
      <c r="O71" s="141" t="s">
        <v>15</v>
      </c>
      <c r="P71" s="117"/>
      <c r="Q71" s="407">
        <v>46037</v>
      </c>
      <c r="R71" s="40" t="s">
        <v>445</v>
      </c>
      <c r="S71" s="208"/>
      <c r="T71" s="357"/>
      <c r="U71" s="84"/>
      <c r="V71" s="84"/>
      <c r="W71" s="84"/>
      <c r="X71" s="84"/>
      <c r="Y71" s="84"/>
      <c r="Z71" s="84"/>
      <c r="AA71" s="81"/>
      <c r="AB71" s="81"/>
      <c r="AC71" s="81"/>
      <c r="AD71" s="81"/>
      <c r="AE71" s="81"/>
      <c r="AF71" s="81"/>
      <c r="AG71" s="81"/>
    </row>
    <row r="72" spans="1:33" ht="15.75" customHeight="1" x14ac:dyDescent="0.3">
      <c r="A72" s="104"/>
      <c r="B72" s="104"/>
      <c r="C72" s="130">
        <f t="shared" ca="1" si="6"/>
        <v>54</v>
      </c>
      <c r="D72" s="658" t="s">
        <v>2376</v>
      </c>
      <c r="E72" s="242" t="s">
        <v>257</v>
      </c>
      <c r="F72" s="567" t="s">
        <v>457</v>
      </c>
      <c r="G72" s="219" t="s">
        <v>448</v>
      </c>
      <c r="H72" s="243"/>
      <c r="I72" s="172"/>
      <c r="J72" s="172" t="s">
        <v>261</v>
      </c>
      <c r="K72" s="245" t="s">
        <v>2377</v>
      </c>
      <c r="L72" s="141" t="s">
        <v>15</v>
      </c>
      <c r="M72" s="407">
        <v>46041</v>
      </c>
      <c r="N72" s="40" t="s">
        <v>6</v>
      </c>
      <c r="O72" s="141" t="s">
        <v>15</v>
      </c>
      <c r="P72" s="117"/>
      <c r="Q72" s="407">
        <v>46037</v>
      </c>
      <c r="R72" s="40" t="s">
        <v>445</v>
      </c>
      <c r="S72" s="208"/>
      <c r="T72" s="357"/>
      <c r="U72" s="84"/>
      <c r="V72" s="84"/>
      <c r="W72" s="84"/>
      <c r="X72" s="84"/>
      <c r="Y72" s="84"/>
      <c r="Z72" s="84"/>
      <c r="AA72" s="81"/>
      <c r="AB72" s="81"/>
      <c r="AC72" s="81"/>
      <c r="AD72" s="81"/>
      <c r="AE72" s="81"/>
      <c r="AF72" s="81"/>
      <c r="AG72" s="81"/>
    </row>
    <row r="73" spans="1:33" ht="15.75" customHeight="1" x14ac:dyDescent="0.3">
      <c r="A73" s="104"/>
      <c r="B73" s="104"/>
      <c r="C73" s="130">
        <f t="shared" ca="1" si="6"/>
        <v>55</v>
      </c>
      <c r="D73" s="636"/>
      <c r="E73" s="665" t="s">
        <v>237</v>
      </c>
      <c r="F73" s="567" t="s">
        <v>459</v>
      </c>
      <c r="G73" s="219" t="s">
        <v>448</v>
      </c>
      <c r="H73" s="243"/>
      <c r="I73" s="172" t="s">
        <v>364</v>
      </c>
      <c r="J73" s="172" t="s">
        <v>238</v>
      </c>
      <c r="K73" s="245" t="s">
        <v>2378</v>
      </c>
      <c r="L73" s="141" t="s">
        <v>15</v>
      </c>
      <c r="M73" s="193">
        <v>46045</v>
      </c>
      <c r="N73" s="194" t="s">
        <v>4</v>
      </c>
      <c r="O73" s="141" t="s">
        <v>15</v>
      </c>
      <c r="P73" s="117"/>
      <c r="Q73" s="407">
        <v>46037</v>
      </c>
      <c r="R73" s="40" t="s">
        <v>445</v>
      </c>
      <c r="S73" s="208" t="s">
        <v>2379</v>
      </c>
      <c r="T73" s="357"/>
      <c r="U73" s="84"/>
      <c r="V73" s="84"/>
      <c r="W73" s="84"/>
      <c r="X73" s="84"/>
      <c r="Y73" s="84"/>
      <c r="Z73" s="84"/>
      <c r="AA73" s="81"/>
      <c r="AB73" s="81"/>
      <c r="AC73" s="81"/>
      <c r="AD73" s="81"/>
      <c r="AE73" s="81"/>
      <c r="AF73" s="81"/>
      <c r="AG73" s="81"/>
    </row>
    <row r="74" spans="1:33" ht="15.75" customHeight="1" x14ac:dyDescent="0.3">
      <c r="A74" s="104"/>
      <c r="B74" s="104"/>
      <c r="C74" s="130">
        <f t="shared" ca="1" si="6"/>
        <v>56</v>
      </c>
      <c r="D74" s="636"/>
      <c r="E74" s="636"/>
      <c r="F74" s="567" t="s">
        <v>459</v>
      </c>
      <c r="G74" s="219" t="s">
        <v>448</v>
      </c>
      <c r="H74" s="243"/>
      <c r="I74" s="657" t="s">
        <v>372</v>
      </c>
      <c r="J74" s="172" t="s">
        <v>311</v>
      </c>
      <c r="K74" s="245" t="s">
        <v>2380</v>
      </c>
      <c r="L74" s="141" t="s">
        <v>15</v>
      </c>
      <c r="M74" s="407">
        <v>46042</v>
      </c>
      <c r="N74" s="40" t="s">
        <v>6</v>
      </c>
      <c r="O74" s="141" t="s">
        <v>15</v>
      </c>
      <c r="P74" s="117"/>
      <c r="Q74" s="407">
        <v>46037</v>
      </c>
      <c r="R74" s="40" t="s">
        <v>445</v>
      </c>
      <c r="S74" s="208"/>
      <c r="T74" s="357"/>
      <c r="U74" s="84"/>
      <c r="V74" s="84"/>
      <c r="W74" s="84"/>
      <c r="X74" s="84"/>
      <c r="Y74" s="84"/>
      <c r="Z74" s="84"/>
      <c r="AA74" s="81"/>
      <c r="AB74" s="81"/>
      <c r="AC74" s="81"/>
      <c r="AD74" s="81"/>
      <c r="AE74" s="81"/>
      <c r="AF74" s="81"/>
      <c r="AG74" s="81"/>
    </row>
    <row r="75" spans="1:33" ht="15.75" customHeight="1" x14ac:dyDescent="0.3">
      <c r="A75" s="104"/>
      <c r="B75" s="104"/>
      <c r="C75" s="130">
        <f t="shared" ca="1" si="6"/>
        <v>57</v>
      </c>
      <c r="D75" s="636"/>
      <c r="E75" s="636"/>
      <c r="F75" s="567" t="s">
        <v>459</v>
      </c>
      <c r="G75" s="219" t="s">
        <v>448</v>
      </c>
      <c r="H75" s="243"/>
      <c r="I75" s="606"/>
      <c r="J75" s="172" t="s">
        <v>313</v>
      </c>
      <c r="K75" s="245" t="s">
        <v>2381</v>
      </c>
      <c r="L75" s="141" t="s">
        <v>15</v>
      </c>
      <c r="M75" s="407">
        <v>46042</v>
      </c>
      <c r="N75" s="40" t="s">
        <v>6</v>
      </c>
      <c r="O75" s="141" t="s">
        <v>15</v>
      </c>
      <c r="P75" s="117"/>
      <c r="Q75" s="407">
        <v>46037</v>
      </c>
      <c r="R75" s="40" t="s">
        <v>445</v>
      </c>
      <c r="S75" s="208"/>
      <c r="T75" s="357"/>
      <c r="U75" s="84"/>
      <c r="V75" s="84"/>
      <c r="W75" s="84"/>
      <c r="X75" s="84"/>
      <c r="Y75" s="84"/>
      <c r="Z75" s="84"/>
      <c r="AA75" s="81"/>
      <c r="AB75" s="81"/>
      <c r="AC75" s="81"/>
      <c r="AD75" s="81"/>
      <c r="AE75" s="81"/>
      <c r="AF75" s="81"/>
      <c r="AG75" s="81"/>
    </row>
    <row r="76" spans="1:33" ht="15.75" customHeight="1" x14ac:dyDescent="0.3">
      <c r="A76" s="104"/>
      <c r="B76" s="104"/>
      <c r="C76" s="130">
        <f t="shared" ca="1" si="6"/>
        <v>58</v>
      </c>
      <c r="D76" s="636"/>
      <c r="E76" s="636"/>
      <c r="F76" s="567" t="s">
        <v>459</v>
      </c>
      <c r="G76" s="219" t="s">
        <v>455</v>
      </c>
      <c r="H76" s="243"/>
      <c r="I76" s="608"/>
      <c r="J76" s="172" t="s">
        <v>2382</v>
      </c>
      <c r="K76" s="226" t="s">
        <v>2369</v>
      </c>
      <c r="L76" s="141" t="s">
        <v>15</v>
      </c>
      <c r="M76" s="407">
        <v>46042</v>
      </c>
      <c r="N76" s="40" t="s">
        <v>6</v>
      </c>
      <c r="O76" s="141" t="s">
        <v>15</v>
      </c>
      <c r="P76" s="117"/>
      <c r="Q76" s="407">
        <v>46037</v>
      </c>
      <c r="R76" s="40" t="s">
        <v>445</v>
      </c>
      <c r="S76" s="208"/>
      <c r="T76" s="357"/>
      <c r="U76" s="84"/>
      <c r="V76" s="84"/>
      <c r="W76" s="84"/>
      <c r="X76" s="84"/>
      <c r="Y76" s="84"/>
      <c r="Z76" s="84"/>
      <c r="AA76" s="81"/>
      <c r="AB76" s="81"/>
      <c r="AC76" s="81"/>
      <c r="AD76" s="81"/>
      <c r="AE76" s="81"/>
      <c r="AF76" s="81"/>
      <c r="AG76" s="81"/>
    </row>
    <row r="77" spans="1:33" ht="15.75" customHeight="1" x14ac:dyDescent="0.3">
      <c r="A77" s="104"/>
      <c r="B77" s="104"/>
      <c r="C77" s="130">
        <f t="shared" ca="1" si="6"/>
        <v>59</v>
      </c>
      <c r="D77" s="658" t="s">
        <v>273</v>
      </c>
      <c r="E77" s="242" t="s">
        <v>257</v>
      </c>
      <c r="F77" s="567" t="s">
        <v>457</v>
      </c>
      <c r="G77" s="219" t="s">
        <v>448</v>
      </c>
      <c r="H77" s="243"/>
      <c r="I77" s="172"/>
      <c r="J77" s="172" t="s">
        <v>261</v>
      </c>
      <c r="K77" s="245" t="s">
        <v>2383</v>
      </c>
      <c r="L77" s="141" t="s">
        <v>15</v>
      </c>
      <c r="M77" s="407">
        <v>46042</v>
      </c>
      <c r="N77" s="40" t="s">
        <v>6</v>
      </c>
      <c r="O77" s="141" t="s">
        <v>15</v>
      </c>
      <c r="P77" s="117"/>
      <c r="Q77" s="407">
        <v>46037</v>
      </c>
      <c r="R77" s="40" t="s">
        <v>445</v>
      </c>
      <c r="S77" s="208"/>
      <c r="T77" s="357"/>
      <c r="U77" s="84"/>
      <c r="V77" s="84"/>
      <c r="W77" s="84"/>
      <c r="X77" s="84"/>
      <c r="Y77" s="84"/>
      <c r="Z77" s="84"/>
      <c r="AA77" s="81"/>
      <c r="AB77" s="81"/>
      <c r="AC77" s="81"/>
      <c r="AD77" s="81"/>
      <c r="AE77" s="81"/>
      <c r="AF77" s="81"/>
      <c r="AG77" s="81"/>
    </row>
    <row r="78" spans="1:33" ht="15.75" customHeight="1" x14ac:dyDescent="0.3">
      <c r="A78" s="104"/>
      <c r="B78" s="104"/>
      <c r="C78" s="130">
        <f t="shared" ca="1" si="6"/>
        <v>60</v>
      </c>
      <c r="D78" s="636"/>
      <c r="E78" s="665" t="s">
        <v>237</v>
      </c>
      <c r="F78" s="567" t="s">
        <v>459</v>
      </c>
      <c r="G78" s="219" t="s">
        <v>448</v>
      </c>
      <c r="H78" s="243"/>
      <c r="I78" s="172" t="s">
        <v>364</v>
      </c>
      <c r="J78" s="172" t="s">
        <v>238</v>
      </c>
      <c r="K78" s="245" t="s">
        <v>2384</v>
      </c>
      <c r="L78" s="141" t="s">
        <v>15</v>
      </c>
      <c r="M78" s="193">
        <v>46045</v>
      </c>
      <c r="N78" s="194" t="s">
        <v>4</v>
      </c>
      <c r="O78" s="141" t="s">
        <v>15</v>
      </c>
      <c r="P78" s="117"/>
      <c r="Q78" s="407">
        <v>46037</v>
      </c>
      <c r="R78" s="40" t="s">
        <v>445</v>
      </c>
      <c r="S78" s="208" t="s">
        <v>2385</v>
      </c>
      <c r="T78" s="357"/>
      <c r="U78" s="84"/>
      <c r="V78" s="84"/>
      <c r="W78" s="84"/>
      <c r="X78" s="84"/>
      <c r="Y78" s="84"/>
      <c r="Z78" s="84"/>
      <c r="AA78" s="81"/>
      <c r="AB78" s="81"/>
      <c r="AC78" s="81"/>
      <c r="AD78" s="81"/>
      <c r="AE78" s="81"/>
      <c r="AF78" s="81"/>
      <c r="AG78" s="81"/>
    </row>
    <row r="79" spans="1:33" ht="15.75" customHeight="1" x14ac:dyDescent="0.3">
      <c r="A79" s="104"/>
      <c r="B79" s="104"/>
      <c r="C79" s="130">
        <f t="shared" ca="1" si="6"/>
        <v>61</v>
      </c>
      <c r="D79" s="636"/>
      <c r="E79" s="636"/>
      <c r="F79" s="567" t="s">
        <v>459</v>
      </c>
      <c r="G79" s="219" t="s">
        <v>448</v>
      </c>
      <c r="H79" s="243"/>
      <c r="I79" s="657" t="s">
        <v>372</v>
      </c>
      <c r="J79" s="172" t="s">
        <v>311</v>
      </c>
      <c r="K79" s="245" t="s">
        <v>2386</v>
      </c>
      <c r="L79" s="141" t="s">
        <v>15</v>
      </c>
      <c r="M79" s="407">
        <v>46042</v>
      </c>
      <c r="N79" s="40" t="s">
        <v>6</v>
      </c>
      <c r="O79" s="141" t="s">
        <v>15</v>
      </c>
      <c r="P79" s="117"/>
      <c r="Q79" s="407">
        <v>46037</v>
      </c>
      <c r="R79" s="40" t="s">
        <v>445</v>
      </c>
      <c r="S79" s="208"/>
      <c r="T79" s="357"/>
      <c r="U79" s="84"/>
      <c r="V79" s="84"/>
      <c r="W79" s="84"/>
      <c r="X79" s="84"/>
      <c r="Y79" s="84"/>
      <c r="Z79" s="84"/>
      <c r="AA79" s="81"/>
      <c r="AB79" s="81"/>
      <c r="AC79" s="81"/>
      <c r="AD79" s="81"/>
      <c r="AE79" s="81"/>
      <c r="AF79" s="81"/>
      <c r="AG79" s="81"/>
    </row>
    <row r="80" spans="1:33" ht="15.75" customHeight="1" x14ac:dyDescent="0.3">
      <c r="A80" s="104"/>
      <c r="B80" s="104"/>
      <c r="C80" s="130">
        <f t="shared" ca="1" si="6"/>
        <v>62</v>
      </c>
      <c r="D80" s="636"/>
      <c r="E80" s="636"/>
      <c r="F80" s="567" t="s">
        <v>459</v>
      </c>
      <c r="G80" s="219" t="s">
        <v>448</v>
      </c>
      <c r="H80" s="243"/>
      <c r="I80" s="606"/>
      <c r="J80" s="172" t="s">
        <v>313</v>
      </c>
      <c r="K80" s="245" t="s">
        <v>2387</v>
      </c>
      <c r="L80" s="141" t="s">
        <v>15</v>
      </c>
      <c r="M80" s="407">
        <v>46042</v>
      </c>
      <c r="N80" s="40" t="s">
        <v>6</v>
      </c>
      <c r="O80" s="141" t="s">
        <v>15</v>
      </c>
      <c r="P80" s="117"/>
      <c r="Q80" s="407">
        <v>46037</v>
      </c>
      <c r="R80" s="40" t="s">
        <v>445</v>
      </c>
      <c r="S80" s="208"/>
      <c r="T80" s="357"/>
      <c r="U80" s="84"/>
      <c r="V80" s="84"/>
      <c r="W80" s="84"/>
      <c r="X80" s="84"/>
      <c r="Y80" s="84"/>
      <c r="Z80" s="84"/>
      <c r="AA80" s="81"/>
      <c r="AB80" s="81"/>
      <c r="AC80" s="81"/>
      <c r="AD80" s="81"/>
      <c r="AE80" s="81"/>
      <c r="AF80" s="81"/>
      <c r="AG80" s="81"/>
    </row>
    <row r="81" spans="1:33" ht="15.75" customHeight="1" x14ac:dyDescent="0.3">
      <c r="A81" s="104"/>
      <c r="B81" s="104"/>
      <c r="C81" s="130">
        <f t="shared" ca="1" si="6"/>
        <v>63</v>
      </c>
      <c r="D81" s="636"/>
      <c r="E81" s="636"/>
      <c r="F81" s="567" t="s">
        <v>459</v>
      </c>
      <c r="G81" s="219" t="s">
        <v>455</v>
      </c>
      <c r="H81" s="243"/>
      <c r="I81" s="608"/>
      <c r="J81" s="172" t="s">
        <v>2388</v>
      </c>
      <c r="K81" s="226" t="s">
        <v>2369</v>
      </c>
      <c r="L81" s="141" t="s">
        <v>15</v>
      </c>
      <c r="M81" s="407">
        <v>46042</v>
      </c>
      <c r="N81" s="40" t="s">
        <v>6</v>
      </c>
      <c r="O81" s="141" t="s">
        <v>15</v>
      </c>
      <c r="P81" s="117"/>
      <c r="Q81" s="407">
        <v>46037</v>
      </c>
      <c r="R81" s="40" t="s">
        <v>445</v>
      </c>
      <c r="S81" s="208"/>
      <c r="T81" s="357"/>
      <c r="U81" s="84"/>
      <c r="V81" s="84"/>
      <c r="W81" s="84"/>
      <c r="X81" s="84"/>
      <c r="Y81" s="84"/>
      <c r="Z81" s="84"/>
      <c r="AA81" s="81"/>
      <c r="AB81" s="81"/>
      <c r="AC81" s="81"/>
      <c r="AD81" s="81"/>
      <c r="AE81" s="81"/>
      <c r="AF81" s="81"/>
      <c r="AG81" s="81"/>
    </row>
    <row r="82" spans="1:33" ht="15.75" customHeight="1" x14ac:dyDescent="0.3">
      <c r="A82" s="104"/>
      <c r="B82" s="104"/>
      <c r="C82" s="130">
        <f t="shared" ca="1" si="6"/>
        <v>64</v>
      </c>
      <c r="D82" s="658" t="s">
        <v>274</v>
      </c>
      <c r="E82" s="242" t="s">
        <v>257</v>
      </c>
      <c r="F82" s="567" t="s">
        <v>457</v>
      </c>
      <c r="G82" s="219" t="s">
        <v>448</v>
      </c>
      <c r="H82" s="243"/>
      <c r="I82" s="172"/>
      <c r="J82" s="172" t="s">
        <v>261</v>
      </c>
      <c r="K82" s="245" t="s">
        <v>2389</v>
      </c>
      <c r="L82" s="141" t="s">
        <v>15</v>
      </c>
      <c r="M82" s="407">
        <v>46042</v>
      </c>
      <c r="N82" s="40" t="s">
        <v>6</v>
      </c>
      <c r="O82" s="141" t="s">
        <v>15</v>
      </c>
      <c r="P82" s="117"/>
      <c r="Q82" s="407">
        <v>46037</v>
      </c>
      <c r="R82" s="40" t="s">
        <v>445</v>
      </c>
      <c r="S82" s="208"/>
      <c r="T82" s="357"/>
      <c r="U82" s="84"/>
      <c r="V82" s="84"/>
      <c r="W82" s="84"/>
      <c r="X82" s="84"/>
      <c r="Y82" s="84"/>
      <c r="Z82" s="84"/>
      <c r="AA82" s="81"/>
      <c r="AB82" s="81"/>
      <c r="AC82" s="81"/>
      <c r="AD82" s="81"/>
      <c r="AE82" s="81"/>
      <c r="AF82" s="81"/>
      <c r="AG82" s="81"/>
    </row>
    <row r="83" spans="1:33" ht="15.75" customHeight="1" x14ac:dyDescent="0.3">
      <c r="A83" s="104"/>
      <c r="B83" s="104"/>
      <c r="C83" s="130">
        <f t="shared" ca="1" si="6"/>
        <v>65</v>
      </c>
      <c r="D83" s="636"/>
      <c r="E83" s="665" t="s">
        <v>237</v>
      </c>
      <c r="F83" s="567" t="s">
        <v>459</v>
      </c>
      <c r="G83" s="219" t="s">
        <v>448</v>
      </c>
      <c r="H83" s="243"/>
      <c r="I83" s="172" t="s">
        <v>364</v>
      </c>
      <c r="J83" s="172" t="s">
        <v>238</v>
      </c>
      <c r="K83" s="245" t="s">
        <v>2390</v>
      </c>
      <c r="L83" s="141" t="s">
        <v>15</v>
      </c>
      <c r="M83" s="193">
        <v>46045</v>
      </c>
      <c r="N83" s="194" t="s">
        <v>4</v>
      </c>
      <c r="O83" s="141" t="s">
        <v>15</v>
      </c>
      <c r="P83" s="117"/>
      <c r="Q83" s="407">
        <v>46037</v>
      </c>
      <c r="R83" s="40" t="s">
        <v>445</v>
      </c>
      <c r="S83" s="208" t="s">
        <v>2391</v>
      </c>
      <c r="T83" s="357"/>
      <c r="U83" s="84"/>
      <c r="V83" s="84"/>
      <c r="W83" s="84"/>
      <c r="X83" s="84"/>
      <c r="Y83" s="84"/>
      <c r="Z83" s="84"/>
      <c r="AA83" s="81"/>
      <c r="AB83" s="81"/>
      <c r="AC83" s="81"/>
      <c r="AD83" s="81"/>
      <c r="AE83" s="81"/>
      <c r="AF83" s="81"/>
      <c r="AG83" s="81"/>
    </row>
    <row r="84" spans="1:33" ht="15.75" customHeight="1" x14ac:dyDescent="0.3">
      <c r="A84" s="104"/>
      <c r="B84" s="104"/>
      <c r="C84" s="130">
        <f t="shared" ca="1" si="6"/>
        <v>66</v>
      </c>
      <c r="D84" s="636"/>
      <c r="E84" s="636"/>
      <c r="F84" s="567" t="s">
        <v>459</v>
      </c>
      <c r="G84" s="219" t="s">
        <v>448</v>
      </c>
      <c r="H84" s="243"/>
      <c r="I84" s="657" t="s">
        <v>372</v>
      </c>
      <c r="J84" s="172" t="s">
        <v>311</v>
      </c>
      <c r="K84" s="245" t="s">
        <v>2392</v>
      </c>
      <c r="L84" s="141" t="s">
        <v>15</v>
      </c>
      <c r="M84" s="407">
        <v>46042</v>
      </c>
      <c r="N84" s="40" t="s">
        <v>6</v>
      </c>
      <c r="O84" s="141" t="s">
        <v>15</v>
      </c>
      <c r="P84" s="117"/>
      <c r="Q84" s="407">
        <v>46037</v>
      </c>
      <c r="R84" s="40" t="s">
        <v>445</v>
      </c>
      <c r="S84" s="208"/>
      <c r="T84" s="357"/>
      <c r="U84" s="84"/>
      <c r="V84" s="84"/>
      <c r="W84" s="84"/>
      <c r="X84" s="84"/>
      <c r="Y84" s="84"/>
      <c r="Z84" s="84"/>
      <c r="AA84" s="81"/>
      <c r="AB84" s="81"/>
      <c r="AC84" s="81"/>
      <c r="AD84" s="81"/>
      <c r="AE84" s="81"/>
      <c r="AF84" s="81"/>
      <c r="AG84" s="81"/>
    </row>
    <row r="85" spans="1:33" ht="15.75" customHeight="1" x14ac:dyDescent="0.3">
      <c r="A85" s="104"/>
      <c r="B85" s="104"/>
      <c r="C85" s="130">
        <f t="shared" ca="1" si="6"/>
        <v>67</v>
      </c>
      <c r="D85" s="636"/>
      <c r="E85" s="636"/>
      <c r="F85" s="567" t="s">
        <v>459</v>
      </c>
      <c r="G85" s="219" t="s">
        <v>448</v>
      </c>
      <c r="H85" s="243"/>
      <c r="I85" s="606"/>
      <c r="J85" s="172" t="s">
        <v>313</v>
      </c>
      <c r="K85" s="245" t="s">
        <v>2393</v>
      </c>
      <c r="L85" s="141" t="s">
        <v>15</v>
      </c>
      <c r="M85" s="407">
        <v>46042</v>
      </c>
      <c r="N85" s="40" t="s">
        <v>6</v>
      </c>
      <c r="O85" s="141" t="s">
        <v>15</v>
      </c>
      <c r="P85" s="117"/>
      <c r="Q85" s="407">
        <v>46037</v>
      </c>
      <c r="R85" s="40" t="s">
        <v>445</v>
      </c>
      <c r="S85" s="208"/>
      <c r="T85" s="357"/>
      <c r="U85" s="84"/>
      <c r="V85" s="84"/>
      <c r="W85" s="84"/>
      <c r="X85" s="84"/>
      <c r="Y85" s="84"/>
      <c r="Z85" s="84"/>
      <c r="AA85" s="81"/>
      <c r="AB85" s="81"/>
      <c r="AC85" s="81"/>
      <c r="AD85" s="81"/>
      <c r="AE85" s="81"/>
      <c r="AF85" s="81"/>
      <c r="AG85" s="81"/>
    </row>
    <row r="86" spans="1:33" ht="15.75" customHeight="1" x14ac:dyDescent="0.3">
      <c r="A86" s="104"/>
      <c r="B86" s="104"/>
      <c r="C86" s="130">
        <f t="shared" ca="1" si="6"/>
        <v>68</v>
      </c>
      <c r="D86" s="636"/>
      <c r="E86" s="636"/>
      <c r="F86" s="567" t="s">
        <v>459</v>
      </c>
      <c r="G86" s="219" t="s">
        <v>448</v>
      </c>
      <c r="H86" s="243"/>
      <c r="I86" s="608"/>
      <c r="J86" s="172" t="s">
        <v>2394</v>
      </c>
      <c r="K86" s="226" t="s">
        <v>2369</v>
      </c>
      <c r="L86" s="141" t="s">
        <v>15</v>
      </c>
      <c r="M86" s="407">
        <v>46042</v>
      </c>
      <c r="N86" s="40" t="s">
        <v>6</v>
      </c>
      <c r="O86" s="141" t="s">
        <v>15</v>
      </c>
      <c r="P86" s="117"/>
      <c r="Q86" s="407">
        <v>46037</v>
      </c>
      <c r="R86" s="40" t="s">
        <v>445</v>
      </c>
      <c r="S86" s="208"/>
      <c r="T86" s="357"/>
      <c r="U86" s="84"/>
      <c r="V86" s="84"/>
      <c r="W86" s="84"/>
      <c r="X86" s="84"/>
      <c r="Y86" s="84"/>
      <c r="Z86" s="84"/>
      <c r="AA86" s="81"/>
      <c r="AB86" s="81"/>
      <c r="AC86" s="81"/>
      <c r="AD86" s="81"/>
      <c r="AE86" s="81"/>
      <c r="AF86" s="81"/>
      <c r="AG86" s="81"/>
    </row>
    <row r="87" spans="1:33" ht="15.75" customHeight="1" x14ac:dyDescent="0.3">
      <c r="A87" s="104"/>
      <c r="B87" s="104"/>
      <c r="C87" s="130">
        <f t="shared" ca="1" si="6"/>
        <v>69</v>
      </c>
      <c r="D87" s="658" t="s">
        <v>275</v>
      </c>
      <c r="E87" s="242" t="s">
        <v>257</v>
      </c>
      <c r="F87" s="567" t="s">
        <v>457</v>
      </c>
      <c r="G87" s="219" t="s">
        <v>448</v>
      </c>
      <c r="H87" s="243"/>
      <c r="I87" s="172"/>
      <c r="J87" s="172" t="s">
        <v>261</v>
      </c>
      <c r="K87" s="245" t="s">
        <v>2395</v>
      </c>
      <c r="L87" s="141" t="s">
        <v>15</v>
      </c>
      <c r="M87" s="407">
        <v>46042</v>
      </c>
      <c r="N87" s="40" t="s">
        <v>6</v>
      </c>
      <c r="O87" s="141" t="s">
        <v>15</v>
      </c>
      <c r="P87" s="117"/>
      <c r="Q87" s="407">
        <v>46037</v>
      </c>
      <c r="R87" s="40" t="s">
        <v>445</v>
      </c>
      <c r="S87" s="208"/>
      <c r="T87" s="357"/>
      <c r="U87" s="84"/>
      <c r="V87" s="84"/>
      <c r="W87" s="84"/>
      <c r="X87" s="84"/>
      <c r="Y87" s="84"/>
      <c r="Z87" s="84"/>
      <c r="AA87" s="81"/>
      <c r="AB87" s="81"/>
      <c r="AC87" s="81"/>
      <c r="AD87" s="81"/>
      <c r="AE87" s="81"/>
      <c r="AF87" s="81"/>
      <c r="AG87" s="81"/>
    </row>
    <row r="88" spans="1:33" ht="15.75" customHeight="1" x14ac:dyDescent="0.3">
      <c r="A88" s="104"/>
      <c r="B88" s="104"/>
      <c r="C88" s="130">
        <f t="shared" ca="1" si="6"/>
        <v>70</v>
      </c>
      <c r="D88" s="636"/>
      <c r="E88" s="665" t="s">
        <v>237</v>
      </c>
      <c r="F88" s="567" t="s">
        <v>459</v>
      </c>
      <c r="G88" s="219" t="s">
        <v>448</v>
      </c>
      <c r="H88" s="243"/>
      <c r="I88" s="172" t="s">
        <v>364</v>
      </c>
      <c r="J88" s="172" t="s">
        <v>238</v>
      </c>
      <c r="K88" s="245" t="s">
        <v>2396</v>
      </c>
      <c r="L88" s="141" t="s">
        <v>15</v>
      </c>
      <c r="M88" s="407">
        <v>46045</v>
      </c>
      <c r="N88" s="40" t="s">
        <v>6</v>
      </c>
      <c r="O88" s="141" t="s">
        <v>15</v>
      </c>
      <c r="P88" s="117"/>
      <c r="Q88" s="407">
        <v>46037</v>
      </c>
      <c r="R88" s="40" t="s">
        <v>445</v>
      </c>
      <c r="S88" s="208" t="s">
        <v>2397</v>
      </c>
      <c r="T88" s="357"/>
      <c r="U88" s="84"/>
      <c r="V88" s="84"/>
      <c r="W88" s="84"/>
      <c r="X88" s="84"/>
      <c r="Y88" s="84"/>
      <c r="Z88" s="84"/>
      <c r="AA88" s="81"/>
      <c r="AB88" s="81"/>
      <c r="AC88" s="81"/>
      <c r="AD88" s="81"/>
      <c r="AE88" s="81"/>
      <c r="AF88" s="81"/>
      <c r="AG88" s="81"/>
    </row>
    <row r="89" spans="1:33" ht="15.75" customHeight="1" x14ac:dyDescent="0.3">
      <c r="A89" s="104"/>
      <c r="B89" s="104"/>
      <c r="C89" s="130">
        <f t="shared" ca="1" si="6"/>
        <v>71</v>
      </c>
      <c r="D89" s="636"/>
      <c r="E89" s="636"/>
      <c r="F89" s="567" t="s">
        <v>459</v>
      </c>
      <c r="G89" s="219"/>
      <c r="H89" s="243"/>
      <c r="I89" s="657" t="s">
        <v>372</v>
      </c>
      <c r="J89" s="172" t="s">
        <v>311</v>
      </c>
      <c r="K89" s="245" t="s">
        <v>2398</v>
      </c>
      <c r="L89" s="141" t="s">
        <v>15</v>
      </c>
      <c r="M89" s="407">
        <v>46045</v>
      </c>
      <c r="N89" s="40" t="s">
        <v>4</v>
      </c>
      <c r="O89" s="141" t="s">
        <v>15</v>
      </c>
      <c r="P89" s="117"/>
      <c r="Q89" s="407">
        <v>46037</v>
      </c>
      <c r="R89" s="40" t="s">
        <v>445</v>
      </c>
      <c r="S89" s="208"/>
      <c r="T89" s="357"/>
      <c r="U89" s="84"/>
      <c r="V89" s="84"/>
      <c r="W89" s="84"/>
      <c r="X89" s="84"/>
      <c r="Y89" s="84"/>
      <c r="Z89" s="84"/>
      <c r="AA89" s="81"/>
      <c r="AB89" s="81"/>
      <c r="AC89" s="81"/>
      <c r="AD89" s="81"/>
      <c r="AE89" s="81"/>
      <c r="AF89" s="81"/>
      <c r="AG89" s="81"/>
    </row>
    <row r="90" spans="1:33" ht="15.75" customHeight="1" x14ac:dyDescent="0.3">
      <c r="A90" s="104"/>
      <c r="B90" s="104"/>
      <c r="C90" s="130">
        <f t="shared" ca="1" si="6"/>
        <v>72</v>
      </c>
      <c r="D90" s="636"/>
      <c r="E90" s="636"/>
      <c r="F90" s="567" t="s">
        <v>459</v>
      </c>
      <c r="G90" s="219"/>
      <c r="H90" s="243"/>
      <c r="I90" s="606"/>
      <c r="J90" s="172" t="s">
        <v>313</v>
      </c>
      <c r="K90" s="245" t="s">
        <v>2399</v>
      </c>
      <c r="L90" s="141" t="s">
        <v>15</v>
      </c>
      <c r="M90" s="407">
        <v>46045</v>
      </c>
      <c r="N90" s="40" t="s">
        <v>4</v>
      </c>
      <c r="O90" s="141" t="s">
        <v>15</v>
      </c>
      <c r="P90" s="117"/>
      <c r="Q90" s="407">
        <v>46037</v>
      </c>
      <c r="R90" s="40" t="s">
        <v>445</v>
      </c>
      <c r="S90" s="208"/>
      <c r="T90" s="357"/>
      <c r="U90" s="84"/>
      <c r="V90" s="84"/>
      <c r="W90" s="84"/>
      <c r="X90" s="84"/>
      <c r="Y90" s="84"/>
      <c r="Z90" s="84"/>
      <c r="AA90" s="81"/>
      <c r="AB90" s="81"/>
      <c r="AC90" s="81"/>
      <c r="AD90" s="81"/>
      <c r="AE90" s="81"/>
      <c r="AF90" s="81"/>
      <c r="AG90" s="81"/>
    </row>
    <row r="91" spans="1:33" ht="15.75" customHeight="1" x14ac:dyDescent="0.3">
      <c r="A91" s="104"/>
      <c r="B91" s="104"/>
      <c r="C91" s="130">
        <f t="shared" ca="1" si="6"/>
        <v>73</v>
      </c>
      <c r="D91" s="636"/>
      <c r="E91" s="636"/>
      <c r="F91" s="567" t="s">
        <v>459</v>
      </c>
      <c r="G91" s="219"/>
      <c r="H91" s="243"/>
      <c r="I91" s="608"/>
      <c r="J91" s="172" t="s">
        <v>2400</v>
      </c>
      <c r="K91" s="226" t="s">
        <v>2369</v>
      </c>
      <c r="L91" s="141" t="s">
        <v>15</v>
      </c>
      <c r="M91" s="407">
        <v>46042</v>
      </c>
      <c r="N91" s="40" t="s">
        <v>6</v>
      </c>
      <c r="O91" s="141" t="s">
        <v>15</v>
      </c>
      <c r="P91" s="117"/>
      <c r="Q91" s="407">
        <v>46037</v>
      </c>
      <c r="R91" s="40" t="s">
        <v>445</v>
      </c>
      <c r="S91" s="208"/>
      <c r="T91" s="357"/>
      <c r="U91" s="84"/>
      <c r="V91" s="84"/>
      <c r="W91" s="84"/>
      <c r="X91" s="84"/>
      <c r="Y91" s="84"/>
      <c r="Z91" s="84"/>
      <c r="AA91" s="81"/>
      <c r="AB91" s="81"/>
      <c r="AC91" s="81"/>
      <c r="AD91" s="81"/>
      <c r="AE91" s="81"/>
      <c r="AF91" s="81"/>
      <c r="AG91" s="81"/>
    </row>
    <row r="92" spans="1:33" ht="15.75" customHeight="1" x14ac:dyDescent="0.3">
      <c r="A92" s="104"/>
      <c r="B92" s="104"/>
      <c r="C92" s="130">
        <f t="shared" ca="1" si="6"/>
        <v>74</v>
      </c>
      <c r="D92" s="658" t="s">
        <v>276</v>
      </c>
      <c r="E92" s="242" t="s">
        <v>257</v>
      </c>
      <c r="F92" s="567" t="s">
        <v>457</v>
      </c>
      <c r="G92" s="219" t="s">
        <v>448</v>
      </c>
      <c r="H92" s="243"/>
      <c r="I92" s="172"/>
      <c r="J92" s="172" t="s">
        <v>261</v>
      </c>
      <c r="K92" s="245" t="s">
        <v>2401</v>
      </c>
      <c r="L92" s="141" t="s">
        <v>15</v>
      </c>
      <c r="M92" s="407">
        <v>46042</v>
      </c>
      <c r="N92" s="40" t="s">
        <v>6</v>
      </c>
      <c r="O92" s="141" t="s">
        <v>15</v>
      </c>
      <c r="P92" s="117"/>
      <c r="Q92" s="407">
        <v>46037</v>
      </c>
      <c r="R92" s="40" t="s">
        <v>445</v>
      </c>
      <c r="S92" s="208" t="s">
        <v>2402</v>
      </c>
      <c r="T92" s="357"/>
      <c r="U92" s="84"/>
      <c r="V92" s="84"/>
      <c r="W92" s="84"/>
      <c r="X92" s="84"/>
      <c r="Y92" s="84"/>
      <c r="Z92" s="84"/>
      <c r="AA92" s="81"/>
      <c r="AB92" s="81"/>
      <c r="AC92" s="81"/>
      <c r="AD92" s="81"/>
      <c r="AE92" s="81"/>
      <c r="AF92" s="81"/>
      <c r="AG92" s="81"/>
    </row>
    <row r="93" spans="1:33" ht="15.75" customHeight="1" x14ac:dyDescent="0.3">
      <c r="A93" s="104"/>
      <c r="B93" s="104"/>
      <c r="C93" s="130">
        <f t="shared" ca="1" si="6"/>
        <v>75</v>
      </c>
      <c r="D93" s="636"/>
      <c r="E93" s="665" t="s">
        <v>237</v>
      </c>
      <c r="F93" s="567" t="s">
        <v>459</v>
      </c>
      <c r="G93" s="219" t="s">
        <v>448</v>
      </c>
      <c r="H93" s="243"/>
      <c r="I93" s="172" t="s">
        <v>364</v>
      </c>
      <c r="J93" s="172" t="s">
        <v>2403</v>
      </c>
      <c r="K93" s="245" t="s">
        <v>2404</v>
      </c>
      <c r="L93" s="141" t="s">
        <v>15</v>
      </c>
      <c r="M93" s="193">
        <v>46045</v>
      </c>
      <c r="N93" s="194" t="s">
        <v>4</v>
      </c>
      <c r="O93" s="141" t="s">
        <v>15</v>
      </c>
      <c r="P93" s="117" t="s">
        <v>211</v>
      </c>
      <c r="Q93" s="407">
        <v>46037</v>
      </c>
      <c r="R93" s="40" t="s">
        <v>445</v>
      </c>
      <c r="S93" s="208" t="s">
        <v>2405</v>
      </c>
      <c r="T93" s="357"/>
      <c r="U93" s="84"/>
      <c r="V93" s="84"/>
      <c r="W93" s="84"/>
      <c r="X93" s="84"/>
      <c r="Y93" s="84"/>
      <c r="Z93" s="84"/>
      <c r="AA93" s="81"/>
      <c r="AB93" s="81"/>
      <c r="AC93" s="81"/>
      <c r="AD93" s="81"/>
      <c r="AE93" s="81"/>
      <c r="AF93" s="81"/>
      <c r="AG93" s="81"/>
    </row>
    <row r="94" spans="1:33" ht="15.75" customHeight="1" x14ac:dyDescent="0.3">
      <c r="A94" s="104"/>
      <c r="B94" s="104"/>
      <c r="C94" s="130">
        <f t="shared" ca="1" si="6"/>
        <v>76</v>
      </c>
      <c r="D94" s="636"/>
      <c r="E94" s="636"/>
      <c r="F94" s="567" t="s">
        <v>459</v>
      </c>
      <c r="G94" s="219"/>
      <c r="H94" s="243"/>
      <c r="I94" s="657" t="s">
        <v>372</v>
      </c>
      <c r="J94" s="172" t="s">
        <v>311</v>
      </c>
      <c r="K94" s="245" t="s">
        <v>2406</v>
      </c>
      <c r="L94" s="141" t="s">
        <v>15</v>
      </c>
      <c r="M94" s="407">
        <v>46042</v>
      </c>
      <c r="N94" s="40" t="s">
        <v>6</v>
      </c>
      <c r="O94" s="141" t="s">
        <v>15</v>
      </c>
      <c r="P94" s="117"/>
      <c r="Q94" s="407">
        <v>46037</v>
      </c>
      <c r="R94" s="40" t="s">
        <v>445</v>
      </c>
      <c r="S94" s="208"/>
      <c r="T94" s="357"/>
      <c r="U94" s="84"/>
      <c r="V94" s="84"/>
      <c r="W94" s="84"/>
      <c r="X94" s="84"/>
      <c r="Y94" s="84"/>
      <c r="Z94" s="84"/>
      <c r="AA94" s="81"/>
      <c r="AB94" s="81"/>
      <c r="AC94" s="81"/>
      <c r="AD94" s="81"/>
      <c r="AE94" s="81"/>
      <c r="AF94" s="81"/>
      <c r="AG94" s="81"/>
    </row>
    <row r="95" spans="1:33" ht="15.75" customHeight="1" x14ac:dyDescent="0.3">
      <c r="A95" s="104"/>
      <c r="B95" s="104"/>
      <c r="C95" s="130">
        <f t="shared" ca="1" si="6"/>
        <v>77</v>
      </c>
      <c r="D95" s="636"/>
      <c r="E95" s="636"/>
      <c r="F95" s="567" t="s">
        <v>459</v>
      </c>
      <c r="G95" s="219"/>
      <c r="H95" s="243"/>
      <c r="I95" s="606"/>
      <c r="J95" s="172" t="s">
        <v>313</v>
      </c>
      <c r="K95" s="245" t="s">
        <v>2407</v>
      </c>
      <c r="L95" s="141" t="s">
        <v>15</v>
      </c>
      <c r="M95" s="407">
        <v>46042</v>
      </c>
      <c r="N95" s="40" t="s">
        <v>6</v>
      </c>
      <c r="O95" s="141" t="s">
        <v>15</v>
      </c>
      <c r="P95" s="117"/>
      <c r="Q95" s="407">
        <v>46037</v>
      </c>
      <c r="R95" s="40" t="s">
        <v>445</v>
      </c>
      <c r="S95" s="208"/>
      <c r="T95" s="357"/>
      <c r="U95" s="84"/>
      <c r="V95" s="84"/>
      <c r="W95" s="84"/>
      <c r="X95" s="84"/>
      <c r="Y95" s="84"/>
      <c r="Z95" s="84"/>
      <c r="AA95" s="81"/>
      <c r="AB95" s="81"/>
      <c r="AC95" s="81"/>
      <c r="AD95" s="81"/>
      <c r="AE95" s="81"/>
      <c r="AF95" s="81"/>
      <c r="AG95" s="81"/>
    </row>
    <row r="96" spans="1:33" ht="15.75" customHeight="1" x14ac:dyDescent="0.3">
      <c r="A96" s="104"/>
      <c r="B96" s="104"/>
      <c r="C96" s="130">
        <f t="shared" ca="1" si="6"/>
        <v>78</v>
      </c>
      <c r="D96" s="636"/>
      <c r="E96" s="636"/>
      <c r="F96" s="567" t="s">
        <v>459</v>
      </c>
      <c r="G96" s="219"/>
      <c r="H96" s="243"/>
      <c r="I96" s="608"/>
      <c r="J96" s="172" t="s">
        <v>2408</v>
      </c>
      <c r="K96" s="226" t="s">
        <v>2240</v>
      </c>
      <c r="L96" s="141" t="s">
        <v>15</v>
      </c>
      <c r="M96" s="407">
        <v>46042</v>
      </c>
      <c r="N96" s="40" t="s">
        <v>6</v>
      </c>
      <c r="O96" s="141" t="s">
        <v>15</v>
      </c>
      <c r="P96" s="117" t="s">
        <v>211</v>
      </c>
      <c r="Q96" s="407">
        <v>46037</v>
      </c>
      <c r="R96" s="40" t="s">
        <v>445</v>
      </c>
      <c r="S96" s="208" t="s">
        <v>2409</v>
      </c>
      <c r="T96" s="357"/>
      <c r="U96" s="84"/>
      <c r="V96" s="84"/>
      <c r="W96" s="84"/>
      <c r="X96" s="84"/>
      <c r="Y96" s="84"/>
      <c r="Z96" s="84"/>
      <c r="AA96" s="81"/>
      <c r="AB96" s="81"/>
      <c r="AC96" s="81"/>
      <c r="AD96" s="81"/>
      <c r="AE96" s="81"/>
      <c r="AF96" s="81"/>
      <c r="AG96" s="81"/>
    </row>
    <row r="97" spans="1:33" ht="15.75" customHeight="1" x14ac:dyDescent="0.3">
      <c r="A97" s="104"/>
      <c r="B97" s="104"/>
      <c r="C97" s="130">
        <f t="shared" ca="1" si="6"/>
        <v>79</v>
      </c>
      <c r="D97" s="658" t="s">
        <v>277</v>
      </c>
      <c r="E97" s="242" t="s">
        <v>257</v>
      </c>
      <c r="F97" s="567" t="s">
        <v>457</v>
      </c>
      <c r="G97" s="219" t="s">
        <v>448</v>
      </c>
      <c r="H97" s="243"/>
      <c r="I97" s="172"/>
      <c r="J97" s="172" t="s">
        <v>261</v>
      </c>
      <c r="K97" s="245" t="s">
        <v>2410</v>
      </c>
      <c r="L97" s="141" t="s">
        <v>15</v>
      </c>
      <c r="M97" s="407">
        <v>46042</v>
      </c>
      <c r="N97" s="40" t="s">
        <v>6</v>
      </c>
      <c r="O97" s="141" t="s">
        <v>15</v>
      </c>
      <c r="P97" s="117"/>
      <c r="Q97" s="407">
        <v>46037</v>
      </c>
      <c r="R97" s="40" t="s">
        <v>445</v>
      </c>
      <c r="S97" s="208"/>
      <c r="T97" s="357"/>
      <c r="U97" s="84"/>
      <c r="V97" s="84"/>
      <c r="W97" s="84"/>
      <c r="X97" s="84"/>
      <c r="Y97" s="84"/>
      <c r="Z97" s="84"/>
      <c r="AA97" s="81"/>
      <c r="AB97" s="81"/>
      <c r="AC97" s="81"/>
      <c r="AD97" s="81"/>
      <c r="AE97" s="81"/>
      <c r="AF97" s="81"/>
      <c r="AG97" s="81"/>
    </row>
    <row r="98" spans="1:33" ht="15.75" customHeight="1" x14ac:dyDescent="0.3">
      <c r="A98" s="104"/>
      <c r="B98" s="104"/>
      <c r="C98" s="130">
        <f t="shared" ca="1" si="6"/>
        <v>80</v>
      </c>
      <c r="D98" s="636"/>
      <c r="E98" s="665" t="s">
        <v>237</v>
      </c>
      <c r="F98" s="567" t="s">
        <v>459</v>
      </c>
      <c r="G98" s="219" t="s">
        <v>448</v>
      </c>
      <c r="H98" s="243"/>
      <c r="I98" s="172" t="s">
        <v>364</v>
      </c>
      <c r="J98" s="172" t="s">
        <v>2403</v>
      </c>
      <c r="K98" s="245" t="s">
        <v>2411</v>
      </c>
      <c r="L98" s="141" t="s">
        <v>15</v>
      </c>
      <c r="M98" s="407">
        <v>46045</v>
      </c>
      <c r="N98" s="40" t="s">
        <v>4</v>
      </c>
      <c r="O98" s="141" t="s">
        <v>15</v>
      </c>
      <c r="P98" s="117" t="s">
        <v>211</v>
      </c>
      <c r="Q98" s="407">
        <v>46037</v>
      </c>
      <c r="R98" s="40" t="s">
        <v>445</v>
      </c>
      <c r="S98" s="208" t="s">
        <v>2412</v>
      </c>
      <c r="T98" s="357"/>
      <c r="U98" s="84"/>
      <c r="V98" s="84"/>
      <c r="W98" s="84"/>
      <c r="X98" s="84"/>
      <c r="Y98" s="84"/>
      <c r="Z98" s="84"/>
      <c r="AA98" s="81"/>
      <c r="AB98" s="81"/>
      <c r="AC98" s="81"/>
      <c r="AD98" s="81"/>
      <c r="AE98" s="81"/>
      <c r="AF98" s="81"/>
      <c r="AG98" s="81"/>
    </row>
    <row r="99" spans="1:33" ht="15.75" customHeight="1" x14ac:dyDescent="0.3">
      <c r="A99" s="104"/>
      <c r="B99" s="104"/>
      <c r="C99" s="130">
        <f t="shared" ca="1" si="6"/>
        <v>81</v>
      </c>
      <c r="D99" s="636"/>
      <c r="E99" s="636"/>
      <c r="F99" s="567" t="s">
        <v>459</v>
      </c>
      <c r="G99" s="219"/>
      <c r="H99" s="243"/>
      <c r="I99" s="657" t="s">
        <v>372</v>
      </c>
      <c r="J99" s="172" t="s">
        <v>311</v>
      </c>
      <c r="K99" s="245" t="s">
        <v>2413</v>
      </c>
      <c r="L99" s="141" t="s">
        <v>15</v>
      </c>
      <c r="M99" s="407">
        <v>46045</v>
      </c>
      <c r="N99" s="40" t="s">
        <v>4</v>
      </c>
      <c r="O99" s="141" t="s">
        <v>15</v>
      </c>
      <c r="P99" s="117"/>
      <c r="Q99" s="407">
        <v>46037</v>
      </c>
      <c r="R99" s="40" t="s">
        <v>445</v>
      </c>
      <c r="S99" s="208"/>
      <c r="T99" s="357"/>
      <c r="U99" s="84"/>
      <c r="V99" s="84"/>
      <c r="W99" s="84"/>
      <c r="X99" s="84"/>
      <c r="Y99" s="84"/>
      <c r="Z99" s="84"/>
      <c r="AA99" s="81"/>
      <c r="AB99" s="81"/>
      <c r="AC99" s="81"/>
      <c r="AD99" s="81"/>
      <c r="AE99" s="81"/>
      <c r="AF99" s="81"/>
      <c r="AG99" s="81"/>
    </row>
    <row r="100" spans="1:33" ht="15.75" customHeight="1" x14ac:dyDescent="0.3">
      <c r="A100" s="104"/>
      <c r="B100" s="104"/>
      <c r="C100" s="130">
        <f t="shared" ca="1" si="6"/>
        <v>82</v>
      </c>
      <c r="D100" s="636"/>
      <c r="E100" s="636"/>
      <c r="F100" s="567" t="s">
        <v>459</v>
      </c>
      <c r="G100" s="219"/>
      <c r="H100" s="243"/>
      <c r="I100" s="606"/>
      <c r="J100" s="172" t="s">
        <v>313</v>
      </c>
      <c r="K100" s="245" t="s">
        <v>2414</v>
      </c>
      <c r="L100" s="141" t="s">
        <v>15</v>
      </c>
      <c r="M100" s="407">
        <v>46042</v>
      </c>
      <c r="N100" s="40" t="s">
        <v>6</v>
      </c>
      <c r="O100" s="141" t="s">
        <v>15</v>
      </c>
      <c r="P100" s="117"/>
      <c r="Q100" s="407">
        <v>46037</v>
      </c>
      <c r="R100" s="40" t="s">
        <v>445</v>
      </c>
      <c r="S100" s="208"/>
      <c r="T100" s="357"/>
      <c r="U100" s="84"/>
      <c r="V100" s="84"/>
      <c r="W100" s="84"/>
      <c r="X100" s="84"/>
      <c r="Y100" s="84"/>
      <c r="Z100" s="84"/>
      <c r="AA100" s="81"/>
      <c r="AB100" s="81"/>
      <c r="AC100" s="81"/>
      <c r="AD100" s="81"/>
      <c r="AE100" s="81"/>
      <c r="AF100" s="81"/>
      <c r="AG100" s="81"/>
    </row>
    <row r="101" spans="1:33" ht="15.75" customHeight="1" x14ac:dyDescent="0.3">
      <c r="A101" s="104"/>
      <c r="B101" s="104"/>
      <c r="C101" s="130">
        <f t="shared" ca="1" si="6"/>
        <v>83</v>
      </c>
      <c r="D101" s="636"/>
      <c r="E101" s="636"/>
      <c r="F101" s="567" t="s">
        <v>459</v>
      </c>
      <c r="G101" s="219"/>
      <c r="H101" s="243"/>
      <c r="I101" s="608"/>
      <c r="J101" s="172" t="s">
        <v>2415</v>
      </c>
      <c r="K101" s="226" t="s">
        <v>2240</v>
      </c>
      <c r="L101" s="141" t="s">
        <v>15</v>
      </c>
      <c r="M101" s="407">
        <v>46042</v>
      </c>
      <c r="N101" s="40" t="s">
        <v>6</v>
      </c>
      <c r="O101" s="141" t="s">
        <v>15</v>
      </c>
      <c r="P101" s="117" t="s">
        <v>211</v>
      </c>
      <c r="Q101" s="407">
        <v>46037</v>
      </c>
      <c r="R101" s="40" t="s">
        <v>445</v>
      </c>
      <c r="S101" s="208" t="s">
        <v>2416</v>
      </c>
      <c r="T101" s="357"/>
      <c r="U101" s="84"/>
      <c r="V101" s="84"/>
      <c r="W101" s="84"/>
      <c r="X101" s="84"/>
      <c r="Y101" s="84"/>
      <c r="Z101" s="84"/>
      <c r="AA101" s="81"/>
      <c r="AB101" s="81"/>
      <c r="AC101" s="81"/>
      <c r="AD101" s="81"/>
      <c r="AE101" s="81"/>
      <c r="AF101" s="81"/>
      <c r="AG101" s="81"/>
    </row>
    <row r="102" spans="1:33" ht="15.75" customHeight="1" x14ac:dyDescent="0.3">
      <c r="A102" s="104"/>
      <c r="B102" s="104"/>
      <c r="C102" s="130">
        <f t="shared" ca="1" si="6"/>
        <v>84</v>
      </c>
      <c r="D102" s="166" t="s">
        <v>278</v>
      </c>
      <c r="E102" s="242" t="s">
        <v>257</v>
      </c>
      <c r="F102" s="567" t="s">
        <v>457</v>
      </c>
      <c r="G102" s="219" t="s">
        <v>448</v>
      </c>
      <c r="H102" s="243"/>
      <c r="I102" s="172"/>
      <c r="J102" s="172" t="s">
        <v>261</v>
      </c>
      <c r="K102" s="245" t="s">
        <v>279</v>
      </c>
      <c r="L102" s="141" t="s">
        <v>15</v>
      </c>
      <c r="M102" s="407">
        <v>46042</v>
      </c>
      <c r="N102" s="40" t="s">
        <v>6</v>
      </c>
      <c r="O102" s="141" t="s">
        <v>15</v>
      </c>
      <c r="P102" s="117"/>
      <c r="Q102" s="407">
        <v>46037</v>
      </c>
      <c r="R102" s="40" t="s">
        <v>445</v>
      </c>
      <c r="S102" s="208"/>
      <c r="T102" s="357"/>
      <c r="U102" s="84"/>
      <c r="V102" s="84"/>
      <c r="W102" s="84"/>
      <c r="X102" s="84"/>
      <c r="Y102" s="84"/>
      <c r="Z102" s="84"/>
      <c r="AA102" s="81"/>
      <c r="AB102" s="81"/>
      <c r="AC102" s="81"/>
      <c r="AD102" s="81"/>
      <c r="AE102" s="81"/>
      <c r="AF102" s="81"/>
      <c r="AG102" s="81"/>
    </row>
    <row r="103" spans="1:33" ht="15.75" customHeight="1" x14ac:dyDescent="0.3">
      <c r="A103" s="104"/>
      <c r="B103" s="104"/>
      <c r="C103" s="130">
        <f t="shared" ca="1" si="6"/>
        <v>85</v>
      </c>
      <c r="D103" s="658" t="s">
        <v>280</v>
      </c>
      <c r="E103" s="242" t="s">
        <v>257</v>
      </c>
      <c r="F103" s="567" t="s">
        <v>457</v>
      </c>
      <c r="G103" s="219" t="s">
        <v>448</v>
      </c>
      <c r="H103" s="243"/>
      <c r="I103" s="172"/>
      <c r="J103" s="172" t="s">
        <v>261</v>
      </c>
      <c r="K103" s="245" t="s">
        <v>2417</v>
      </c>
      <c r="L103" s="141" t="s">
        <v>15</v>
      </c>
      <c r="M103" s="407">
        <v>46042</v>
      </c>
      <c r="N103" s="40" t="s">
        <v>6</v>
      </c>
      <c r="O103" s="141" t="s">
        <v>15</v>
      </c>
      <c r="P103" s="117"/>
      <c r="Q103" s="407">
        <v>46037</v>
      </c>
      <c r="R103" s="40" t="s">
        <v>445</v>
      </c>
      <c r="S103" s="208"/>
      <c r="T103" s="357"/>
      <c r="U103" s="84"/>
      <c r="V103" s="84"/>
      <c r="W103" s="84"/>
      <c r="X103" s="84"/>
      <c r="Y103" s="84"/>
      <c r="Z103" s="84"/>
      <c r="AA103" s="81"/>
      <c r="AB103" s="81"/>
      <c r="AC103" s="81"/>
      <c r="AD103" s="81"/>
      <c r="AE103" s="81"/>
      <c r="AF103" s="81"/>
      <c r="AG103" s="81"/>
    </row>
    <row r="104" spans="1:33" ht="15.75" customHeight="1" x14ac:dyDescent="0.3">
      <c r="A104" s="104"/>
      <c r="B104" s="104"/>
      <c r="C104" s="130">
        <f t="shared" ca="1" si="6"/>
        <v>86</v>
      </c>
      <c r="D104" s="636"/>
      <c r="E104" s="665" t="s">
        <v>237</v>
      </c>
      <c r="F104" s="567" t="s">
        <v>459</v>
      </c>
      <c r="G104" s="219" t="s">
        <v>448</v>
      </c>
      <c r="H104" s="243"/>
      <c r="I104" s="172" t="s">
        <v>364</v>
      </c>
      <c r="J104" s="172" t="s">
        <v>238</v>
      </c>
      <c r="K104" s="245" t="s">
        <v>2418</v>
      </c>
      <c r="L104" s="141" t="s">
        <v>15</v>
      </c>
      <c r="M104" s="407">
        <v>46042</v>
      </c>
      <c r="N104" s="40" t="s">
        <v>6</v>
      </c>
      <c r="O104" s="141" t="s">
        <v>15</v>
      </c>
      <c r="P104" s="117" t="s">
        <v>211</v>
      </c>
      <c r="Q104" s="407">
        <v>46037</v>
      </c>
      <c r="R104" s="40" t="s">
        <v>445</v>
      </c>
      <c r="S104" s="208" t="s">
        <v>2419</v>
      </c>
      <c r="T104" s="357"/>
      <c r="U104" s="84"/>
      <c r="V104" s="84"/>
      <c r="W104" s="84"/>
      <c r="X104" s="84"/>
      <c r="Y104" s="84"/>
      <c r="Z104" s="84"/>
      <c r="AA104" s="81"/>
      <c r="AB104" s="81"/>
      <c r="AC104" s="81"/>
      <c r="AD104" s="81"/>
      <c r="AE104" s="81"/>
      <c r="AF104" s="81"/>
      <c r="AG104" s="81"/>
    </row>
    <row r="105" spans="1:33" ht="15.75" customHeight="1" x14ac:dyDescent="0.3">
      <c r="A105" s="104"/>
      <c r="B105" s="104"/>
      <c r="C105" s="130">
        <f t="shared" ca="1" si="6"/>
        <v>87</v>
      </c>
      <c r="D105" s="636"/>
      <c r="E105" s="636"/>
      <c r="F105" s="567" t="s">
        <v>459</v>
      </c>
      <c r="G105" s="219"/>
      <c r="H105" s="243"/>
      <c r="I105" s="657" t="s">
        <v>372</v>
      </c>
      <c r="J105" s="172" t="s">
        <v>311</v>
      </c>
      <c r="K105" s="245" t="s">
        <v>2420</v>
      </c>
      <c r="L105" s="141" t="s">
        <v>15</v>
      </c>
      <c r="M105" s="407">
        <v>46042</v>
      </c>
      <c r="N105" s="40" t="s">
        <v>6</v>
      </c>
      <c r="O105" s="141" t="s">
        <v>15</v>
      </c>
      <c r="P105" s="117"/>
      <c r="Q105" s="407">
        <v>46037</v>
      </c>
      <c r="R105" s="40" t="s">
        <v>445</v>
      </c>
      <c r="S105" s="208"/>
      <c r="T105" s="357"/>
      <c r="U105" s="84"/>
      <c r="V105" s="84"/>
      <c r="W105" s="84"/>
      <c r="X105" s="84"/>
      <c r="Y105" s="84"/>
      <c r="Z105" s="84"/>
      <c r="AA105" s="81"/>
      <c r="AB105" s="81"/>
      <c r="AC105" s="81"/>
      <c r="AD105" s="81"/>
      <c r="AE105" s="81"/>
      <c r="AF105" s="81"/>
      <c r="AG105" s="81"/>
    </row>
    <row r="106" spans="1:33" ht="15.75" customHeight="1" x14ac:dyDescent="0.3">
      <c r="A106" s="104"/>
      <c r="B106" s="104"/>
      <c r="C106" s="130">
        <f t="shared" ca="1" si="6"/>
        <v>88</v>
      </c>
      <c r="D106" s="636"/>
      <c r="E106" s="636"/>
      <c r="F106" s="567" t="s">
        <v>459</v>
      </c>
      <c r="G106" s="219"/>
      <c r="H106" s="243"/>
      <c r="I106" s="606"/>
      <c r="J106" s="172" t="s">
        <v>313</v>
      </c>
      <c r="K106" s="245" t="s">
        <v>2421</v>
      </c>
      <c r="L106" s="141" t="s">
        <v>15</v>
      </c>
      <c r="M106" s="407">
        <v>46042</v>
      </c>
      <c r="N106" s="40" t="s">
        <v>6</v>
      </c>
      <c r="O106" s="141" t="s">
        <v>15</v>
      </c>
      <c r="P106" s="117"/>
      <c r="Q106" s="407">
        <v>46037</v>
      </c>
      <c r="R106" s="40" t="s">
        <v>445</v>
      </c>
      <c r="S106" s="208"/>
      <c r="T106" s="357"/>
      <c r="U106" s="84"/>
      <c r="V106" s="84"/>
      <c r="W106" s="84"/>
      <c r="X106" s="84"/>
      <c r="Y106" s="84"/>
      <c r="Z106" s="84"/>
      <c r="AA106" s="81"/>
      <c r="AB106" s="81"/>
      <c r="AC106" s="81"/>
      <c r="AD106" s="81"/>
      <c r="AE106" s="81"/>
      <c r="AF106" s="81"/>
      <c r="AG106" s="81"/>
    </row>
    <row r="107" spans="1:33" ht="15.75" customHeight="1" x14ac:dyDescent="0.3">
      <c r="A107" s="104"/>
      <c r="B107" s="104"/>
      <c r="C107" s="130">
        <f t="shared" ca="1" si="6"/>
        <v>89</v>
      </c>
      <c r="D107" s="636"/>
      <c r="E107" s="636"/>
      <c r="F107" s="567" t="s">
        <v>459</v>
      </c>
      <c r="G107" s="219"/>
      <c r="H107" s="243"/>
      <c r="I107" s="608"/>
      <c r="J107" s="172" t="s">
        <v>2422</v>
      </c>
      <c r="K107" s="226" t="s">
        <v>2240</v>
      </c>
      <c r="L107" s="141" t="s">
        <v>15</v>
      </c>
      <c r="M107" s="407">
        <v>46042</v>
      </c>
      <c r="N107" s="40" t="s">
        <v>6</v>
      </c>
      <c r="O107" s="141" t="s">
        <v>15</v>
      </c>
      <c r="P107" s="117" t="s">
        <v>211</v>
      </c>
      <c r="Q107" s="407">
        <v>46037</v>
      </c>
      <c r="R107" s="40" t="s">
        <v>445</v>
      </c>
      <c r="S107" s="208" t="s">
        <v>2423</v>
      </c>
      <c r="T107" s="357"/>
      <c r="U107" s="84"/>
      <c r="V107" s="84"/>
      <c r="W107" s="84"/>
      <c r="X107" s="84"/>
      <c r="Y107" s="84"/>
      <c r="Z107" s="84"/>
      <c r="AA107" s="81"/>
      <c r="AB107" s="81"/>
      <c r="AC107" s="81"/>
      <c r="AD107" s="81"/>
      <c r="AE107" s="81"/>
      <c r="AF107" s="81"/>
      <c r="AG107" s="81"/>
    </row>
    <row r="108" spans="1:33" ht="15.75" customHeight="1" x14ac:dyDescent="0.3">
      <c r="A108" s="104"/>
      <c r="B108" s="104"/>
      <c r="C108" s="130">
        <f t="shared" ca="1" si="6"/>
        <v>90</v>
      </c>
      <c r="D108" s="658" t="s">
        <v>281</v>
      </c>
      <c r="E108" s="242" t="s">
        <v>257</v>
      </c>
      <c r="F108" s="567" t="s">
        <v>457</v>
      </c>
      <c r="G108" s="219" t="s">
        <v>448</v>
      </c>
      <c r="H108" s="243"/>
      <c r="I108" s="172"/>
      <c r="J108" s="172" t="s">
        <v>261</v>
      </c>
      <c r="K108" s="245" t="s">
        <v>2424</v>
      </c>
      <c r="L108" s="141" t="s">
        <v>15</v>
      </c>
      <c r="M108" s="407">
        <v>46042</v>
      </c>
      <c r="N108" s="40" t="s">
        <v>6</v>
      </c>
      <c r="O108" s="141" t="s">
        <v>15</v>
      </c>
      <c r="P108" s="117"/>
      <c r="Q108" s="407">
        <v>46037</v>
      </c>
      <c r="R108" s="40" t="s">
        <v>445</v>
      </c>
      <c r="S108" s="208"/>
      <c r="T108" s="357"/>
      <c r="U108" s="84"/>
      <c r="V108" s="84"/>
      <c r="W108" s="84"/>
      <c r="X108" s="84"/>
      <c r="Y108" s="84"/>
      <c r="Z108" s="84"/>
      <c r="AA108" s="81"/>
      <c r="AB108" s="81"/>
      <c r="AC108" s="81"/>
      <c r="AD108" s="81"/>
      <c r="AE108" s="81"/>
      <c r="AF108" s="81"/>
      <c r="AG108" s="81"/>
    </row>
    <row r="109" spans="1:33" ht="15.75" customHeight="1" x14ac:dyDescent="0.3">
      <c r="A109" s="104"/>
      <c r="B109" s="104"/>
      <c r="C109" s="130">
        <f t="shared" ca="1" si="6"/>
        <v>91</v>
      </c>
      <c r="D109" s="636"/>
      <c r="E109" s="665" t="s">
        <v>237</v>
      </c>
      <c r="F109" s="567" t="s">
        <v>459</v>
      </c>
      <c r="G109" s="219" t="s">
        <v>448</v>
      </c>
      <c r="H109" s="243"/>
      <c r="I109" s="657" t="s">
        <v>364</v>
      </c>
      <c r="J109" s="172" t="s">
        <v>238</v>
      </c>
      <c r="K109" s="245" t="s">
        <v>2425</v>
      </c>
      <c r="L109" s="141" t="s">
        <v>15</v>
      </c>
      <c r="M109" s="407">
        <v>46042</v>
      </c>
      <c r="N109" s="40" t="s">
        <v>6</v>
      </c>
      <c r="O109" s="141" t="s">
        <v>15</v>
      </c>
      <c r="P109" s="117"/>
      <c r="Q109" s="407">
        <v>46037</v>
      </c>
      <c r="R109" s="40" t="s">
        <v>445</v>
      </c>
      <c r="S109" s="208"/>
      <c r="T109" s="357"/>
      <c r="U109" s="84"/>
      <c r="V109" s="84"/>
      <c r="W109" s="84"/>
      <c r="X109" s="84"/>
      <c r="Y109" s="84"/>
      <c r="Z109" s="84"/>
      <c r="AA109" s="81"/>
      <c r="AB109" s="81"/>
      <c r="AC109" s="81"/>
      <c r="AD109" s="81"/>
      <c r="AE109" s="81"/>
      <c r="AF109" s="81"/>
      <c r="AG109" s="81"/>
    </row>
    <row r="110" spans="1:33" ht="15.75" customHeight="1" x14ac:dyDescent="0.3">
      <c r="A110" s="104"/>
      <c r="B110" s="104"/>
      <c r="C110" s="130">
        <f t="shared" ca="1" si="6"/>
        <v>92</v>
      </c>
      <c r="D110" s="636"/>
      <c r="E110" s="636"/>
      <c r="F110" s="567" t="s">
        <v>459</v>
      </c>
      <c r="G110" s="219" t="s">
        <v>455</v>
      </c>
      <c r="H110" s="243"/>
      <c r="I110" s="608"/>
      <c r="J110" s="172" t="s">
        <v>310</v>
      </c>
      <c r="K110" s="226" t="s">
        <v>371</v>
      </c>
      <c r="L110" s="141" t="s">
        <v>15</v>
      </c>
      <c r="M110" s="407">
        <v>46042</v>
      </c>
      <c r="N110" s="40" t="s">
        <v>6</v>
      </c>
      <c r="O110" s="141" t="s">
        <v>15</v>
      </c>
      <c r="P110" s="117" t="s">
        <v>211</v>
      </c>
      <c r="Q110" s="407">
        <v>46037</v>
      </c>
      <c r="R110" s="40" t="s">
        <v>445</v>
      </c>
      <c r="S110" s="208" t="s">
        <v>2426</v>
      </c>
      <c r="T110" s="357"/>
      <c r="U110" s="84"/>
      <c r="V110" s="84"/>
      <c r="W110" s="84"/>
      <c r="X110" s="84"/>
      <c r="Y110" s="84"/>
      <c r="Z110" s="84"/>
      <c r="AA110" s="81"/>
      <c r="AB110" s="81"/>
      <c r="AC110" s="81"/>
      <c r="AD110" s="81"/>
      <c r="AE110" s="81"/>
      <c r="AF110" s="81"/>
      <c r="AG110" s="81"/>
    </row>
    <row r="111" spans="1:33" ht="15.75" customHeight="1" x14ac:dyDescent="0.3">
      <c r="A111" s="104"/>
      <c r="B111" s="104"/>
      <c r="C111" s="130">
        <f t="shared" ca="1" si="6"/>
        <v>93</v>
      </c>
      <c r="D111" s="636"/>
      <c r="E111" s="636"/>
      <c r="F111" s="567" t="s">
        <v>459</v>
      </c>
      <c r="G111" s="219" t="s">
        <v>448</v>
      </c>
      <c r="H111" s="243"/>
      <c r="I111" s="657" t="s">
        <v>372</v>
      </c>
      <c r="J111" s="172" t="s">
        <v>311</v>
      </c>
      <c r="K111" s="245" t="s">
        <v>2427</v>
      </c>
      <c r="L111" s="141" t="s">
        <v>15</v>
      </c>
      <c r="M111" s="407">
        <v>46042</v>
      </c>
      <c r="N111" s="40" t="s">
        <v>6</v>
      </c>
      <c r="O111" s="141" t="s">
        <v>15</v>
      </c>
      <c r="P111" s="117"/>
      <c r="Q111" s="407">
        <v>46037</v>
      </c>
      <c r="R111" s="40" t="s">
        <v>445</v>
      </c>
      <c r="S111" s="208"/>
      <c r="T111" s="357"/>
      <c r="U111" s="84"/>
      <c r="V111" s="84"/>
      <c r="W111" s="84"/>
      <c r="X111" s="84"/>
      <c r="Y111" s="84"/>
      <c r="Z111" s="84"/>
      <c r="AA111" s="81"/>
      <c r="AB111" s="81"/>
      <c r="AC111" s="81"/>
      <c r="AD111" s="81"/>
      <c r="AE111" s="81"/>
      <c r="AF111" s="81"/>
      <c r="AG111" s="81"/>
    </row>
    <row r="112" spans="1:33" ht="15.75" customHeight="1" x14ac:dyDescent="0.3">
      <c r="A112" s="104"/>
      <c r="B112" s="104"/>
      <c r="C112" s="130">
        <f t="shared" ca="1" si="6"/>
        <v>94</v>
      </c>
      <c r="D112" s="636"/>
      <c r="E112" s="636"/>
      <c r="F112" s="567" t="s">
        <v>459</v>
      </c>
      <c r="G112" s="219" t="s">
        <v>448</v>
      </c>
      <c r="H112" s="243"/>
      <c r="I112" s="606"/>
      <c r="J112" s="172" t="s">
        <v>313</v>
      </c>
      <c r="K112" s="245" t="s">
        <v>2428</v>
      </c>
      <c r="L112" s="141" t="s">
        <v>15</v>
      </c>
      <c r="M112" s="407">
        <v>46042</v>
      </c>
      <c r="N112" s="40" t="s">
        <v>6</v>
      </c>
      <c r="O112" s="141" t="s">
        <v>15</v>
      </c>
      <c r="P112" s="117"/>
      <c r="Q112" s="407">
        <v>46037</v>
      </c>
      <c r="R112" s="40" t="s">
        <v>445</v>
      </c>
      <c r="S112" s="208"/>
      <c r="T112" s="357"/>
      <c r="U112" s="84"/>
      <c r="V112" s="84"/>
      <c r="W112" s="84"/>
      <c r="X112" s="84"/>
      <c r="Y112" s="84"/>
      <c r="Z112" s="84"/>
      <c r="AA112" s="81"/>
      <c r="AB112" s="81"/>
      <c r="AC112" s="81"/>
      <c r="AD112" s="81"/>
      <c r="AE112" s="81"/>
      <c r="AF112" s="81"/>
      <c r="AG112" s="81"/>
    </row>
    <row r="113" spans="1:33" ht="15.75" customHeight="1" x14ac:dyDescent="0.3">
      <c r="A113" s="104"/>
      <c r="B113" s="104"/>
      <c r="C113" s="130">
        <f t="shared" ca="1" si="6"/>
        <v>95</v>
      </c>
      <c r="D113" s="636"/>
      <c r="E113" s="636"/>
      <c r="F113" s="567" t="s">
        <v>459</v>
      </c>
      <c r="G113" s="219" t="s">
        <v>455</v>
      </c>
      <c r="H113" s="243"/>
      <c r="I113" s="608"/>
      <c r="J113" s="172" t="s">
        <v>2429</v>
      </c>
      <c r="K113" s="226" t="s">
        <v>2240</v>
      </c>
      <c r="L113" s="141" t="s">
        <v>15</v>
      </c>
      <c r="M113" s="407">
        <v>46042</v>
      </c>
      <c r="N113" s="40" t="s">
        <v>6</v>
      </c>
      <c r="O113" s="141" t="s">
        <v>15</v>
      </c>
      <c r="P113" s="117" t="s">
        <v>211</v>
      </c>
      <c r="Q113" s="407">
        <v>46037</v>
      </c>
      <c r="R113" s="40" t="s">
        <v>445</v>
      </c>
      <c r="S113" s="208" t="s">
        <v>2430</v>
      </c>
      <c r="T113" s="357"/>
      <c r="U113" s="84"/>
      <c r="V113" s="84"/>
      <c r="W113" s="84"/>
      <c r="X113" s="84"/>
      <c r="Y113" s="84"/>
      <c r="Z113" s="84"/>
      <c r="AA113" s="81"/>
      <c r="AB113" s="81"/>
      <c r="AC113" s="81"/>
      <c r="AD113" s="81"/>
      <c r="AE113" s="81"/>
      <c r="AF113" s="81"/>
      <c r="AG113" s="81"/>
    </row>
    <row r="114" spans="1:33" ht="15.75" customHeight="1" x14ac:dyDescent="0.3">
      <c r="A114" s="104"/>
      <c r="B114" s="104"/>
      <c r="C114" s="130">
        <f t="shared" ca="1" si="6"/>
        <v>96</v>
      </c>
      <c r="D114" s="658" t="s">
        <v>282</v>
      </c>
      <c r="E114" s="242" t="s">
        <v>257</v>
      </c>
      <c r="F114" s="567" t="s">
        <v>457</v>
      </c>
      <c r="G114" s="219" t="s">
        <v>448</v>
      </c>
      <c r="H114" s="243"/>
      <c r="I114" s="172"/>
      <c r="J114" s="172" t="s">
        <v>261</v>
      </c>
      <c r="K114" s="245" t="s">
        <v>2431</v>
      </c>
      <c r="L114" s="141" t="s">
        <v>15</v>
      </c>
      <c r="M114" s="407">
        <v>46042</v>
      </c>
      <c r="N114" s="40" t="s">
        <v>6</v>
      </c>
      <c r="O114" s="141" t="s">
        <v>15</v>
      </c>
      <c r="P114" s="117"/>
      <c r="Q114" s="407">
        <v>46037</v>
      </c>
      <c r="R114" s="40" t="s">
        <v>445</v>
      </c>
      <c r="S114" s="208"/>
      <c r="T114" s="357"/>
      <c r="U114" s="84"/>
      <c r="V114" s="84"/>
      <c r="W114" s="84"/>
      <c r="X114" s="84"/>
      <c r="Y114" s="84"/>
      <c r="Z114" s="84"/>
      <c r="AA114" s="81"/>
      <c r="AB114" s="81"/>
      <c r="AC114" s="81"/>
      <c r="AD114" s="81"/>
      <c r="AE114" s="81"/>
      <c r="AF114" s="81"/>
      <c r="AG114" s="81"/>
    </row>
    <row r="115" spans="1:33" ht="38.25" customHeight="1" x14ac:dyDescent="0.3">
      <c r="A115" s="104"/>
      <c r="B115" s="104"/>
      <c r="C115" s="130">
        <f t="shared" ca="1" si="6"/>
        <v>97</v>
      </c>
      <c r="D115" s="636"/>
      <c r="E115" s="665" t="s">
        <v>237</v>
      </c>
      <c r="F115" s="567" t="s">
        <v>459</v>
      </c>
      <c r="G115" s="219" t="s">
        <v>448</v>
      </c>
      <c r="H115" s="243"/>
      <c r="I115" s="657" t="s">
        <v>364</v>
      </c>
      <c r="J115" s="172" t="s">
        <v>238</v>
      </c>
      <c r="K115" s="245" t="s">
        <v>2432</v>
      </c>
      <c r="L115" s="141" t="s">
        <v>15</v>
      </c>
      <c r="M115" s="407">
        <v>46042</v>
      </c>
      <c r="N115" s="40" t="s">
        <v>6</v>
      </c>
      <c r="O115" s="141" t="s">
        <v>15</v>
      </c>
      <c r="P115" s="117"/>
      <c r="Q115" s="407">
        <v>46037</v>
      </c>
      <c r="R115" s="40" t="s">
        <v>445</v>
      </c>
      <c r="S115" s="208"/>
      <c r="T115" s="357"/>
      <c r="U115" s="84"/>
      <c r="V115" s="84"/>
      <c r="W115" s="84"/>
      <c r="X115" s="84"/>
      <c r="Y115" s="84"/>
      <c r="Z115" s="84"/>
      <c r="AA115" s="297"/>
      <c r="AB115" s="297"/>
      <c r="AC115" s="297"/>
      <c r="AD115" s="297"/>
      <c r="AE115" s="297"/>
      <c r="AF115" s="297"/>
      <c r="AG115" s="297"/>
    </row>
    <row r="116" spans="1:33" ht="33" customHeight="1" x14ac:dyDescent="0.3">
      <c r="A116" s="104"/>
      <c r="B116" s="104"/>
      <c r="C116" s="130">
        <f t="shared" ca="1" si="6"/>
        <v>98</v>
      </c>
      <c r="D116" s="636"/>
      <c r="E116" s="636"/>
      <c r="F116" s="567" t="s">
        <v>459</v>
      </c>
      <c r="G116" s="219" t="s">
        <v>455</v>
      </c>
      <c r="H116" s="243"/>
      <c r="I116" s="608"/>
      <c r="J116" s="172" t="s">
        <v>310</v>
      </c>
      <c r="K116" s="226" t="s">
        <v>371</v>
      </c>
      <c r="L116" s="141" t="s">
        <v>15</v>
      </c>
      <c r="M116" s="407">
        <v>46042</v>
      </c>
      <c r="N116" s="40" t="s">
        <v>6</v>
      </c>
      <c r="O116" s="141" t="s">
        <v>15</v>
      </c>
      <c r="P116" s="117" t="s">
        <v>211</v>
      </c>
      <c r="Q116" s="407">
        <v>46037</v>
      </c>
      <c r="R116" s="40" t="s">
        <v>445</v>
      </c>
      <c r="S116" s="208" t="s">
        <v>2433</v>
      </c>
      <c r="T116" s="357"/>
      <c r="U116" s="84"/>
      <c r="V116" s="84"/>
      <c r="W116" s="84"/>
      <c r="X116" s="84"/>
      <c r="Y116" s="84"/>
      <c r="Z116" s="84"/>
      <c r="AA116" s="81"/>
      <c r="AB116" s="81"/>
      <c r="AC116" s="81"/>
      <c r="AD116" s="81"/>
      <c r="AE116" s="81"/>
      <c r="AF116" s="81"/>
      <c r="AG116" s="81"/>
    </row>
    <row r="117" spans="1:33" ht="88.5" customHeight="1" x14ac:dyDescent="0.3">
      <c r="A117" s="104"/>
      <c r="B117" s="104"/>
      <c r="C117" s="130">
        <f t="shared" ca="1" si="6"/>
        <v>99</v>
      </c>
      <c r="D117" s="636"/>
      <c r="E117" s="636"/>
      <c r="F117" s="567" t="s">
        <v>459</v>
      </c>
      <c r="G117" s="219" t="s">
        <v>448</v>
      </c>
      <c r="H117" s="243"/>
      <c r="I117" s="657" t="s">
        <v>372</v>
      </c>
      <c r="J117" s="172" t="s">
        <v>311</v>
      </c>
      <c r="K117" s="245" t="s">
        <v>2434</v>
      </c>
      <c r="L117" s="141" t="s">
        <v>15</v>
      </c>
      <c r="M117" s="407">
        <v>46042</v>
      </c>
      <c r="N117" s="40" t="s">
        <v>6</v>
      </c>
      <c r="O117" s="141" t="s">
        <v>15</v>
      </c>
      <c r="P117" s="117"/>
      <c r="Q117" s="407">
        <v>46037</v>
      </c>
      <c r="R117" s="40" t="s">
        <v>445</v>
      </c>
      <c r="S117" s="208"/>
      <c r="T117" s="357"/>
      <c r="U117" s="84"/>
      <c r="V117" s="84"/>
      <c r="W117" s="84"/>
      <c r="X117" s="84"/>
      <c r="Y117" s="84"/>
      <c r="Z117" s="84"/>
      <c r="AA117" s="81"/>
      <c r="AB117" s="81"/>
      <c r="AC117" s="81"/>
      <c r="AD117" s="81"/>
      <c r="AE117" s="81"/>
      <c r="AF117" s="81"/>
      <c r="AG117" s="81"/>
    </row>
    <row r="118" spans="1:33" ht="15.75" customHeight="1" x14ac:dyDescent="0.3">
      <c r="A118" s="104"/>
      <c r="B118" s="104"/>
      <c r="C118" s="130">
        <f t="shared" ca="1" si="6"/>
        <v>100</v>
      </c>
      <c r="D118" s="636"/>
      <c r="E118" s="636"/>
      <c r="F118" s="567" t="s">
        <v>459</v>
      </c>
      <c r="G118" s="219" t="s">
        <v>448</v>
      </c>
      <c r="H118" s="243"/>
      <c r="I118" s="606"/>
      <c r="J118" s="172" t="s">
        <v>313</v>
      </c>
      <c r="K118" s="245" t="s">
        <v>2435</v>
      </c>
      <c r="L118" s="141" t="s">
        <v>15</v>
      </c>
      <c r="M118" s="407">
        <v>46042</v>
      </c>
      <c r="N118" s="40" t="s">
        <v>6</v>
      </c>
      <c r="O118" s="141" t="s">
        <v>15</v>
      </c>
      <c r="P118" s="117"/>
      <c r="Q118" s="407">
        <v>46037</v>
      </c>
      <c r="R118" s="40" t="s">
        <v>445</v>
      </c>
      <c r="S118" s="208"/>
      <c r="T118" s="357"/>
      <c r="U118" s="84"/>
      <c r="V118" s="84"/>
      <c r="W118" s="84"/>
      <c r="X118" s="84"/>
      <c r="Y118" s="84"/>
      <c r="Z118" s="84"/>
      <c r="AA118" s="81"/>
      <c r="AB118" s="81"/>
      <c r="AC118" s="81"/>
      <c r="AD118" s="81"/>
      <c r="AE118" s="81"/>
      <c r="AF118" s="81"/>
      <c r="AG118" s="81"/>
    </row>
    <row r="119" spans="1:33" ht="15.75" customHeight="1" x14ac:dyDescent="0.3">
      <c r="A119" s="104"/>
      <c r="B119" s="104"/>
      <c r="C119" s="130">
        <f t="shared" ca="1" si="6"/>
        <v>101</v>
      </c>
      <c r="D119" s="636"/>
      <c r="E119" s="636"/>
      <c r="F119" s="567" t="s">
        <v>459</v>
      </c>
      <c r="G119" s="219" t="s">
        <v>455</v>
      </c>
      <c r="H119" s="243"/>
      <c r="I119" s="608"/>
      <c r="J119" s="172" t="s">
        <v>2436</v>
      </c>
      <c r="K119" s="226" t="s">
        <v>2240</v>
      </c>
      <c r="L119" s="141" t="s">
        <v>15</v>
      </c>
      <c r="M119" s="407">
        <v>46042</v>
      </c>
      <c r="N119" s="40" t="s">
        <v>6</v>
      </c>
      <c r="O119" s="141" t="s">
        <v>15</v>
      </c>
      <c r="P119" s="117" t="s">
        <v>211</v>
      </c>
      <c r="Q119" s="407">
        <v>46037</v>
      </c>
      <c r="R119" s="40" t="s">
        <v>445</v>
      </c>
      <c r="S119" s="208" t="s">
        <v>2437</v>
      </c>
      <c r="T119" s="357"/>
      <c r="U119" s="84"/>
      <c r="V119" s="84"/>
      <c r="W119" s="84"/>
      <c r="X119" s="84"/>
      <c r="Y119" s="84"/>
      <c r="Z119" s="84"/>
      <c r="AA119" s="81"/>
      <c r="AB119" s="81"/>
      <c r="AC119" s="81"/>
      <c r="AD119" s="81"/>
      <c r="AE119" s="81"/>
      <c r="AF119" s="81"/>
      <c r="AG119" s="81"/>
    </row>
    <row r="120" spans="1:33" ht="15.75" customHeight="1" x14ac:dyDescent="0.3">
      <c r="A120" s="104"/>
      <c r="B120" s="104"/>
      <c r="C120" s="130">
        <f t="shared" ca="1" si="6"/>
        <v>102</v>
      </c>
      <c r="D120" s="658" t="s">
        <v>296</v>
      </c>
      <c r="E120" s="242" t="s">
        <v>257</v>
      </c>
      <c r="F120" s="567" t="s">
        <v>457</v>
      </c>
      <c r="G120" s="219" t="s">
        <v>448</v>
      </c>
      <c r="H120" s="243"/>
      <c r="I120" s="172"/>
      <c r="J120" s="172" t="s">
        <v>261</v>
      </c>
      <c r="K120" s="245" t="s">
        <v>2438</v>
      </c>
      <c r="L120" s="141" t="s">
        <v>15</v>
      </c>
      <c r="M120" s="407">
        <v>46045</v>
      </c>
      <c r="N120" s="40" t="s">
        <v>4</v>
      </c>
      <c r="O120" s="141" t="s">
        <v>15</v>
      </c>
      <c r="P120" s="117"/>
      <c r="Q120" s="407">
        <v>46037</v>
      </c>
      <c r="R120" s="40" t="s">
        <v>445</v>
      </c>
      <c r="S120" s="208"/>
      <c r="T120" s="357"/>
      <c r="U120" s="84"/>
      <c r="V120" s="84"/>
      <c r="W120" s="84"/>
      <c r="X120" s="84"/>
      <c r="Y120" s="84"/>
      <c r="Z120" s="84"/>
      <c r="AA120" s="81"/>
      <c r="AB120" s="81"/>
      <c r="AC120" s="81"/>
      <c r="AD120" s="81"/>
      <c r="AE120" s="81"/>
      <c r="AF120" s="81"/>
      <c r="AG120" s="81"/>
    </row>
    <row r="121" spans="1:33" ht="15.75" customHeight="1" x14ac:dyDescent="0.3">
      <c r="A121" s="104"/>
      <c r="B121" s="104"/>
      <c r="C121" s="130">
        <f t="shared" ca="1" si="6"/>
        <v>103</v>
      </c>
      <c r="D121" s="636"/>
      <c r="E121" s="665" t="s">
        <v>237</v>
      </c>
      <c r="F121" s="567" t="s">
        <v>459</v>
      </c>
      <c r="G121" s="219" t="s">
        <v>448</v>
      </c>
      <c r="H121" s="243"/>
      <c r="I121" s="657" t="s">
        <v>364</v>
      </c>
      <c r="J121" s="172" t="s">
        <v>238</v>
      </c>
      <c r="K121" s="245" t="s">
        <v>2439</v>
      </c>
      <c r="L121" s="141" t="s">
        <v>15</v>
      </c>
      <c r="M121" s="407">
        <v>46042</v>
      </c>
      <c r="N121" s="40" t="s">
        <v>6</v>
      </c>
      <c r="O121" s="141" t="s">
        <v>15</v>
      </c>
      <c r="P121" s="117"/>
      <c r="Q121" s="407">
        <v>46037</v>
      </c>
      <c r="R121" s="40" t="s">
        <v>445</v>
      </c>
      <c r="S121" s="208"/>
      <c r="T121" s="357"/>
      <c r="U121" s="84"/>
      <c r="V121" s="84"/>
      <c r="W121" s="84"/>
      <c r="X121" s="84"/>
      <c r="Y121" s="84"/>
      <c r="Z121" s="84"/>
      <c r="AA121" s="81"/>
      <c r="AB121" s="81"/>
      <c r="AC121" s="81"/>
      <c r="AD121" s="81"/>
      <c r="AE121" s="81"/>
      <c r="AF121" s="81"/>
      <c r="AG121" s="81"/>
    </row>
    <row r="122" spans="1:33" ht="15.75" customHeight="1" x14ac:dyDescent="0.3">
      <c r="A122" s="104"/>
      <c r="B122" s="104"/>
      <c r="C122" s="130">
        <f t="shared" ca="1" si="6"/>
        <v>104</v>
      </c>
      <c r="D122" s="636"/>
      <c r="E122" s="636"/>
      <c r="F122" s="567" t="s">
        <v>459</v>
      </c>
      <c r="G122" s="219" t="s">
        <v>455</v>
      </c>
      <c r="H122" s="243"/>
      <c r="I122" s="608"/>
      <c r="J122" s="172" t="s">
        <v>2440</v>
      </c>
      <c r="K122" s="226" t="s">
        <v>371</v>
      </c>
      <c r="L122" s="141" t="s">
        <v>15</v>
      </c>
      <c r="M122" s="407">
        <v>46042</v>
      </c>
      <c r="N122" s="40" t="s">
        <v>6</v>
      </c>
      <c r="O122" s="141" t="s">
        <v>15</v>
      </c>
      <c r="P122" s="117" t="s">
        <v>211</v>
      </c>
      <c r="Q122" s="407">
        <v>46037</v>
      </c>
      <c r="R122" s="40" t="s">
        <v>445</v>
      </c>
      <c r="S122" s="208" t="s">
        <v>2441</v>
      </c>
      <c r="T122" s="357"/>
      <c r="U122" s="84"/>
      <c r="V122" s="84"/>
      <c r="W122" s="84"/>
      <c r="X122" s="84"/>
      <c r="Y122" s="84"/>
      <c r="Z122" s="84"/>
      <c r="AA122" s="81"/>
      <c r="AB122" s="81"/>
      <c r="AC122" s="81"/>
      <c r="AD122" s="81"/>
      <c r="AE122" s="81"/>
      <c r="AF122" s="81"/>
      <c r="AG122" s="81"/>
    </row>
    <row r="123" spans="1:33" ht="15.75" customHeight="1" x14ac:dyDescent="0.3">
      <c r="A123" s="104"/>
      <c r="B123" s="104"/>
      <c r="C123" s="130">
        <f t="shared" ca="1" si="6"/>
        <v>105</v>
      </c>
      <c r="D123" s="636"/>
      <c r="E123" s="636"/>
      <c r="F123" s="567" t="s">
        <v>459</v>
      </c>
      <c r="G123" s="219" t="s">
        <v>448</v>
      </c>
      <c r="H123" s="243"/>
      <c r="I123" s="657" t="s">
        <v>372</v>
      </c>
      <c r="J123" s="172" t="s">
        <v>311</v>
      </c>
      <c r="K123" s="245" t="s">
        <v>2442</v>
      </c>
      <c r="L123" s="141" t="s">
        <v>15</v>
      </c>
      <c r="M123" s="407">
        <v>46042</v>
      </c>
      <c r="N123" s="40" t="s">
        <v>6</v>
      </c>
      <c r="O123" s="141" t="s">
        <v>15</v>
      </c>
      <c r="P123" s="117"/>
      <c r="Q123" s="407">
        <v>46037</v>
      </c>
      <c r="R123" s="40" t="s">
        <v>445</v>
      </c>
      <c r="S123" s="208"/>
      <c r="T123" s="357"/>
      <c r="U123" s="84"/>
      <c r="V123" s="84"/>
      <c r="W123" s="84"/>
      <c r="X123" s="84"/>
      <c r="Y123" s="84"/>
      <c r="Z123" s="84"/>
      <c r="AA123" s="81"/>
      <c r="AB123" s="81"/>
      <c r="AC123" s="81"/>
      <c r="AD123" s="81"/>
      <c r="AE123" s="81"/>
      <c r="AF123" s="81"/>
      <c r="AG123" s="81"/>
    </row>
    <row r="124" spans="1:33" ht="15.75" customHeight="1" x14ac:dyDescent="0.3">
      <c r="A124" s="104"/>
      <c r="B124" s="104"/>
      <c r="C124" s="130">
        <f t="shared" ca="1" si="6"/>
        <v>106</v>
      </c>
      <c r="D124" s="636"/>
      <c r="E124" s="636"/>
      <c r="F124" s="567" t="s">
        <v>459</v>
      </c>
      <c r="G124" s="219" t="s">
        <v>448</v>
      </c>
      <c r="H124" s="243"/>
      <c r="I124" s="606"/>
      <c r="J124" s="172" t="s">
        <v>313</v>
      </c>
      <c r="K124" s="245" t="s">
        <v>2443</v>
      </c>
      <c r="L124" s="141" t="s">
        <v>15</v>
      </c>
      <c r="M124" s="407">
        <v>46042</v>
      </c>
      <c r="N124" s="40" t="s">
        <v>6</v>
      </c>
      <c r="O124" s="141" t="s">
        <v>15</v>
      </c>
      <c r="P124" s="117"/>
      <c r="Q124" s="407">
        <v>46037</v>
      </c>
      <c r="R124" s="40" t="s">
        <v>445</v>
      </c>
      <c r="S124" s="208"/>
      <c r="T124" s="357"/>
      <c r="U124" s="84"/>
      <c r="V124" s="84"/>
      <c r="W124" s="84"/>
      <c r="X124" s="84"/>
      <c r="Y124" s="84"/>
      <c r="Z124" s="84"/>
      <c r="AA124" s="81"/>
      <c r="AB124" s="81"/>
      <c r="AC124" s="81"/>
      <c r="AD124" s="81"/>
      <c r="AE124" s="81"/>
      <c r="AF124" s="81"/>
      <c r="AG124" s="81"/>
    </row>
    <row r="125" spans="1:33" ht="15.75" customHeight="1" x14ac:dyDescent="0.3">
      <c r="A125" s="104"/>
      <c r="B125" s="104"/>
      <c r="C125" s="130">
        <f t="shared" ca="1" si="6"/>
        <v>107</v>
      </c>
      <c r="D125" s="636"/>
      <c r="E125" s="636"/>
      <c r="F125" s="567" t="s">
        <v>459</v>
      </c>
      <c r="G125" s="219" t="s">
        <v>455</v>
      </c>
      <c r="H125" s="243"/>
      <c r="I125" s="608"/>
      <c r="J125" s="172" t="s">
        <v>2444</v>
      </c>
      <c r="K125" s="226" t="s">
        <v>2240</v>
      </c>
      <c r="L125" s="141" t="s">
        <v>15</v>
      </c>
      <c r="M125" s="407">
        <v>46042</v>
      </c>
      <c r="N125" s="40" t="s">
        <v>6</v>
      </c>
      <c r="O125" s="141" t="s">
        <v>15</v>
      </c>
      <c r="P125" s="117" t="s">
        <v>211</v>
      </c>
      <c r="Q125" s="407">
        <v>46037</v>
      </c>
      <c r="R125" s="40" t="s">
        <v>445</v>
      </c>
      <c r="S125" s="208" t="s">
        <v>2445</v>
      </c>
      <c r="T125" s="357"/>
      <c r="U125" s="84"/>
      <c r="V125" s="84"/>
      <c r="W125" s="84"/>
      <c r="X125" s="84"/>
      <c r="Y125" s="84"/>
      <c r="Z125" s="84"/>
      <c r="AA125" s="81"/>
      <c r="AB125" s="81"/>
      <c r="AC125" s="81"/>
      <c r="AD125" s="81"/>
      <c r="AE125" s="81"/>
      <c r="AF125" s="81"/>
      <c r="AG125" s="81"/>
    </row>
    <row r="126" spans="1:33" ht="15.75" customHeight="1" x14ac:dyDescent="0.3">
      <c r="A126" s="16"/>
      <c r="B126" s="16"/>
      <c r="C126" s="130">
        <f t="shared" ca="1" si="6"/>
        <v>108</v>
      </c>
      <c r="D126" s="658" t="s">
        <v>297</v>
      </c>
      <c r="E126" s="242" t="s">
        <v>257</v>
      </c>
      <c r="F126" s="567" t="s">
        <v>457</v>
      </c>
      <c r="G126" s="219" t="s">
        <v>448</v>
      </c>
      <c r="H126" s="243"/>
      <c r="I126" s="172"/>
      <c r="J126" s="172" t="s">
        <v>261</v>
      </c>
      <c r="K126" s="245" t="s">
        <v>2446</v>
      </c>
      <c r="L126" s="141" t="s">
        <v>15</v>
      </c>
      <c r="M126" s="407">
        <v>46045</v>
      </c>
      <c r="N126" s="40" t="s">
        <v>4</v>
      </c>
      <c r="O126" s="141" t="s">
        <v>15</v>
      </c>
      <c r="P126" s="117"/>
      <c r="Q126" s="407">
        <v>46037</v>
      </c>
      <c r="R126" s="40" t="s">
        <v>445</v>
      </c>
      <c r="S126" s="208"/>
      <c r="T126" s="357"/>
      <c r="U126" s="84"/>
      <c r="V126" s="84"/>
      <c r="W126" s="84"/>
      <c r="X126" s="84"/>
      <c r="Y126" s="84"/>
      <c r="Z126" s="84"/>
      <c r="AA126" s="16"/>
      <c r="AB126" s="16"/>
      <c r="AC126" s="16"/>
      <c r="AD126" s="16"/>
      <c r="AE126" s="16"/>
      <c r="AF126" s="16"/>
      <c r="AG126" s="16"/>
    </row>
    <row r="127" spans="1:33" ht="15.75" customHeight="1" x14ac:dyDescent="0.3">
      <c r="A127" s="16"/>
      <c r="B127" s="16"/>
      <c r="C127" s="130">
        <f t="shared" ca="1" si="6"/>
        <v>109</v>
      </c>
      <c r="D127" s="636"/>
      <c r="E127" s="665" t="s">
        <v>237</v>
      </c>
      <c r="F127" s="567" t="s">
        <v>459</v>
      </c>
      <c r="G127" s="219" t="s">
        <v>448</v>
      </c>
      <c r="H127" s="243"/>
      <c r="I127" s="657" t="s">
        <v>364</v>
      </c>
      <c r="J127" s="172" t="s">
        <v>238</v>
      </c>
      <c r="K127" s="245" t="s">
        <v>2447</v>
      </c>
      <c r="L127" s="141" t="s">
        <v>15</v>
      </c>
      <c r="M127" s="407">
        <v>46042</v>
      </c>
      <c r="N127" s="40" t="s">
        <v>6</v>
      </c>
      <c r="O127" s="141" t="s">
        <v>15</v>
      </c>
      <c r="P127" s="117"/>
      <c r="Q127" s="407">
        <v>46037</v>
      </c>
      <c r="R127" s="40" t="s">
        <v>445</v>
      </c>
      <c r="S127" s="208"/>
      <c r="T127" s="357"/>
      <c r="U127" s="84"/>
      <c r="V127" s="84"/>
      <c r="W127" s="84"/>
      <c r="X127" s="84"/>
      <c r="Y127" s="84"/>
      <c r="Z127" s="84"/>
      <c r="AA127" s="16"/>
      <c r="AB127" s="16"/>
      <c r="AC127" s="16"/>
      <c r="AD127" s="16"/>
      <c r="AE127" s="16"/>
      <c r="AF127" s="16"/>
      <c r="AG127" s="16"/>
    </row>
    <row r="128" spans="1:33" ht="15.75" customHeight="1" x14ac:dyDescent="0.3">
      <c r="A128" s="16"/>
      <c r="B128" s="16"/>
      <c r="C128" s="130">
        <f t="shared" ca="1" si="6"/>
        <v>110</v>
      </c>
      <c r="D128" s="636"/>
      <c r="E128" s="636"/>
      <c r="F128" s="567" t="s">
        <v>459</v>
      </c>
      <c r="G128" s="219" t="s">
        <v>455</v>
      </c>
      <c r="H128" s="243"/>
      <c r="I128" s="608"/>
      <c r="J128" s="172" t="s">
        <v>310</v>
      </c>
      <c r="K128" s="226" t="s">
        <v>371</v>
      </c>
      <c r="L128" s="141" t="s">
        <v>15</v>
      </c>
      <c r="M128" s="407">
        <v>46042</v>
      </c>
      <c r="N128" s="40" t="s">
        <v>6</v>
      </c>
      <c r="O128" s="141" t="s">
        <v>15</v>
      </c>
      <c r="P128" s="117" t="s">
        <v>211</v>
      </c>
      <c r="Q128" s="407">
        <v>46037</v>
      </c>
      <c r="R128" s="40" t="s">
        <v>445</v>
      </c>
      <c r="S128" s="208" t="s">
        <v>2448</v>
      </c>
      <c r="T128" s="357"/>
      <c r="U128" s="84"/>
      <c r="V128" s="84"/>
      <c r="W128" s="84"/>
      <c r="X128" s="84"/>
      <c r="Y128" s="84"/>
      <c r="Z128" s="84"/>
      <c r="AA128" s="16"/>
      <c r="AB128" s="16"/>
      <c r="AC128" s="16"/>
      <c r="AD128" s="16"/>
      <c r="AE128" s="16"/>
      <c r="AF128" s="16"/>
      <c r="AG128" s="16"/>
    </row>
    <row r="129" spans="1:33" ht="15.75" customHeight="1" x14ac:dyDescent="0.3">
      <c r="A129" s="16"/>
      <c r="B129" s="16"/>
      <c r="C129" s="130">
        <f t="shared" ca="1" si="6"/>
        <v>111</v>
      </c>
      <c r="D129" s="636"/>
      <c r="E129" s="636"/>
      <c r="F129" s="567" t="s">
        <v>459</v>
      </c>
      <c r="G129" s="219" t="s">
        <v>448</v>
      </c>
      <c r="H129" s="243"/>
      <c r="I129" s="657" t="s">
        <v>372</v>
      </c>
      <c r="J129" s="172" t="s">
        <v>311</v>
      </c>
      <c r="K129" s="245" t="s">
        <v>2449</v>
      </c>
      <c r="L129" s="141" t="s">
        <v>15</v>
      </c>
      <c r="M129" s="407">
        <v>46042</v>
      </c>
      <c r="N129" s="40" t="s">
        <v>6</v>
      </c>
      <c r="O129" s="141" t="s">
        <v>15</v>
      </c>
      <c r="P129" s="117"/>
      <c r="Q129" s="407">
        <v>46037</v>
      </c>
      <c r="R129" s="40" t="s">
        <v>445</v>
      </c>
      <c r="S129" s="208"/>
      <c r="T129" s="357"/>
      <c r="U129" s="84"/>
      <c r="V129" s="84"/>
      <c r="W129" s="84"/>
      <c r="X129" s="84"/>
      <c r="Y129" s="84"/>
      <c r="Z129" s="84"/>
      <c r="AA129" s="16"/>
      <c r="AB129" s="16"/>
      <c r="AC129" s="16"/>
      <c r="AD129" s="16"/>
      <c r="AE129" s="16"/>
      <c r="AF129" s="16"/>
      <c r="AG129" s="16"/>
    </row>
    <row r="130" spans="1:33" ht="15.75" customHeight="1" x14ac:dyDescent="0.3">
      <c r="A130" s="16"/>
      <c r="B130" s="16"/>
      <c r="C130" s="130">
        <f t="shared" ca="1" si="6"/>
        <v>112</v>
      </c>
      <c r="D130" s="636"/>
      <c r="E130" s="636"/>
      <c r="F130" s="567" t="s">
        <v>459</v>
      </c>
      <c r="G130" s="219" t="s">
        <v>448</v>
      </c>
      <c r="H130" s="243"/>
      <c r="I130" s="606"/>
      <c r="J130" s="172" t="s">
        <v>313</v>
      </c>
      <c r="K130" s="245" t="s">
        <v>2450</v>
      </c>
      <c r="L130" s="141" t="s">
        <v>15</v>
      </c>
      <c r="M130" s="407">
        <v>46042</v>
      </c>
      <c r="N130" s="40" t="s">
        <v>6</v>
      </c>
      <c r="O130" s="141" t="s">
        <v>15</v>
      </c>
      <c r="P130" s="117"/>
      <c r="Q130" s="407">
        <v>46037</v>
      </c>
      <c r="R130" s="40" t="s">
        <v>445</v>
      </c>
      <c r="S130" s="208"/>
      <c r="T130" s="357"/>
      <c r="U130" s="84"/>
      <c r="V130" s="84"/>
      <c r="W130" s="84"/>
      <c r="X130" s="84"/>
      <c r="Y130" s="84"/>
      <c r="Z130" s="84"/>
      <c r="AA130" s="16"/>
      <c r="AB130" s="16"/>
      <c r="AC130" s="16"/>
      <c r="AD130" s="16"/>
      <c r="AE130" s="16"/>
      <c r="AF130" s="16"/>
      <c r="AG130" s="16"/>
    </row>
    <row r="131" spans="1:33" ht="15.75" customHeight="1" x14ac:dyDescent="0.3">
      <c r="A131" s="16"/>
      <c r="B131" s="16"/>
      <c r="C131" s="130">
        <f t="shared" ca="1" si="6"/>
        <v>113</v>
      </c>
      <c r="D131" s="636"/>
      <c r="E131" s="636"/>
      <c r="F131" s="567" t="s">
        <v>459</v>
      </c>
      <c r="G131" s="219" t="s">
        <v>455</v>
      </c>
      <c r="H131" s="243"/>
      <c r="I131" s="608"/>
      <c r="J131" s="172" t="s">
        <v>2451</v>
      </c>
      <c r="K131" s="226" t="s">
        <v>2240</v>
      </c>
      <c r="L131" s="141" t="s">
        <v>15</v>
      </c>
      <c r="M131" s="407">
        <v>46042</v>
      </c>
      <c r="N131" s="40" t="s">
        <v>6</v>
      </c>
      <c r="O131" s="141" t="s">
        <v>15</v>
      </c>
      <c r="P131" s="117" t="s">
        <v>211</v>
      </c>
      <c r="Q131" s="407">
        <v>46037</v>
      </c>
      <c r="R131" s="40" t="s">
        <v>445</v>
      </c>
      <c r="S131" s="208" t="s">
        <v>2452</v>
      </c>
      <c r="T131" s="357"/>
      <c r="U131" s="84"/>
      <c r="V131" s="84"/>
      <c r="W131" s="84"/>
      <c r="X131" s="84"/>
      <c r="Y131" s="84"/>
      <c r="Z131" s="84"/>
      <c r="AA131" s="16"/>
      <c r="AB131" s="16"/>
      <c r="AC131" s="16"/>
      <c r="AD131" s="16"/>
      <c r="AE131" s="16"/>
      <c r="AF131" s="16"/>
      <c r="AG131" s="16"/>
    </row>
    <row r="132" spans="1:33" ht="15.75" customHeight="1" x14ac:dyDescent="0.3">
      <c r="A132" s="16"/>
      <c r="B132" s="16"/>
      <c r="C132" s="130">
        <f t="shared" ca="1" si="6"/>
        <v>114</v>
      </c>
      <c r="D132" s="658" t="s">
        <v>298</v>
      </c>
      <c r="E132" s="242" t="s">
        <v>257</v>
      </c>
      <c r="F132" s="567" t="s">
        <v>457</v>
      </c>
      <c r="G132" s="219" t="s">
        <v>448</v>
      </c>
      <c r="H132" s="243"/>
      <c r="I132" s="172"/>
      <c r="J132" s="172" t="s">
        <v>261</v>
      </c>
      <c r="K132" s="245" t="s">
        <v>2453</v>
      </c>
      <c r="L132" s="141" t="s">
        <v>15</v>
      </c>
      <c r="M132" s="407">
        <v>46045</v>
      </c>
      <c r="N132" s="40" t="s">
        <v>4</v>
      </c>
      <c r="O132" s="141" t="s">
        <v>15</v>
      </c>
      <c r="P132" s="117"/>
      <c r="Q132" s="407">
        <v>46037</v>
      </c>
      <c r="R132" s="40" t="s">
        <v>445</v>
      </c>
      <c r="S132" s="208"/>
      <c r="T132" s="357"/>
      <c r="U132" s="84"/>
      <c r="V132" s="84"/>
      <c r="W132" s="84"/>
      <c r="X132" s="84"/>
      <c r="Y132" s="84"/>
      <c r="Z132" s="84"/>
      <c r="AA132" s="16"/>
      <c r="AB132" s="16"/>
      <c r="AC132" s="16"/>
      <c r="AD132" s="16"/>
      <c r="AE132" s="16"/>
      <c r="AF132" s="16"/>
      <c r="AG132" s="16"/>
    </row>
    <row r="133" spans="1:33" ht="15.75" customHeight="1" x14ac:dyDescent="0.3">
      <c r="A133" s="16"/>
      <c r="B133" s="16"/>
      <c r="C133" s="130">
        <f t="shared" ca="1" si="6"/>
        <v>115</v>
      </c>
      <c r="D133" s="636"/>
      <c r="E133" s="665" t="s">
        <v>237</v>
      </c>
      <c r="F133" s="567" t="s">
        <v>459</v>
      </c>
      <c r="G133" s="219" t="s">
        <v>448</v>
      </c>
      <c r="H133" s="243"/>
      <c r="I133" s="657" t="s">
        <v>364</v>
      </c>
      <c r="J133" s="172" t="s">
        <v>238</v>
      </c>
      <c r="K133" s="245" t="s">
        <v>2454</v>
      </c>
      <c r="L133" s="141" t="s">
        <v>15</v>
      </c>
      <c r="M133" s="407">
        <v>46042</v>
      </c>
      <c r="N133" s="40" t="s">
        <v>6</v>
      </c>
      <c r="O133" s="141" t="s">
        <v>15</v>
      </c>
      <c r="P133" s="117"/>
      <c r="Q133" s="407">
        <v>46037</v>
      </c>
      <c r="R133" s="40" t="s">
        <v>445</v>
      </c>
      <c r="S133" s="208"/>
      <c r="T133" s="357"/>
      <c r="U133" s="84"/>
      <c r="V133" s="84"/>
      <c r="W133" s="84"/>
      <c r="X133" s="84"/>
      <c r="Y133" s="84"/>
      <c r="Z133" s="84"/>
      <c r="AA133" s="16"/>
      <c r="AB133" s="16"/>
      <c r="AC133" s="16"/>
      <c r="AD133" s="16"/>
      <c r="AE133" s="16"/>
      <c r="AF133" s="16"/>
      <c r="AG133" s="16"/>
    </row>
    <row r="134" spans="1:33" ht="15.75" customHeight="1" x14ac:dyDescent="0.3">
      <c r="A134" s="16"/>
      <c r="B134" s="16"/>
      <c r="C134" s="130">
        <f t="shared" ca="1" si="6"/>
        <v>116</v>
      </c>
      <c r="D134" s="636"/>
      <c r="E134" s="636"/>
      <c r="F134" s="567" t="s">
        <v>459</v>
      </c>
      <c r="G134" s="219" t="s">
        <v>455</v>
      </c>
      <c r="H134" s="243"/>
      <c r="I134" s="608"/>
      <c r="J134" s="172" t="s">
        <v>310</v>
      </c>
      <c r="K134" s="226" t="s">
        <v>371</v>
      </c>
      <c r="L134" s="141" t="s">
        <v>15</v>
      </c>
      <c r="M134" s="407">
        <v>46042</v>
      </c>
      <c r="N134" s="40" t="s">
        <v>6</v>
      </c>
      <c r="O134" s="141" t="s">
        <v>15</v>
      </c>
      <c r="P134" s="117" t="s">
        <v>211</v>
      </c>
      <c r="Q134" s="407">
        <v>46037</v>
      </c>
      <c r="R134" s="40" t="s">
        <v>445</v>
      </c>
      <c r="S134" s="208" t="s">
        <v>2455</v>
      </c>
      <c r="T134" s="357"/>
      <c r="U134" s="84"/>
      <c r="V134" s="84"/>
      <c r="W134" s="84"/>
      <c r="X134" s="84"/>
      <c r="Y134" s="84"/>
      <c r="Z134" s="84"/>
      <c r="AA134" s="16"/>
      <c r="AB134" s="16"/>
      <c r="AC134" s="16"/>
      <c r="AD134" s="16"/>
      <c r="AE134" s="16"/>
      <c r="AF134" s="16"/>
      <c r="AG134" s="16"/>
    </row>
    <row r="135" spans="1:33" ht="15.75" customHeight="1" x14ac:dyDescent="0.3">
      <c r="A135" s="16"/>
      <c r="B135" s="16"/>
      <c r="C135" s="130">
        <f t="shared" ca="1" si="6"/>
        <v>117</v>
      </c>
      <c r="D135" s="636"/>
      <c r="E135" s="636"/>
      <c r="F135" s="567" t="s">
        <v>459</v>
      </c>
      <c r="G135" s="219" t="s">
        <v>448</v>
      </c>
      <c r="H135" s="243"/>
      <c r="I135" s="657" t="s">
        <v>372</v>
      </c>
      <c r="J135" s="172" t="s">
        <v>311</v>
      </c>
      <c r="K135" s="245" t="s">
        <v>2456</v>
      </c>
      <c r="L135" s="141" t="s">
        <v>15</v>
      </c>
      <c r="M135" s="407">
        <v>46042</v>
      </c>
      <c r="N135" s="40" t="s">
        <v>6</v>
      </c>
      <c r="O135" s="141" t="s">
        <v>15</v>
      </c>
      <c r="P135" s="117"/>
      <c r="Q135" s="407">
        <v>46037</v>
      </c>
      <c r="R135" s="40" t="s">
        <v>445</v>
      </c>
      <c r="S135" s="208"/>
      <c r="T135" s="357"/>
      <c r="U135" s="84"/>
      <c r="V135" s="84"/>
      <c r="W135" s="84"/>
      <c r="X135" s="84"/>
      <c r="Y135" s="84"/>
      <c r="Z135" s="84"/>
      <c r="AA135" s="16"/>
      <c r="AB135" s="16"/>
      <c r="AC135" s="16"/>
      <c r="AD135" s="16"/>
      <c r="AE135" s="16"/>
      <c r="AF135" s="16"/>
      <c r="AG135" s="16"/>
    </row>
    <row r="136" spans="1:33" ht="15.75" customHeight="1" x14ac:dyDescent="0.3">
      <c r="A136" s="16"/>
      <c r="B136" s="16"/>
      <c r="C136" s="130">
        <f t="shared" ca="1" si="6"/>
        <v>118</v>
      </c>
      <c r="D136" s="636"/>
      <c r="E136" s="636"/>
      <c r="F136" s="567" t="s">
        <v>459</v>
      </c>
      <c r="G136" s="219" t="s">
        <v>448</v>
      </c>
      <c r="H136" s="243"/>
      <c r="I136" s="606"/>
      <c r="J136" s="172" t="s">
        <v>313</v>
      </c>
      <c r="K136" s="245" t="s">
        <v>2457</v>
      </c>
      <c r="L136" s="141" t="s">
        <v>15</v>
      </c>
      <c r="M136" s="407">
        <v>46042</v>
      </c>
      <c r="N136" s="40" t="s">
        <v>6</v>
      </c>
      <c r="O136" s="141" t="s">
        <v>15</v>
      </c>
      <c r="P136" s="117"/>
      <c r="Q136" s="407">
        <v>46037</v>
      </c>
      <c r="R136" s="40" t="s">
        <v>445</v>
      </c>
      <c r="S136" s="208"/>
      <c r="T136" s="357"/>
      <c r="U136" s="84"/>
      <c r="V136" s="84"/>
      <c r="W136" s="84"/>
      <c r="X136" s="84"/>
      <c r="Y136" s="84"/>
      <c r="Z136" s="84"/>
      <c r="AA136" s="16"/>
      <c r="AB136" s="16"/>
      <c r="AC136" s="16"/>
      <c r="AD136" s="16"/>
      <c r="AE136" s="16"/>
      <c r="AF136" s="16"/>
      <c r="AG136" s="16"/>
    </row>
    <row r="137" spans="1:33" ht="15.75" customHeight="1" x14ac:dyDescent="0.3">
      <c r="A137" s="16"/>
      <c r="B137" s="16"/>
      <c r="C137" s="130">
        <f t="shared" ca="1" si="6"/>
        <v>119</v>
      </c>
      <c r="D137" s="636"/>
      <c r="E137" s="636"/>
      <c r="F137" s="567" t="s">
        <v>459</v>
      </c>
      <c r="G137" s="219" t="s">
        <v>455</v>
      </c>
      <c r="H137" s="243"/>
      <c r="I137" s="608"/>
      <c r="J137" s="172" t="s">
        <v>2458</v>
      </c>
      <c r="K137" s="226" t="s">
        <v>2240</v>
      </c>
      <c r="L137" s="141" t="s">
        <v>15</v>
      </c>
      <c r="M137" s="407">
        <v>46042</v>
      </c>
      <c r="N137" s="40" t="s">
        <v>6</v>
      </c>
      <c r="O137" s="141" t="s">
        <v>15</v>
      </c>
      <c r="P137" s="117" t="s">
        <v>211</v>
      </c>
      <c r="Q137" s="407">
        <v>46037</v>
      </c>
      <c r="R137" s="40" t="s">
        <v>445</v>
      </c>
      <c r="S137" s="208" t="s">
        <v>2459</v>
      </c>
      <c r="T137" s="357"/>
      <c r="U137" s="84"/>
      <c r="V137" s="84"/>
      <c r="W137" s="84"/>
      <c r="X137" s="84"/>
      <c r="Y137" s="84"/>
      <c r="Z137" s="84"/>
      <c r="AA137" s="16"/>
      <c r="AB137" s="16"/>
      <c r="AC137" s="16"/>
      <c r="AD137" s="16"/>
      <c r="AE137" s="16"/>
      <c r="AF137" s="16"/>
      <c r="AG137" s="16"/>
    </row>
    <row r="138" spans="1:33" ht="15.75" customHeight="1" x14ac:dyDescent="0.3">
      <c r="A138" s="16"/>
      <c r="B138" s="16"/>
      <c r="C138" s="130">
        <f t="shared" ca="1" si="6"/>
        <v>120</v>
      </c>
      <c r="D138" s="166" t="s">
        <v>283</v>
      </c>
      <c r="E138" s="242" t="s">
        <v>257</v>
      </c>
      <c r="F138" s="567" t="s">
        <v>457</v>
      </c>
      <c r="G138" s="219" t="s">
        <v>448</v>
      </c>
      <c r="H138" s="243"/>
      <c r="I138" s="172"/>
      <c r="J138" s="172" t="s">
        <v>261</v>
      </c>
      <c r="K138" s="245" t="s">
        <v>284</v>
      </c>
      <c r="L138" s="141" t="s">
        <v>15</v>
      </c>
      <c r="M138" s="193">
        <v>46042</v>
      </c>
      <c r="N138" s="194" t="s">
        <v>4</v>
      </c>
      <c r="O138" s="141" t="s">
        <v>15</v>
      </c>
      <c r="P138" s="117"/>
      <c r="Q138" s="407">
        <v>46037</v>
      </c>
      <c r="R138" s="40" t="s">
        <v>445</v>
      </c>
      <c r="S138" s="208"/>
      <c r="T138" s="357"/>
      <c r="U138" s="84"/>
      <c r="V138" s="84"/>
      <c r="W138" s="84"/>
      <c r="X138" s="84"/>
      <c r="Y138" s="84"/>
      <c r="Z138" s="84"/>
      <c r="AA138" s="16"/>
      <c r="AB138" s="16"/>
      <c r="AC138" s="16"/>
      <c r="AD138" s="16"/>
      <c r="AE138" s="16"/>
      <c r="AF138" s="16"/>
      <c r="AG138" s="16"/>
    </row>
    <row r="139" spans="1:33" ht="15.75" customHeight="1" x14ac:dyDescent="0.3">
      <c r="A139" s="16"/>
      <c r="B139" s="16"/>
      <c r="C139" s="130">
        <f t="shared" ca="1" si="6"/>
        <v>121</v>
      </c>
      <c r="D139" s="166" t="s">
        <v>2254</v>
      </c>
      <c r="E139" s="242" t="s">
        <v>237</v>
      </c>
      <c r="F139" s="567" t="s">
        <v>459</v>
      </c>
      <c r="G139" s="219" t="s">
        <v>448</v>
      </c>
      <c r="H139" s="243"/>
      <c r="I139" s="172" t="s">
        <v>364</v>
      </c>
      <c r="J139" s="172" t="s">
        <v>241</v>
      </c>
      <c r="K139" s="244" t="s">
        <v>2460</v>
      </c>
      <c r="L139" s="141" t="s">
        <v>15</v>
      </c>
      <c r="M139" s="193">
        <v>46042</v>
      </c>
      <c r="N139" s="194" t="s">
        <v>4</v>
      </c>
      <c r="O139" s="141" t="s">
        <v>15</v>
      </c>
      <c r="P139" s="117"/>
      <c r="Q139" s="407">
        <v>46037</v>
      </c>
      <c r="R139" s="40" t="s">
        <v>445</v>
      </c>
      <c r="S139" s="208"/>
      <c r="T139" s="357"/>
      <c r="U139" s="84"/>
      <c r="V139" s="84"/>
      <c r="W139" s="84"/>
      <c r="X139" s="84"/>
      <c r="Y139" s="84"/>
      <c r="Z139" s="84"/>
      <c r="AA139" s="16"/>
      <c r="AB139" s="16"/>
      <c r="AC139" s="16"/>
      <c r="AD139" s="16"/>
      <c r="AE139" s="16"/>
      <c r="AF139" s="16"/>
      <c r="AG139" s="16"/>
    </row>
    <row r="140" spans="1:33" ht="15.75" customHeight="1" x14ac:dyDescent="0.3">
      <c r="A140" s="16"/>
      <c r="B140" s="16"/>
      <c r="C140" s="130">
        <f t="shared" ca="1" si="6"/>
        <v>122</v>
      </c>
      <c r="D140" s="166" t="s">
        <v>2254</v>
      </c>
      <c r="E140" s="242" t="s">
        <v>237</v>
      </c>
      <c r="F140" s="567" t="s">
        <v>459</v>
      </c>
      <c r="G140" s="219" t="s">
        <v>448</v>
      </c>
      <c r="H140" s="243"/>
      <c r="I140" s="172" t="s">
        <v>372</v>
      </c>
      <c r="J140" s="172" t="s">
        <v>241</v>
      </c>
      <c r="K140" s="245" t="s">
        <v>2461</v>
      </c>
      <c r="L140" s="141" t="s">
        <v>15</v>
      </c>
      <c r="M140" s="193">
        <v>46045</v>
      </c>
      <c r="N140" s="194" t="s">
        <v>4</v>
      </c>
      <c r="O140" s="141" t="s">
        <v>15</v>
      </c>
      <c r="P140" s="117"/>
      <c r="Q140" s="407">
        <v>46037</v>
      </c>
      <c r="R140" s="40" t="s">
        <v>445</v>
      </c>
      <c r="S140" s="208"/>
      <c r="T140" s="357"/>
      <c r="U140" s="84"/>
      <c r="V140" s="84"/>
      <c r="W140" s="84"/>
      <c r="X140" s="84"/>
      <c r="Y140" s="84"/>
      <c r="Z140" s="84"/>
      <c r="AA140" s="16"/>
      <c r="AB140" s="16"/>
      <c r="AC140" s="16"/>
      <c r="AD140" s="16"/>
      <c r="AE140" s="16"/>
      <c r="AF140" s="16"/>
      <c r="AG140" s="16"/>
    </row>
    <row r="141" spans="1:33" ht="15.75" customHeight="1" x14ac:dyDescent="0.3">
      <c r="A141" s="16"/>
      <c r="B141" s="16"/>
      <c r="C141" s="130">
        <f t="shared" ca="1" si="6"/>
        <v>123</v>
      </c>
      <c r="D141" s="166" t="s">
        <v>285</v>
      </c>
      <c r="E141" s="242" t="s">
        <v>237</v>
      </c>
      <c r="F141" s="567" t="s">
        <v>459</v>
      </c>
      <c r="G141" s="219" t="s">
        <v>448</v>
      </c>
      <c r="H141" s="243"/>
      <c r="I141" s="172"/>
      <c r="J141" s="172" t="s">
        <v>2255</v>
      </c>
      <c r="K141" s="249" t="s">
        <v>2256</v>
      </c>
      <c r="L141" s="141" t="s">
        <v>15</v>
      </c>
      <c r="M141" s="193">
        <v>46045</v>
      </c>
      <c r="N141" s="194" t="s">
        <v>4</v>
      </c>
      <c r="O141" s="141" t="s">
        <v>15</v>
      </c>
      <c r="P141" s="117"/>
      <c r="Q141" s="407">
        <v>46037</v>
      </c>
      <c r="R141" s="40" t="s">
        <v>445</v>
      </c>
      <c r="S141" s="208"/>
      <c r="T141" s="357"/>
      <c r="U141" s="84"/>
      <c r="V141" s="84"/>
      <c r="W141" s="84"/>
      <c r="X141" s="84"/>
      <c r="Y141" s="84"/>
      <c r="Z141" s="84"/>
      <c r="AA141" s="16"/>
      <c r="AB141" s="16"/>
      <c r="AC141" s="16"/>
      <c r="AD141" s="16"/>
      <c r="AE141" s="16"/>
      <c r="AF141" s="16"/>
      <c r="AG141" s="16"/>
    </row>
    <row r="142" spans="1:33" ht="15.75" customHeight="1" x14ac:dyDescent="0.3">
      <c r="A142" s="16"/>
      <c r="B142" s="16"/>
      <c r="C142" s="130">
        <f t="shared" ca="1" si="6"/>
        <v>124</v>
      </c>
      <c r="D142" s="166" t="s">
        <v>304</v>
      </c>
      <c r="E142" s="242" t="s">
        <v>237</v>
      </c>
      <c r="F142" s="567" t="s">
        <v>459</v>
      </c>
      <c r="G142" s="219" t="s">
        <v>448</v>
      </c>
      <c r="H142" s="243"/>
      <c r="I142" s="172"/>
      <c r="J142" s="172" t="s">
        <v>2255</v>
      </c>
      <c r="K142" s="249" t="s">
        <v>2257</v>
      </c>
      <c r="L142" s="141" t="s">
        <v>15</v>
      </c>
      <c r="M142" s="193">
        <v>46045</v>
      </c>
      <c r="N142" s="194" t="s">
        <v>4</v>
      </c>
      <c r="O142" s="141" t="s">
        <v>15</v>
      </c>
      <c r="P142" s="117"/>
      <c r="Q142" s="407">
        <v>46037</v>
      </c>
      <c r="R142" s="40" t="s">
        <v>445</v>
      </c>
      <c r="S142" s="208"/>
      <c r="T142" s="357"/>
      <c r="U142" s="84"/>
      <c r="V142" s="84"/>
      <c r="W142" s="84"/>
      <c r="X142" s="84"/>
      <c r="Y142" s="84"/>
      <c r="Z142" s="84"/>
      <c r="AA142" s="16"/>
      <c r="AB142" s="16"/>
      <c r="AC142" s="16"/>
      <c r="AD142" s="16"/>
      <c r="AE142" s="16"/>
      <c r="AF142" s="16"/>
      <c r="AG142" s="16"/>
    </row>
    <row r="143" spans="1:33" ht="15.75" customHeight="1" x14ac:dyDescent="0.3">
      <c r="A143" s="16"/>
      <c r="B143" s="16"/>
      <c r="C143" s="130">
        <f t="shared" ca="1" si="6"/>
        <v>125</v>
      </c>
      <c r="D143" s="166" t="s">
        <v>286</v>
      </c>
      <c r="E143" s="242" t="s">
        <v>237</v>
      </c>
      <c r="F143" s="567" t="s">
        <v>459</v>
      </c>
      <c r="G143" s="219" t="s">
        <v>448</v>
      </c>
      <c r="H143" s="243"/>
      <c r="I143" s="172"/>
      <c r="J143" s="172" t="s">
        <v>242</v>
      </c>
      <c r="K143" s="249" t="s">
        <v>287</v>
      </c>
      <c r="L143" s="141" t="s">
        <v>15</v>
      </c>
      <c r="M143" s="193">
        <v>46042</v>
      </c>
      <c r="N143" s="194" t="s">
        <v>4</v>
      </c>
      <c r="O143" s="141" t="s">
        <v>15</v>
      </c>
      <c r="P143" s="117"/>
      <c r="Q143" s="407">
        <v>46037</v>
      </c>
      <c r="R143" s="40" t="s">
        <v>445</v>
      </c>
      <c r="S143" s="208"/>
      <c r="T143" s="357"/>
      <c r="U143" s="84"/>
      <c r="V143" s="84"/>
      <c r="W143" s="84"/>
      <c r="X143" s="84"/>
      <c r="Y143" s="84"/>
      <c r="Z143" s="84"/>
      <c r="AA143" s="16"/>
      <c r="AB143" s="16"/>
      <c r="AC143" s="16"/>
      <c r="AD143" s="16"/>
      <c r="AE143" s="16"/>
      <c r="AF143" s="16"/>
      <c r="AG143" s="16"/>
    </row>
    <row r="144" spans="1:33" ht="15.75" customHeight="1" x14ac:dyDescent="0.3">
      <c r="A144" s="16"/>
      <c r="B144" s="16"/>
      <c r="C144" s="130">
        <f t="shared" ca="1" si="6"/>
        <v>126</v>
      </c>
      <c r="D144" s="166" t="s">
        <v>288</v>
      </c>
      <c r="E144" s="242" t="s">
        <v>237</v>
      </c>
      <c r="F144" s="567" t="s">
        <v>459</v>
      </c>
      <c r="G144" s="219" t="s">
        <v>448</v>
      </c>
      <c r="H144" s="243"/>
      <c r="I144" s="172"/>
      <c r="J144" s="172" t="s">
        <v>242</v>
      </c>
      <c r="K144" s="249" t="s">
        <v>2462</v>
      </c>
      <c r="L144" s="141" t="s">
        <v>15</v>
      </c>
      <c r="M144" s="193">
        <v>46042</v>
      </c>
      <c r="N144" s="194" t="s">
        <v>4</v>
      </c>
      <c r="O144" s="141" t="s">
        <v>15</v>
      </c>
      <c r="P144" s="117"/>
      <c r="Q144" s="407">
        <v>46037</v>
      </c>
      <c r="R144" s="40" t="s">
        <v>445</v>
      </c>
      <c r="S144" s="208"/>
      <c r="T144" s="357"/>
      <c r="U144" s="84"/>
      <c r="V144" s="84"/>
      <c r="W144" s="84"/>
      <c r="X144" s="84"/>
      <c r="Y144" s="84"/>
      <c r="Z144" s="84"/>
      <c r="AA144" s="16"/>
      <c r="AB144" s="16"/>
      <c r="AC144" s="16"/>
      <c r="AD144" s="16"/>
      <c r="AE144" s="16"/>
      <c r="AF144" s="16"/>
      <c r="AG144" s="16"/>
    </row>
    <row r="145" spans="1:33" ht="15.75" customHeight="1" x14ac:dyDescent="0.3">
      <c r="A145" s="16"/>
      <c r="B145" s="16"/>
      <c r="C145" s="130">
        <f t="shared" ca="1" si="6"/>
        <v>127</v>
      </c>
      <c r="D145" s="166" t="s">
        <v>289</v>
      </c>
      <c r="E145" s="242" t="s">
        <v>257</v>
      </c>
      <c r="F145" s="567" t="s">
        <v>457</v>
      </c>
      <c r="G145" s="219" t="s">
        <v>448</v>
      </c>
      <c r="H145" s="243"/>
      <c r="I145" s="172"/>
      <c r="J145" s="172" t="s">
        <v>261</v>
      </c>
      <c r="K145" s="245" t="s">
        <v>290</v>
      </c>
      <c r="L145" s="141" t="s">
        <v>15</v>
      </c>
      <c r="M145" s="193">
        <v>46042</v>
      </c>
      <c r="N145" s="194" t="s">
        <v>4</v>
      </c>
      <c r="O145" s="141" t="s">
        <v>15</v>
      </c>
      <c r="P145" s="117"/>
      <c r="Q145" s="407">
        <v>46037</v>
      </c>
      <c r="R145" s="40" t="s">
        <v>445</v>
      </c>
      <c r="S145" s="208"/>
      <c r="T145" s="357"/>
      <c r="U145" s="84"/>
      <c r="V145" s="84"/>
      <c r="W145" s="84"/>
      <c r="X145" s="84"/>
      <c r="Y145" s="84"/>
      <c r="Z145" s="84"/>
      <c r="AA145" s="16"/>
      <c r="AB145" s="16"/>
      <c r="AC145" s="16"/>
      <c r="AD145" s="16"/>
      <c r="AE145" s="16"/>
      <c r="AF145" s="16"/>
      <c r="AG145" s="16"/>
    </row>
    <row r="146" spans="1:33" ht="15.75" customHeight="1" x14ac:dyDescent="0.3">
      <c r="A146" s="16"/>
      <c r="B146" s="16"/>
      <c r="C146" s="130">
        <f t="shared" ca="1" si="6"/>
        <v>128</v>
      </c>
      <c r="D146" s="658" t="s">
        <v>291</v>
      </c>
      <c r="E146" s="242" t="s">
        <v>257</v>
      </c>
      <c r="F146" s="567" t="s">
        <v>457</v>
      </c>
      <c r="G146" s="219" t="s">
        <v>448</v>
      </c>
      <c r="H146" s="243"/>
      <c r="I146" s="172"/>
      <c r="J146" s="172" t="s">
        <v>261</v>
      </c>
      <c r="K146" s="245" t="s">
        <v>2463</v>
      </c>
      <c r="L146" s="141" t="s">
        <v>15</v>
      </c>
      <c r="M146" s="193">
        <v>46042</v>
      </c>
      <c r="N146" s="194" t="s">
        <v>4</v>
      </c>
      <c r="O146" s="141" t="s">
        <v>15</v>
      </c>
      <c r="P146" s="117"/>
      <c r="Q146" s="407">
        <v>46037</v>
      </c>
      <c r="R146" s="40" t="s">
        <v>445</v>
      </c>
      <c r="S146" s="208"/>
      <c r="T146" s="357"/>
      <c r="U146" s="84"/>
      <c r="V146" s="84"/>
      <c r="W146" s="84"/>
      <c r="X146" s="84"/>
      <c r="Y146" s="84"/>
      <c r="Z146" s="84"/>
      <c r="AA146" s="16"/>
      <c r="AB146" s="16"/>
      <c r="AC146" s="16"/>
      <c r="AD146" s="16"/>
      <c r="AE146" s="16"/>
      <c r="AF146" s="16"/>
      <c r="AG146" s="16"/>
    </row>
    <row r="147" spans="1:33" ht="15.75" customHeight="1" x14ac:dyDescent="0.3">
      <c r="A147" s="16"/>
      <c r="B147" s="16"/>
      <c r="C147" s="130">
        <f t="shared" ca="1" si="6"/>
        <v>129</v>
      </c>
      <c r="D147" s="636"/>
      <c r="E147" s="665" t="s">
        <v>237</v>
      </c>
      <c r="F147" s="567" t="s">
        <v>459</v>
      </c>
      <c r="G147" s="219" t="s">
        <v>448</v>
      </c>
      <c r="H147" s="243"/>
      <c r="I147" s="657" t="s">
        <v>364</v>
      </c>
      <c r="J147" s="172" t="s">
        <v>238</v>
      </c>
      <c r="K147" s="245" t="s">
        <v>2464</v>
      </c>
      <c r="L147" s="141" t="s">
        <v>15</v>
      </c>
      <c r="M147" s="193">
        <v>46042</v>
      </c>
      <c r="N147" s="194" t="s">
        <v>4</v>
      </c>
      <c r="O147" s="141" t="s">
        <v>15</v>
      </c>
      <c r="P147" s="117"/>
      <c r="Q147" s="407">
        <v>46037</v>
      </c>
      <c r="R147" s="40" t="s">
        <v>445</v>
      </c>
      <c r="S147" s="208"/>
      <c r="T147" s="357"/>
      <c r="U147" s="84"/>
      <c r="V147" s="84"/>
      <c r="W147" s="84"/>
      <c r="X147" s="84"/>
      <c r="Y147" s="84"/>
      <c r="Z147" s="84"/>
      <c r="AA147" s="16"/>
      <c r="AB147" s="16"/>
      <c r="AC147" s="16"/>
      <c r="AD147" s="16"/>
      <c r="AE147" s="16"/>
      <c r="AF147" s="16"/>
      <c r="AG147" s="16"/>
    </row>
    <row r="148" spans="1:33" ht="15.75" customHeight="1" x14ac:dyDescent="0.3">
      <c r="A148" s="16"/>
      <c r="B148" s="16"/>
      <c r="C148" s="130">
        <f t="shared" ca="1" si="6"/>
        <v>130</v>
      </c>
      <c r="D148" s="636"/>
      <c r="E148" s="636"/>
      <c r="F148" s="567" t="s">
        <v>459</v>
      </c>
      <c r="G148" s="219" t="s">
        <v>455</v>
      </c>
      <c r="H148" s="243"/>
      <c r="I148" s="608"/>
      <c r="J148" s="172" t="s">
        <v>310</v>
      </c>
      <c r="K148" s="226" t="s">
        <v>371</v>
      </c>
      <c r="L148" s="141" t="s">
        <v>15</v>
      </c>
      <c r="M148" s="193">
        <v>46042</v>
      </c>
      <c r="N148" s="194" t="s">
        <v>4</v>
      </c>
      <c r="O148" s="141" t="s">
        <v>158</v>
      </c>
      <c r="P148" s="117" t="s">
        <v>211</v>
      </c>
      <c r="Q148" s="407">
        <v>46037</v>
      </c>
      <c r="R148" s="40" t="s">
        <v>445</v>
      </c>
      <c r="S148" s="208" t="s">
        <v>2465</v>
      </c>
      <c r="T148" s="357"/>
      <c r="U148" s="84"/>
      <c r="V148" s="84"/>
      <c r="W148" s="84"/>
      <c r="X148" s="84"/>
      <c r="Y148" s="84"/>
      <c r="Z148" s="84"/>
      <c r="AA148" s="16"/>
      <c r="AB148" s="16"/>
      <c r="AC148" s="16"/>
      <c r="AD148" s="16"/>
      <c r="AE148" s="16"/>
      <c r="AF148" s="16"/>
      <c r="AG148" s="16"/>
    </row>
    <row r="149" spans="1:33" ht="15.75" customHeight="1" x14ac:dyDescent="0.3">
      <c r="A149" s="16"/>
      <c r="B149" s="16"/>
      <c r="C149" s="130">
        <f t="shared" ca="1" si="6"/>
        <v>131</v>
      </c>
      <c r="D149" s="636"/>
      <c r="E149" s="636"/>
      <c r="F149" s="567" t="s">
        <v>459</v>
      </c>
      <c r="G149" s="219" t="s">
        <v>448</v>
      </c>
      <c r="H149" s="243"/>
      <c r="I149" s="657" t="s">
        <v>372</v>
      </c>
      <c r="J149" s="172" t="s">
        <v>311</v>
      </c>
      <c r="K149" s="245" t="s">
        <v>2466</v>
      </c>
      <c r="L149" s="141" t="s">
        <v>15</v>
      </c>
      <c r="M149" s="193">
        <v>46042</v>
      </c>
      <c r="N149" s="194" t="s">
        <v>4</v>
      </c>
      <c r="O149" s="141" t="s">
        <v>15</v>
      </c>
      <c r="P149" s="117"/>
      <c r="Q149" s="407">
        <v>46037</v>
      </c>
      <c r="R149" s="40" t="s">
        <v>445</v>
      </c>
      <c r="S149" s="208"/>
      <c r="T149" s="357"/>
      <c r="U149" s="84"/>
      <c r="V149" s="84"/>
      <c r="W149" s="84"/>
      <c r="X149" s="84"/>
      <c r="Y149" s="84"/>
      <c r="Z149" s="84"/>
      <c r="AA149" s="16"/>
      <c r="AB149" s="16"/>
      <c r="AC149" s="16"/>
      <c r="AD149" s="16"/>
      <c r="AE149" s="16"/>
      <c r="AF149" s="16"/>
      <c r="AG149" s="16"/>
    </row>
    <row r="150" spans="1:33" ht="15.75" customHeight="1" x14ac:dyDescent="0.3">
      <c r="A150" s="16"/>
      <c r="B150" s="16"/>
      <c r="C150" s="130">
        <f t="shared" ca="1" si="6"/>
        <v>132</v>
      </c>
      <c r="D150" s="636"/>
      <c r="E150" s="636"/>
      <c r="F150" s="567" t="s">
        <v>459</v>
      </c>
      <c r="G150" s="219" t="s">
        <v>448</v>
      </c>
      <c r="H150" s="243"/>
      <c r="I150" s="606"/>
      <c r="J150" s="172" t="s">
        <v>313</v>
      </c>
      <c r="K150" s="245" t="s">
        <v>2467</v>
      </c>
      <c r="L150" s="141" t="s">
        <v>15</v>
      </c>
      <c r="M150" s="193">
        <v>46042</v>
      </c>
      <c r="N150" s="194" t="s">
        <v>4</v>
      </c>
      <c r="O150" s="141" t="s">
        <v>15</v>
      </c>
      <c r="P150" s="117"/>
      <c r="Q150" s="407">
        <v>46037</v>
      </c>
      <c r="R150" s="40" t="s">
        <v>445</v>
      </c>
      <c r="S150" s="208"/>
      <c r="T150" s="357"/>
      <c r="U150" s="84"/>
      <c r="V150" s="84"/>
      <c r="W150" s="84"/>
      <c r="X150" s="84"/>
      <c r="Y150" s="84"/>
      <c r="Z150" s="84"/>
      <c r="AA150" s="16"/>
      <c r="AB150" s="16"/>
      <c r="AC150" s="16"/>
      <c r="AD150" s="16"/>
      <c r="AE150" s="16"/>
      <c r="AF150" s="16"/>
      <c r="AG150" s="16"/>
    </row>
    <row r="151" spans="1:33" ht="15.75" customHeight="1" x14ac:dyDescent="0.3">
      <c r="A151" s="16"/>
      <c r="B151" s="16"/>
      <c r="C151" s="130">
        <f t="shared" ca="1" si="6"/>
        <v>133</v>
      </c>
      <c r="D151" s="636"/>
      <c r="E151" s="636"/>
      <c r="F151" s="567" t="s">
        <v>459</v>
      </c>
      <c r="G151" s="219" t="s">
        <v>455</v>
      </c>
      <c r="H151" s="243"/>
      <c r="I151" s="608"/>
      <c r="J151" s="172" t="s">
        <v>2468</v>
      </c>
      <c r="K151" s="226" t="s">
        <v>2240</v>
      </c>
      <c r="L151" s="141" t="s">
        <v>15</v>
      </c>
      <c r="M151" s="193">
        <v>46042</v>
      </c>
      <c r="N151" s="194" t="s">
        <v>4</v>
      </c>
      <c r="O151" s="141" t="s">
        <v>158</v>
      </c>
      <c r="P151" s="117" t="s">
        <v>211</v>
      </c>
      <c r="Q151" s="407">
        <v>46037</v>
      </c>
      <c r="R151" s="40" t="s">
        <v>445</v>
      </c>
      <c r="S151" s="208" t="s">
        <v>2469</v>
      </c>
      <c r="T151" s="357"/>
      <c r="U151" s="84"/>
      <c r="V151" s="84"/>
      <c r="W151" s="84"/>
      <c r="X151" s="84"/>
      <c r="Y151" s="84"/>
      <c r="Z151" s="84"/>
      <c r="AA151" s="16"/>
      <c r="AB151" s="16"/>
      <c r="AC151" s="16"/>
      <c r="AD151" s="16"/>
      <c r="AE151" s="16"/>
      <c r="AF151" s="16"/>
      <c r="AG151" s="16"/>
    </row>
    <row r="152" spans="1:33" ht="15.75" customHeight="1" x14ac:dyDescent="0.3">
      <c r="A152" s="16"/>
      <c r="B152" s="16"/>
      <c r="C152" s="130">
        <f t="shared" ca="1" si="6"/>
        <v>134</v>
      </c>
      <c r="D152" s="658" t="s">
        <v>292</v>
      </c>
      <c r="E152" s="242" t="s">
        <v>257</v>
      </c>
      <c r="F152" s="567" t="s">
        <v>457</v>
      </c>
      <c r="G152" s="219" t="s">
        <v>448</v>
      </c>
      <c r="H152" s="243"/>
      <c r="I152" s="172"/>
      <c r="J152" s="172" t="s">
        <v>261</v>
      </c>
      <c r="K152" s="245" t="s">
        <v>2470</v>
      </c>
      <c r="L152" s="141" t="s">
        <v>15</v>
      </c>
      <c r="M152" s="193">
        <v>46042</v>
      </c>
      <c r="N152" s="194" t="s">
        <v>4</v>
      </c>
      <c r="O152" s="141" t="s">
        <v>15</v>
      </c>
      <c r="P152" s="117"/>
      <c r="Q152" s="407">
        <v>46037</v>
      </c>
      <c r="R152" s="40" t="s">
        <v>445</v>
      </c>
      <c r="S152" s="208"/>
      <c r="T152" s="357"/>
      <c r="U152" s="84"/>
      <c r="V152" s="84"/>
      <c r="W152" s="84"/>
      <c r="X152" s="84"/>
      <c r="Y152" s="84"/>
      <c r="Z152" s="84"/>
      <c r="AA152" s="16"/>
      <c r="AB152" s="16"/>
      <c r="AC152" s="16"/>
      <c r="AD152" s="16"/>
      <c r="AE152" s="16"/>
      <c r="AF152" s="16"/>
      <c r="AG152" s="16"/>
    </row>
    <row r="153" spans="1:33" ht="15.75" customHeight="1" x14ac:dyDescent="0.3">
      <c r="A153" s="16"/>
      <c r="B153" s="16"/>
      <c r="C153" s="130">
        <f t="shared" ca="1" si="6"/>
        <v>135</v>
      </c>
      <c r="D153" s="636"/>
      <c r="E153" s="665" t="s">
        <v>237</v>
      </c>
      <c r="F153" s="567" t="s">
        <v>459</v>
      </c>
      <c r="G153" s="219" t="s">
        <v>448</v>
      </c>
      <c r="H153" s="243"/>
      <c r="I153" s="657" t="s">
        <v>364</v>
      </c>
      <c r="J153" s="172" t="s">
        <v>238</v>
      </c>
      <c r="K153" s="245" t="s">
        <v>2471</v>
      </c>
      <c r="L153" s="141" t="s">
        <v>15</v>
      </c>
      <c r="M153" s="193">
        <v>46042</v>
      </c>
      <c r="N153" s="194" t="s">
        <v>4</v>
      </c>
      <c r="O153" s="141" t="s">
        <v>15</v>
      </c>
      <c r="P153" s="117"/>
      <c r="Q153" s="407">
        <v>46037</v>
      </c>
      <c r="R153" s="40" t="s">
        <v>445</v>
      </c>
      <c r="S153" s="208"/>
      <c r="T153" s="357"/>
      <c r="U153" s="84"/>
      <c r="V153" s="84"/>
      <c r="W153" s="84"/>
      <c r="X153" s="84"/>
      <c r="Y153" s="84"/>
      <c r="Z153" s="84"/>
      <c r="AA153" s="16"/>
      <c r="AB153" s="16"/>
      <c r="AC153" s="16"/>
      <c r="AD153" s="16"/>
      <c r="AE153" s="16"/>
      <c r="AF153" s="16"/>
      <c r="AG153" s="16"/>
    </row>
    <row r="154" spans="1:33" ht="15.75" customHeight="1" x14ac:dyDescent="0.3">
      <c r="A154" s="16"/>
      <c r="B154" s="16"/>
      <c r="C154" s="130">
        <f t="shared" ca="1" si="6"/>
        <v>136</v>
      </c>
      <c r="D154" s="636"/>
      <c r="E154" s="636"/>
      <c r="F154" s="567" t="s">
        <v>459</v>
      </c>
      <c r="G154" s="219" t="s">
        <v>455</v>
      </c>
      <c r="H154" s="243"/>
      <c r="I154" s="608"/>
      <c r="J154" s="172" t="s">
        <v>310</v>
      </c>
      <c r="K154" s="226" t="s">
        <v>371</v>
      </c>
      <c r="L154" s="141" t="s">
        <v>15</v>
      </c>
      <c r="M154" s="193">
        <v>46042</v>
      </c>
      <c r="N154" s="194" t="s">
        <v>4</v>
      </c>
      <c r="O154" s="141" t="s">
        <v>158</v>
      </c>
      <c r="P154" s="117" t="s">
        <v>211</v>
      </c>
      <c r="Q154" s="407">
        <v>46037</v>
      </c>
      <c r="R154" s="40" t="s">
        <v>445</v>
      </c>
      <c r="S154" s="208" t="s">
        <v>2472</v>
      </c>
      <c r="T154" s="357"/>
      <c r="U154" s="84"/>
      <c r="V154" s="84"/>
      <c r="W154" s="84"/>
      <c r="X154" s="84"/>
      <c r="Y154" s="84"/>
      <c r="Z154" s="84"/>
      <c r="AA154" s="16"/>
      <c r="AB154" s="16"/>
      <c r="AC154" s="16"/>
      <c r="AD154" s="16"/>
      <c r="AE154" s="16"/>
      <c r="AF154" s="16"/>
      <c r="AG154" s="16"/>
    </row>
    <row r="155" spans="1:33" ht="15.75" customHeight="1" x14ac:dyDescent="0.3">
      <c r="A155" s="16"/>
      <c r="B155" s="16"/>
      <c r="C155" s="130">
        <f t="shared" ca="1" si="6"/>
        <v>137</v>
      </c>
      <c r="D155" s="636"/>
      <c r="E155" s="636"/>
      <c r="F155" s="567" t="s">
        <v>459</v>
      </c>
      <c r="G155" s="219" t="s">
        <v>448</v>
      </c>
      <c r="H155" s="243"/>
      <c r="I155" s="657" t="s">
        <v>372</v>
      </c>
      <c r="J155" s="172" t="s">
        <v>311</v>
      </c>
      <c r="K155" s="245" t="s">
        <v>2473</v>
      </c>
      <c r="L155" s="141" t="s">
        <v>15</v>
      </c>
      <c r="M155" s="193">
        <v>46042</v>
      </c>
      <c r="N155" s="194" t="s">
        <v>4</v>
      </c>
      <c r="O155" s="141" t="s">
        <v>15</v>
      </c>
      <c r="P155" s="117"/>
      <c r="Q155" s="407">
        <v>46037</v>
      </c>
      <c r="R155" s="40" t="s">
        <v>445</v>
      </c>
      <c r="S155" s="208"/>
      <c r="T155" s="357"/>
      <c r="U155" s="84"/>
      <c r="V155" s="84"/>
      <c r="W155" s="84"/>
      <c r="X155" s="84"/>
      <c r="Y155" s="84"/>
      <c r="Z155" s="84"/>
      <c r="AA155" s="16"/>
      <c r="AB155" s="16"/>
      <c r="AC155" s="16"/>
      <c r="AD155" s="16"/>
      <c r="AE155" s="16"/>
      <c r="AF155" s="16"/>
      <c r="AG155" s="16"/>
    </row>
    <row r="156" spans="1:33" ht="15.75" customHeight="1" x14ac:dyDescent="0.3">
      <c r="A156" s="16"/>
      <c r="B156" s="16"/>
      <c r="C156" s="130">
        <f t="shared" ca="1" si="6"/>
        <v>138</v>
      </c>
      <c r="D156" s="636"/>
      <c r="E156" s="636"/>
      <c r="F156" s="567" t="s">
        <v>459</v>
      </c>
      <c r="G156" s="219" t="s">
        <v>448</v>
      </c>
      <c r="H156" s="243"/>
      <c r="I156" s="606"/>
      <c r="J156" s="172" t="s">
        <v>313</v>
      </c>
      <c r="K156" s="245" t="s">
        <v>2474</v>
      </c>
      <c r="L156" s="141" t="s">
        <v>15</v>
      </c>
      <c r="M156" s="193">
        <v>46042</v>
      </c>
      <c r="N156" s="194" t="s">
        <v>4</v>
      </c>
      <c r="O156" s="141" t="s">
        <v>15</v>
      </c>
      <c r="P156" s="117"/>
      <c r="Q156" s="407">
        <v>46037</v>
      </c>
      <c r="R156" s="40" t="s">
        <v>445</v>
      </c>
      <c r="S156" s="208"/>
      <c r="T156" s="357"/>
      <c r="U156" s="84"/>
      <c r="V156" s="84"/>
      <c r="W156" s="84"/>
      <c r="X156" s="84"/>
      <c r="Y156" s="84"/>
      <c r="Z156" s="84"/>
      <c r="AA156" s="16"/>
      <c r="AB156" s="16"/>
      <c r="AC156" s="16"/>
      <c r="AD156" s="16"/>
      <c r="AE156" s="16"/>
      <c r="AF156" s="16"/>
      <c r="AG156" s="16"/>
    </row>
    <row r="157" spans="1:33" ht="15.75" customHeight="1" x14ac:dyDescent="0.3">
      <c r="A157" s="16"/>
      <c r="B157" s="16"/>
      <c r="C157" s="130">
        <f t="shared" ca="1" si="6"/>
        <v>139</v>
      </c>
      <c r="D157" s="636"/>
      <c r="E157" s="636"/>
      <c r="F157" s="567" t="s">
        <v>459</v>
      </c>
      <c r="G157" s="219" t="s">
        <v>455</v>
      </c>
      <c r="H157" s="243"/>
      <c r="I157" s="608"/>
      <c r="J157" s="172" t="s">
        <v>2475</v>
      </c>
      <c r="K157" s="226" t="s">
        <v>2240</v>
      </c>
      <c r="L157" s="141" t="s">
        <v>15</v>
      </c>
      <c r="M157" s="193">
        <v>46042</v>
      </c>
      <c r="N157" s="194" t="s">
        <v>4</v>
      </c>
      <c r="O157" s="141" t="s">
        <v>158</v>
      </c>
      <c r="P157" s="117" t="s">
        <v>211</v>
      </c>
      <c r="Q157" s="407">
        <v>46037</v>
      </c>
      <c r="R157" s="40" t="s">
        <v>445</v>
      </c>
      <c r="S157" s="208" t="s">
        <v>2476</v>
      </c>
      <c r="T157" s="357"/>
      <c r="U157" s="84"/>
      <c r="V157" s="84"/>
      <c r="W157" s="84"/>
      <c r="X157" s="84"/>
      <c r="Y157" s="84"/>
      <c r="Z157" s="84"/>
      <c r="AA157" s="16"/>
      <c r="AB157" s="16"/>
      <c r="AC157" s="16"/>
      <c r="AD157" s="16"/>
      <c r="AE157" s="16"/>
      <c r="AF157" s="16"/>
      <c r="AG157" s="16"/>
    </row>
    <row r="158" spans="1:33" ht="15.75" customHeight="1" x14ac:dyDescent="0.3">
      <c r="A158" s="16"/>
      <c r="B158" s="16"/>
      <c r="C158" s="130">
        <f t="shared" ca="1" si="6"/>
        <v>140</v>
      </c>
      <c r="D158" s="658" t="s">
        <v>293</v>
      </c>
      <c r="E158" s="242" t="s">
        <v>257</v>
      </c>
      <c r="F158" s="567" t="s">
        <v>457</v>
      </c>
      <c r="G158" s="219" t="s">
        <v>448</v>
      </c>
      <c r="H158" s="243"/>
      <c r="I158" s="172"/>
      <c r="J158" s="172" t="s">
        <v>261</v>
      </c>
      <c r="K158" s="245" t="s">
        <v>2477</v>
      </c>
      <c r="L158" s="141" t="s">
        <v>15</v>
      </c>
      <c r="M158" s="193">
        <v>46042</v>
      </c>
      <c r="N158" s="194" t="s">
        <v>4</v>
      </c>
      <c r="O158" s="141" t="s">
        <v>15</v>
      </c>
      <c r="P158" s="117"/>
      <c r="Q158" s="407">
        <v>46037</v>
      </c>
      <c r="R158" s="40" t="s">
        <v>445</v>
      </c>
      <c r="S158" s="208"/>
      <c r="T158" s="357"/>
      <c r="U158" s="84"/>
      <c r="V158" s="84"/>
      <c r="W158" s="84"/>
      <c r="X158" s="84"/>
      <c r="Y158" s="84"/>
      <c r="Z158" s="84"/>
      <c r="AA158" s="16"/>
      <c r="AB158" s="16"/>
      <c r="AC158" s="16"/>
      <c r="AD158" s="16"/>
      <c r="AE158" s="16"/>
      <c r="AF158" s="16"/>
      <c r="AG158" s="16"/>
    </row>
    <row r="159" spans="1:33" ht="15.75" customHeight="1" x14ac:dyDescent="0.3">
      <c r="A159" s="16"/>
      <c r="B159" s="16"/>
      <c r="C159" s="130">
        <f t="shared" ca="1" si="6"/>
        <v>141</v>
      </c>
      <c r="D159" s="636"/>
      <c r="E159" s="665" t="s">
        <v>237</v>
      </c>
      <c r="F159" s="567" t="s">
        <v>459</v>
      </c>
      <c r="G159" s="219" t="s">
        <v>448</v>
      </c>
      <c r="H159" s="243"/>
      <c r="I159" s="657" t="s">
        <v>364</v>
      </c>
      <c r="J159" s="172" t="s">
        <v>238</v>
      </c>
      <c r="K159" s="245" t="s">
        <v>2478</v>
      </c>
      <c r="L159" s="141" t="s">
        <v>15</v>
      </c>
      <c r="M159" s="193">
        <v>46042</v>
      </c>
      <c r="N159" s="194" t="s">
        <v>4</v>
      </c>
      <c r="O159" s="141" t="s">
        <v>15</v>
      </c>
      <c r="P159" s="117"/>
      <c r="Q159" s="407">
        <v>46037</v>
      </c>
      <c r="R159" s="40" t="s">
        <v>445</v>
      </c>
      <c r="S159" s="208"/>
      <c r="T159" s="357"/>
      <c r="U159" s="84"/>
      <c r="V159" s="84"/>
      <c r="W159" s="84"/>
      <c r="X159" s="84"/>
      <c r="Y159" s="84"/>
      <c r="Z159" s="84"/>
      <c r="AA159" s="16"/>
      <c r="AB159" s="16"/>
      <c r="AC159" s="16"/>
      <c r="AD159" s="16"/>
      <c r="AE159" s="16"/>
      <c r="AF159" s="16"/>
      <c r="AG159" s="16"/>
    </row>
    <row r="160" spans="1:33" ht="15.75" customHeight="1" x14ac:dyDescent="0.3">
      <c r="A160" s="16"/>
      <c r="B160" s="16"/>
      <c r="C160" s="130">
        <f t="shared" ca="1" si="6"/>
        <v>142</v>
      </c>
      <c r="D160" s="636"/>
      <c r="E160" s="636"/>
      <c r="F160" s="567" t="s">
        <v>459</v>
      </c>
      <c r="G160" s="219" t="s">
        <v>455</v>
      </c>
      <c r="H160" s="243"/>
      <c r="I160" s="608"/>
      <c r="J160" s="172" t="s">
        <v>310</v>
      </c>
      <c r="K160" s="226" t="s">
        <v>371</v>
      </c>
      <c r="L160" s="141" t="s">
        <v>15</v>
      </c>
      <c r="M160" s="193">
        <v>46042</v>
      </c>
      <c r="N160" s="194" t="s">
        <v>4</v>
      </c>
      <c r="O160" s="141" t="s">
        <v>158</v>
      </c>
      <c r="P160" s="117" t="s">
        <v>211</v>
      </c>
      <c r="Q160" s="407">
        <v>46037</v>
      </c>
      <c r="R160" s="40" t="s">
        <v>445</v>
      </c>
      <c r="S160" s="208" t="s">
        <v>2479</v>
      </c>
      <c r="T160" s="357"/>
      <c r="U160" s="84"/>
      <c r="V160" s="84"/>
      <c r="W160" s="84"/>
      <c r="X160" s="84"/>
      <c r="Y160" s="84"/>
      <c r="Z160" s="84"/>
      <c r="AA160" s="16"/>
      <c r="AB160" s="16"/>
      <c r="AC160" s="16"/>
      <c r="AD160" s="16"/>
      <c r="AE160" s="16"/>
      <c r="AF160" s="16"/>
      <c r="AG160" s="16"/>
    </row>
    <row r="161" spans="1:33" ht="15.75" customHeight="1" x14ac:dyDescent="0.3">
      <c r="A161" s="16"/>
      <c r="B161" s="16"/>
      <c r="C161" s="130">
        <f t="shared" ca="1" si="6"/>
        <v>143</v>
      </c>
      <c r="D161" s="636"/>
      <c r="E161" s="636"/>
      <c r="F161" s="567" t="s">
        <v>459</v>
      </c>
      <c r="G161" s="219" t="s">
        <v>448</v>
      </c>
      <c r="H161" s="243"/>
      <c r="I161" s="657" t="s">
        <v>372</v>
      </c>
      <c r="J161" s="172" t="s">
        <v>311</v>
      </c>
      <c r="K161" s="245" t="s">
        <v>2480</v>
      </c>
      <c r="L161" s="141" t="s">
        <v>15</v>
      </c>
      <c r="M161" s="193">
        <v>46042</v>
      </c>
      <c r="N161" s="194" t="s">
        <v>4</v>
      </c>
      <c r="O161" s="141" t="s">
        <v>15</v>
      </c>
      <c r="P161" s="117"/>
      <c r="Q161" s="407">
        <v>46037</v>
      </c>
      <c r="R161" s="40" t="s">
        <v>445</v>
      </c>
      <c r="S161" s="208"/>
      <c r="T161" s="357"/>
      <c r="U161" s="84"/>
      <c r="V161" s="84"/>
      <c r="W161" s="84"/>
      <c r="X161" s="84"/>
      <c r="Y161" s="84"/>
      <c r="Z161" s="84"/>
      <c r="AA161" s="16"/>
      <c r="AB161" s="16"/>
      <c r="AC161" s="16"/>
      <c r="AD161" s="16"/>
      <c r="AE161" s="16"/>
      <c r="AF161" s="16"/>
      <c r="AG161" s="16"/>
    </row>
    <row r="162" spans="1:33" ht="15.75" customHeight="1" x14ac:dyDescent="0.3">
      <c r="A162" s="16"/>
      <c r="B162" s="16"/>
      <c r="C162" s="130">
        <f t="shared" ca="1" si="6"/>
        <v>144</v>
      </c>
      <c r="D162" s="636"/>
      <c r="E162" s="636"/>
      <c r="F162" s="567" t="s">
        <v>459</v>
      </c>
      <c r="G162" s="219" t="s">
        <v>448</v>
      </c>
      <c r="H162" s="243"/>
      <c r="I162" s="606"/>
      <c r="J162" s="172" t="s">
        <v>313</v>
      </c>
      <c r="K162" s="245" t="s">
        <v>2481</v>
      </c>
      <c r="L162" s="141" t="s">
        <v>15</v>
      </c>
      <c r="M162" s="193">
        <v>46042</v>
      </c>
      <c r="N162" s="194" t="s">
        <v>4</v>
      </c>
      <c r="O162" s="141" t="s">
        <v>15</v>
      </c>
      <c r="P162" s="117"/>
      <c r="Q162" s="407">
        <v>46037</v>
      </c>
      <c r="R162" s="40" t="s">
        <v>445</v>
      </c>
      <c r="S162" s="208"/>
      <c r="T162" s="357"/>
      <c r="U162" s="84"/>
      <c r="V162" s="84"/>
      <c r="W162" s="84"/>
      <c r="X162" s="84"/>
      <c r="Y162" s="84"/>
      <c r="Z162" s="84"/>
      <c r="AA162" s="16"/>
      <c r="AB162" s="16"/>
      <c r="AC162" s="16"/>
      <c r="AD162" s="16"/>
      <c r="AE162" s="16"/>
      <c r="AF162" s="16"/>
      <c r="AG162" s="16"/>
    </row>
    <row r="163" spans="1:33" ht="15.75" customHeight="1" x14ac:dyDescent="0.3">
      <c r="A163" s="16"/>
      <c r="B163" s="16"/>
      <c r="C163" s="130">
        <f t="shared" ca="1" si="6"/>
        <v>145</v>
      </c>
      <c r="D163" s="636"/>
      <c r="E163" s="636"/>
      <c r="F163" s="567" t="s">
        <v>459</v>
      </c>
      <c r="G163" s="219" t="s">
        <v>455</v>
      </c>
      <c r="H163" s="243"/>
      <c r="I163" s="608"/>
      <c r="J163" s="172" t="s">
        <v>2482</v>
      </c>
      <c r="K163" s="226" t="s">
        <v>2240</v>
      </c>
      <c r="L163" s="141" t="s">
        <v>15</v>
      </c>
      <c r="M163" s="193">
        <v>46042</v>
      </c>
      <c r="N163" s="194" t="s">
        <v>4</v>
      </c>
      <c r="O163" s="141" t="s">
        <v>158</v>
      </c>
      <c r="P163" s="117" t="s">
        <v>211</v>
      </c>
      <c r="Q163" s="407">
        <v>46037</v>
      </c>
      <c r="R163" s="40" t="s">
        <v>445</v>
      </c>
      <c r="S163" s="208" t="s">
        <v>2483</v>
      </c>
      <c r="T163" s="357"/>
      <c r="U163" s="84"/>
      <c r="V163" s="84"/>
      <c r="W163" s="84"/>
      <c r="X163" s="84"/>
      <c r="Y163" s="84"/>
      <c r="Z163" s="84"/>
      <c r="AA163" s="16"/>
      <c r="AB163" s="16"/>
      <c r="AC163" s="16"/>
      <c r="AD163" s="16"/>
      <c r="AE163" s="16"/>
      <c r="AF163" s="16"/>
      <c r="AG163" s="16"/>
    </row>
    <row r="164" spans="1:33" ht="15.75" customHeight="1" x14ac:dyDescent="0.3">
      <c r="A164" s="16"/>
      <c r="B164" s="16"/>
      <c r="C164" s="130">
        <f t="shared" ca="1" si="6"/>
        <v>146</v>
      </c>
      <c r="D164" s="658" t="s">
        <v>293</v>
      </c>
      <c r="E164" s="242" t="s">
        <v>257</v>
      </c>
      <c r="F164" s="567" t="s">
        <v>457</v>
      </c>
      <c r="G164" s="219" t="s">
        <v>448</v>
      </c>
      <c r="H164" s="243"/>
      <c r="I164" s="172"/>
      <c r="J164" s="172" t="s">
        <v>261</v>
      </c>
      <c r="K164" s="245" t="s">
        <v>2477</v>
      </c>
      <c r="L164" s="141" t="s">
        <v>15</v>
      </c>
      <c r="M164" s="193">
        <v>46042</v>
      </c>
      <c r="N164" s="194" t="s">
        <v>4</v>
      </c>
      <c r="O164" s="141" t="s">
        <v>15</v>
      </c>
      <c r="P164" s="117"/>
      <c r="Q164" s="407">
        <v>46037</v>
      </c>
      <c r="R164" s="40" t="s">
        <v>445</v>
      </c>
      <c r="S164" s="208"/>
      <c r="T164" s="357"/>
      <c r="U164" s="84"/>
      <c r="V164" s="84"/>
      <c r="W164" s="84"/>
      <c r="X164" s="84"/>
      <c r="Y164" s="84"/>
      <c r="Z164" s="84"/>
      <c r="AA164" s="16"/>
      <c r="AB164" s="16"/>
      <c r="AC164" s="16"/>
      <c r="AD164" s="16"/>
      <c r="AE164" s="16"/>
      <c r="AF164" s="16"/>
      <c r="AG164" s="16"/>
    </row>
    <row r="165" spans="1:33" ht="15.75" customHeight="1" x14ac:dyDescent="0.3">
      <c r="A165" s="16"/>
      <c r="B165" s="16"/>
      <c r="C165" s="130">
        <f t="shared" ca="1" si="6"/>
        <v>147</v>
      </c>
      <c r="D165" s="636"/>
      <c r="E165" s="665" t="s">
        <v>237</v>
      </c>
      <c r="F165" s="567" t="s">
        <v>459</v>
      </c>
      <c r="G165" s="219" t="s">
        <v>448</v>
      </c>
      <c r="H165" s="243"/>
      <c r="I165" s="657" t="s">
        <v>364</v>
      </c>
      <c r="J165" s="172" t="s">
        <v>238</v>
      </c>
      <c r="K165" s="245" t="s">
        <v>2478</v>
      </c>
      <c r="L165" s="141" t="s">
        <v>15</v>
      </c>
      <c r="M165" s="193">
        <v>46042</v>
      </c>
      <c r="N165" s="194" t="s">
        <v>4</v>
      </c>
      <c r="O165" s="141" t="s">
        <v>15</v>
      </c>
      <c r="P165" s="117"/>
      <c r="Q165" s="407">
        <v>46037</v>
      </c>
      <c r="R165" s="40" t="s">
        <v>445</v>
      </c>
      <c r="S165" s="208"/>
      <c r="T165" s="357"/>
      <c r="U165" s="84"/>
      <c r="V165" s="84"/>
      <c r="W165" s="84"/>
      <c r="X165" s="84"/>
      <c r="Y165" s="84"/>
      <c r="Z165" s="84"/>
      <c r="AA165" s="16"/>
      <c r="AB165" s="16"/>
      <c r="AC165" s="16"/>
      <c r="AD165" s="16"/>
      <c r="AE165" s="16"/>
      <c r="AF165" s="16"/>
      <c r="AG165" s="16"/>
    </row>
    <row r="166" spans="1:33" ht="15.75" customHeight="1" x14ac:dyDescent="0.3">
      <c r="A166" s="16"/>
      <c r="B166" s="16"/>
      <c r="C166" s="130">
        <f t="shared" ca="1" si="6"/>
        <v>148</v>
      </c>
      <c r="D166" s="636"/>
      <c r="E166" s="636"/>
      <c r="F166" s="567" t="s">
        <v>459</v>
      </c>
      <c r="G166" s="219" t="s">
        <v>455</v>
      </c>
      <c r="H166" s="243"/>
      <c r="I166" s="608"/>
      <c r="J166" s="172" t="s">
        <v>310</v>
      </c>
      <c r="K166" s="226" t="s">
        <v>371</v>
      </c>
      <c r="L166" s="141" t="s">
        <v>15</v>
      </c>
      <c r="M166" s="193">
        <v>46042</v>
      </c>
      <c r="N166" s="194" t="s">
        <v>4</v>
      </c>
      <c r="O166" s="141" t="s">
        <v>158</v>
      </c>
      <c r="P166" s="117" t="s">
        <v>211</v>
      </c>
      <c r="Q166" s="407">
        <v>46037</v>
      </c>
      <c r="R166" s="40" t="s">
        <v>445</v>
      </c>
      <c r="S166" s="208" t="s">
        <v>2484</v>
      </c>
      <c r="T166" s="357"/>
      <c r="U166" s="84"/>
      <c r="V166" s="84"/>
      <c r="W166" s="84"/>
      <c r="X166" s="84"/>
      <c r="Y166" s="84"/>
      <c r="Z166" s="84"/>
      <c r="AA166" s="16"/>
      <c r="AB166" s="16"/>
      <c r="AC166" s="16"/>
      <c r="AD166" s="16"/>
      <c r="AE166" s="16"/>
      <c r="AF166" s="16"/>
      <c r="AG166" s="16"/>
    </row>
    <row r="167" spans="1:33" ht="15.75" customHeight="1" x14ac:dyDescent="0.3">
      <c r="A167" s="16"/>
      <c r="B167" s="16"/>
      <c r="C167" s="130">
        <f t="shared" ca="1" si="6"/>
        <v>149</v>
      </c>
      <c r="D167" s="636"/>
      <c r="E167" s="636"/>
      <c r="F167" s="567" t="s">
        <v>459</v>
      </c>
      <c r="G167" s="219" t="s">
        <v>448</v>
      </c>
      <c r="H167" s="243"/>
      <c r="I167" s="657" t="s">
        <v>372</v>
      </c>
      <c r="J167" s="172" t="s">
        <v>311</v>
      </c>
      <c r="K167" s="245" t="s">
        <v>2480</v>
      </c>
      <c r="L167" s="141" t="s">
        <v>15</v>
      </c>
      <c r="M167" s="193">
        <v>46042</v>
      </c>
      <c r="N167" s="194" t="s">
        <v>4</v>
      </c>
      <c r="O167" s="141" t="s">
        <v>15</v>
      </c>
      <c r="P167" s="117"/>
      <c r="Q167" s="407">
        <v>46037</v>
      </c>
      <c r="R167" s="40" t="s">
        <v>445</v>
      </c>
      <c r="S167" s="208"/>
      <c r="T167" s="357"/>
      <c r="U167" s="84"/>
      <c r="V167" s="84"/>
      <c r="W167" s="84"/>
      <c r="X167" s="84"/>
      <c r="Y167" s="84"/>
      <c r="Z167" s="84"/>
      <c r="AA167" s="16"/>
      <c r="AB167" s="16"/>
      <c r="AC167" s="16"/>
      <c r="AD167" s="16"/>
      <c r="AE167" s="16"/>
      <c r="AF167" s="16"/>
      <c r="AG167" s="16"/>
    </row>
    <row r="168" spans="1:33" ht="15.75" customHeight="1" x14ac:dyDescent="0.3">
      <c r="A168" s="16"/>
      <c r="B168" s="16"/>
      <c r="C168" s="130">
        <f t="shared" ca="1" si="6"/>
        <v>150</v>
      </c>
      <c r="D168" s="636"/>
      <c r="E168" s="636"/>
      <c r="F168" s="567" t="s">
        <v>459</v>
      </c>
      <c r="G168" s="219" t="s">
        <v>448</v>
      </c>
      <c r="H168" s="243"/>
      <c r="I168" s="606"/>
      <c r="J168" s="172" t="s">
        <v>313</v>
      </c>
      <c r="K168" s="245" t="s">
        <v>2481</v>
      </c>
      <c r="L168" s="141" t="s">
        <v>15</v>
      </c>
      <c r="M168" s="193">
        <v>46042</v>
      </c>
      <c r="N168" s="194" t="s">
        <v>4</v>
      </c>
      <c r="O168" s="141" t="s">
        <v>15</v>
      </c>
      <c r="P168" s="117"/>
      <c r="Q168" s="407">
        <v>46037</v>
      </c>
      <c r="R168" s="40" t="s">
        <v>445</v>
      </c>
      <c r="S168" s="208"/>
      <c r="T168" s="357"/>
      <c r="U168" s="84"/>
      <c r="V168" s="84"/>
      <c r="W168" s="84"/>
      <c r="X168" s="84"/>
      <c r="Y168" s="84"/>
      <c r="Z168" s="84"/>
      <c r="AA168" s="16"/>
      <c r="AB168" s="16"/>
      <c r="AC168" s="16"/>
      <c r="AD168" s="16"/>
      <c r="AE168" s="16"/>
      <c r="AF168" s="16"/>
      <c r="AG168" s="16"/>
    </row>
    <row r="169" spans="1:33" ht="15.75" customHeight="1" x14ac:dyDescent="0.3">
      <c r="A169" s="16"/>
      <c r="B169" s="16"/>
      <c r="C169" s="130">
        <f t="shared" ca="1" si="6"/>
        <v>151</v>
      </c>
      <c r="D169" s="636"/>
      <c r="E169" s="636"/>
      <c r="F169" s="567" t="s">
        <v>459</v>
      </c>
      <c r="G169" s="219" t="s">
        <v>455</v>
      </c>
      <c r="H169" s="243"/>
      <c r="I169" s="608"/>
      <c r="J169" s="172" t="s">
        <v>2482</v>
      </c>
      <c r="K169" s="226" t="s">
        <v>2240</v>
      </c>
      <c r="L169" s="141" t="s">
        <v>15</v>
      </c>
      <c r="M169" s="193">
        <v>46042</v>
      </c>
      <c r="N169" s="194" t="s">
        <v>4</v>
      </c>
      <c r="O169" s="141" t="s">
        <v>158</v>
      </c>
      <c r="P169" s="117" t="s">
        <v>211</v>
      </c>
      <c r="Q169" s="407">
        <v>46037</v>
      </c>
      <c r="R169" s="40" t="s">
        <v>445</v>
      </c>
      <c r="S169" s="208" t="s">
        <v>2485</v>
      </c>
      <c r="T169" s="357"/>
      <c r="U169" s="84"/>
      <c r="V169" s="84"/>
      <c r="W169" s="84"/>
      <c r="X169" s="84"/>
      <c r="Y169" s="84"/>
      <c r="Z169" s="84"/>
      <c r="AA169" s="16"/>
      <c r="AB169" s="16"/>
      <c r="AC169" s="16"/>
      <c r="AD169" s="16"/>
      <c r="AE169" s="16"/>
      <c r="AF169" s="16"/>
      <c r="AG169" s="16"/>
    </row>
    <row r="170" spans="1:33" ht="15.75" customHeight="1" x14ac:dyDescent="0.3">
      <c r="A170" s="16"/>
      <c r="B170" s="16"/>
      <c r="C170" s="130">
        <f t="shared" ca="1" si="6"/>
        <v>152</v>
      </c>
      <c r="D170" s="166" t="s">
        <v>294</v>
      </c>
      <c r="E170" s="242" t="s">
        <v>257</v>
      </c>
      <c r="F170" s="567" t="s">
        <v>457</v>
      </c>
      <c r="G170" s="219" t="s">
        <v>448</v>
      </c>
      <c r="H170" s="243"/>
      <c r="I170" s="172"/>
      <c r="J170" s="172" t="s">
        <v>261</v>
      </c>
      <c r="K170" s="245" t="s">
        <v>295</v>
      </c>
      <c r="L170" s="141" t="s">
        <v>15</v>
      </c>
      <c r="M170" s="193">
        <v>46042</v>
      </c>
      <c r="N170" s="194" t="s">
        <v>4</v>
      </c>
      <c r="O170" s="141" t="s">
        <v>15</v>
      </c>
      <c r="P170" s="117"/>
      <c r="Q170" s="407">
        <v>46037</v>
      </c>
      <c r="R170" s="40" t="s">
        <v>445</v>
      </c>
      <c r="S170" s="208"/>
      <c r="T170" s="357"/>
      <c r="U170" s="84"/>
      <c r="V170" s="84"/>
      <c r="W170" s="84"/>
      <c r="X170" s="84"/>
      <c r="Y170" s="84"/>
      <c r="Z170" s="84"/>
      <c r="AA170" s="16"/>
      <c r="AB170" s="16"/>
      <c r="AC170" s="16"/>
      <c r="AD170" s="16"/>
      <c r="AE170" s="16"/>
      <c r="AF170" s="16"/>
      <c r="AG170" s="16"/>
    </row>
    <row r="171" spans="1:33" ht="15.75" customHeight="1" x14ac:dyDescent="0.3">
      <c r="A171" s="16"/>
      <c r="B171" s="16"/>
      <c r="C171" s="130">
        <f t="shared" ca="1" si="6"/>
        <v>153</v>
      </c>
      <c r="D171" s="658" t="s">
        <v>296</v>
      </c>
      <c r="E171" s="242" t="s">
        <v>257</v>
      </c>
      <c r="F171" s="567" t="s">
        <v>457</v>
      </c>
      <c r="G171" s="219" t="s">
        <v>448</v>
      </c>
      <c r="H171" s="243"/>
      <c r="I171" s="172"/>
      <c r="J171" s="172" t="s">
        <v>261</v>
      </c>
      <c r="K171" s="245" t="s">
        <v>2486</v>
      </c>
      <c r="L171" s="141" t="s">
        <v>15</v>
      </c>
      <c r="M171" s="193">
        <v>46042</v>
      </c>
      <c r="N171" s="194" t="s">
        <v>4</v>
      </c>
      <c r="O171" s="141" t="s">
        <v>15</v>
      </c>
      <c r="P171" s="117"/>
      <c r="Q171" s="407">
        <v>46037</v>
      </c>
      <c r="R171" s="40" t="s">
        <v>445</v>
      </c>
      <c r="S171" s="208"/>
      <c r="T171" s="357"/>
      <c r="U171" s="84"/>
      <c r="V171" s="84"/>
      <c r="W171" s="84"/>
      <c r="X171" s="84"/>
      <c r="Y171" s="84"/>
      <c r="Z171" s="84"/>
      <c r="AA171" s="16"/>
      <c r="AB171" s="16"/>
      <c r="AC171" s="16"/>
      <c r="AD171" s="16"/>
      <c r="AE171" s="16"/>
      <c r="AF171" s="16"/>
      <c r="AG171" s="16"/>
    </row>
    <row r="172" spans="1:33" ht="15.75" customHeight="1" x14ac:dyDescent="0.3">
      <c r="A172" s="16"/>
      <c r="B172" s="16"/>
      <c r="C172" s="130">
        <f t="shared" ca="1" si="6"/>
        <v>154</v>
      </c>
      <c r="D172" s="636"/>
      <c r="E172" s="665" t="s">
        <v>237</v>
      </c>
      <c r="F172" s="567" t="s">
        <v>459</v>
      </c>
      <c r="G172" s="219" t="s">
        <v>448</v>
      </c>
      <c r="H172" s="243"/>
      <c r="I172" s="657" t="s">
        <v>364</v>
      </c>
      <c r="J172" s="172" t="s">
        <v>238</v>
      </c>
      <c r="K172" s="245" t="s">
        <v>2487</v>
      </c>
      <c r="L172" s="141" t="s">
        <v>15</v>
      </c>
      <c r="M172" s="193">
        <v>46042</v>
      </c>
      <c r="N172" s="194" t="s">
        <v>4</v>
      </c>
      <c r="O172" s="141" t="s">
        <v>15</v>
      </c>
      <c r="P172" s="117"/>
      <c r="Q172" s="407">
        <v>46037</v>
      </c>
      <c r="R172" s="40" t="s">
        <v>445</v>
      </c>
      <c r="S172" s="208"/>
      <c r="T172" s="357"/>
      <c r="U172" s="84"/>
      <c r="V172" s="84"/>
      <c r="W172" s="84"/>
      <c r="X172" s="84"/>
      <c r="Y172" s="84"/>
      <c r="Z172" s="84"/>
      <c r="AA172" s="297"/>
      <c r="AB172" s="297"/>
      <c r="AC172" s="297"/>
      <c r="AD172" s="297"/>
      <c r="AE172" s="297"/>
      <c r="AF172" s="297"/>
      <c r="AG172" s="297"/>
    </row>
    <row r="173" spans="1:33" ht="15.75" customHeight="1" x14ac:dyDescent="0.3">
      <c r="A173" s="16"/>
      <c r="B173" s="16"/>
      <c r="C173" s="130">
        <f t="shared" ca="1" si="6"/>
        <v>155</v>
      </c>
      <c r="D173" s="636"/>
      <c r="E173" s="636"/>
      <c r="F173" s="567" t="s">
        <v>459</v>
      </c>
      <c r="G173" s="219" t="s">
        <v>455</v>
      </c>
      <c r="H173" s="243"/>
      <c r="I173" s="608"/>
      <c r="J173" s="172" t="s">
        <v>310</v>
      </c>
      <c r="K173" s="226" t="s">
        <v>371</v>
      </c>
      <c r="L173" s="141" t="s">
        <v>15</v>
      </c>
      <c r="M173" s="193">
        <v>46042</v>
      </c>
      <c r="N173" s="194" t="s">
        <v>4</v>
      </c>
      <c r="O173" s="141" t="s">
        <v>158</v>
      </c>
      <c r="P173" s="117" t="s">
        <v>211</v>
      </c>
      <c r="Q173" s="407">
        <v>46037</v>
      </c>
      <c r="R173" s="40" t="s">
        <v>445</v>
      </c>
      <c r="S173" s="208" t="s">
        <v>2488</v>
      </c>
      <c r="T173" s="357"/>
      <c r="U173" s="84"/>
      <c r="V173" s="84"/>
      <c r="W173" s="84"/>
      <c r="X173" s="84"/>
      <c r="Y173" s="84"/>
      <c r="Z173" s="84"/>
      <c r="AA173" s="16"/>
      <c r="AB173" s="16"/>
      <c r="AC173" s="16"/>
      <c r="AD173" s="16"/>
      <c r="AE173" s="16"/>
      <c r="AF173" s="16"/>
      <c r="AG173" s="16"/>
    </row>
    <row r="174" spans="1:33" ht="15.75" customHeight="1" x14ac:dyDescent="0.3">
      <c r="A174" s="16"/>
      <c r="B174" s="16"/>
      <c r="C174" s="130">
        <f t="shared" ca="1" si="6"/>
        <v>156</v>
      </c>
      <c r="D174" s="636"/>
      <c r="E174" s="636"/>
      <c r="F174" s="567" t="s">
        <v>459</v>
      </c>
      <c r="G174" s="219" t="s">
        <v>448</v>
      </c>
      <c r="H174" s="243"/>
      <c r="I174" s="657" t="s">
        <v>372</v>
      </c>
      <c r="J174" s="172" t="s">
        <v>311</v>
      </c>
      <c r="K174" s="245" t="s">
        <v>2489</v>
      </c>
      <c r="L174" s="141" t="s">
        <v>15</v>
      </c>
      <c r="M174" s="193">
        <v>46042</v>
      </c>
      <c r="N174" s="194" t="s">
        <v>4</v>
      </c>
      <c r="O174" s="141" t="s">
        <v>15</v>
      </c>
      <c r="P174" s="117"/>
      <c r="Q174" s="407">
        <v>46037</v>
      </c>
      <c r="R174" s="40" t="s">
        <v>445</v>
      </c>
      <c r="S174" s="208"/>
      <c r="T174" s="357"/>
      <c r="U174" s="84"/>
      <c r="V174" s="84"/>
      <c r="W174" s="84"/>
      <c r="X174" s="84"/>
      <c r="Y174" s="84"/>
      <c r="Z174" s="84"/>
      <c r="AA174" s="16"/>
      <c r="AB174" s="16"/>
      <c r="AC174" s="16"/>
      <c r="AD174" s="16"/>
      <c r="AE174" s="16"/>
      <c r="AF174" s="16"/>
      <c r="AG174" s="16"/>
    </row>
    <row r="175" spans="1:33" ht="15.75" customHeight="1" x14ac:dyDescent="0.3">
      <c r="A175" s="16"/>
      <c r="B175" s="16"/>
      <c r="C175" s="130">
        <f t="shared" ca="1" si="6"/>
        <v>157</v>
      </c>
      <c r="D175" s="636"/>
      <c r="E175" s="636"/>
      <c r="F175" s="567" t="s">
        <v>459</v>
      </c>
      <c r="G175" s="219" t="s">
        <v>448</v>
      </c>
      <c r="H175" s="243"/>
      <c r="I175" s="606"/>
      <c r="J175" s="172" t="s">
        <v>313</v>
      </c>
      <c r="K175" s="245" t="s">
        <v>2490</v>
      </c>
      <c r="L175" s="141" t="s">
        <v>15</v>
      </c>
      <c r="M175" s="193">
        <v>46042</v>
      </c>
      <c r="N175" s="194" t="s">
        <v>4</v>
      </c>
      <c r="O175" s="141" t="s">
        <v>15</v>
      </c>
      <c r="P175" s="117"/>
      <c r="Q175" s="407">
        <v>46037</v>
      </c>
      <c r="R175" s="40" t="s">
        <v>445</v>
      </c>
      <c r="S175" s="208"/>
      <c r="T175" s="357"/>
      <c r="U175" s="84"/>
      <c r="V175" s="84"/>
      <c r="W175" s="84"/>
      <c r="X175" s="84"/>
      <c r="Y175" s="84"/>
      <c r="Z175" s="84"/>
      <c r="AA175" s="16"/>
      <c r="AB175" s="16"/>
      <c r="AC175" s="16"/>
      <c r="AD175" s="16"/>
      <c r="AE175" s="16"/>
      <c r="AF175" s="16"/>
      <c r="AG175" s="16"/>
    </row>
    <row r="176" spans="1:33" ht="15.75" customHeight="1" x14ac:dyDescent="0.3">
      <c r="A176" s="16"/>
      <c r="B176" s="16"/>
      <c r="C176" s="130">
        <f t="shared" ca="1" si="6"/>
        <v>158</v>
      </c>
      <c r="D176" s="636"/>
      <c r="E176" s="636"/>
      <c r="F176" s="567" t="s">
        <v>459</v>
      </c>
      <c r="G176" s="219" t="s">
        <v>455</v>
      </c>
      <c r="H176" s="243"/>
      <c r="I176" s="608"/>
      <c r="J176" s="172" t="s">
        <v>2491</v>
      </c>
      <c r="K176" s="226" t="s">
        <v>2240</v>
      </c>
      <c r="L176" s="141" t="s">
        <v>15</v>
      </c>
      <c r="M176" s="193">
        <v>46042</v>
      </c>
      <c r="N176" s="194" t="s">
        <v>4</v>
      </c>
      <c r="O176" s="141" t="s">
        <v>158</v>
      </c>
      <c r="P176" s="117" t="s">
        <v>211</v>
      </c>
      <c r="Q176" s="407">
        <v>46037</v>
      </c>
      <c r="R176" s="40" t="s">
        <v>445</v>
      </c>
      <c r="S176" s="208" t="s">
        <v>2492</v>
      </c>
      <c r="T176" s="357"/>
      <c r="U176" s="84"/>
      <c r="V176" s="84"/>
      <c r="W176" s="84"/>
      <c r="X176" s="84"/>
      <c r="Y176" s="84"/>
      <c r="Z176" s="84"/>
      <c r="AA176" s="16"/>
      <c r="AB176" s="16"/>
      <c r="AC176" s="16"/>
      <c r="AD176" s="16"/>
      <c r="AE176" s="16"/>
      <c r="AF176" s="16"/>
      <c r="AG176" s="16"/>
    </row>
    <row r="177" spans="1:33" ht="15.75" customHeight="1" x14ac:dyDescent="0.3">
      <c r="A177" s="16"/>
      <c r="B177" s="16"/>
      <c r="C177" s="130">
        <f t="shared" ca="1" si="6"/>
        <v>159</v>
      </c>
      <c r="D177" s="658" t="s">
        <v>297</v>
      </c>
      <c r="E177" s="242" t="s">
        <v>257</v>
      </c>
      <c r="F177" s="567" t="s">
        <v>457</v>
      </c>
      <c r="G177" s="219" t="s">
        <v>448</v>
      </c>
      <c r="H177" s="243"/>
      <c r="I177" s="172"/>
      <c r="J177" s="172" t="s">
        <v>261</v>
      </c>
      <c r="K177" s="245" t="s">
        <v>2493</v>
      </c>
      <c r="L177" s="141" t="s">
        <v>15</v>
      </c>
      <c r="M177" s="193">
        <v>46042</v>
      </c>
      <c r="N177" s="194" t="s">
        <v>4</v>
      </c>
      <c r="O177" s="141" t="s">
        <v>15</v>
      </c>
      <c r="P177" s="117"/>
      <c r="Q177" s="407">
        <v>46037</v>
      </c>
      <c r="R177" s="40" t="s">
        <v>445</v>
      </c>
      <c r="S177" s="208"/>
      <c r="T177" s="357"/>
      <c r="U177" s="84"/>
      <c r="V177" s="84"/>
      <c r="W177" s="84"/>
      <c r="X177" s="84"/>
      <c r="Y177" s="84"/>
      <c r="Z177" s="84"/>
      <c r="AA177" s="16"/>
      <c r="AB177" s="16"/>
      <c r="AC177" s="16"/>
      <c r="AD177" s="16"/>
      <c r="AE177" s="16"/>
      <c r="AF177" s="16"/>
      <c r="AG177" s="16"/>
    </row>
    <row r="178" spans="1:33" ht="15.75" customHeight="1" x14ac:dyDescent="0.3">
      <c r="A178" s="16"/>
      <c r="B178" s="16"/>
      <c r="C178" s="130">
        <f t="shared" ca="1" si="6"/>
        <v>160</v>
      </c>
      <c r="D178" s="636"/>
      <c r="E178" s="665" t="s">
        <v>237</v>
      </c>
      <c r="F178" s="567" t="s">
        <v>459</v>
      </c>
      <c r="G178" s="219" t="s">
        <v>448</v>
      </c>
      <c r="H178" s="243"/>
      <c r="I178" s="657" t="s">
        <v>364</v>
      </c>
      <c r="J178" s="172" t="s">
        <v>238</v>
      </c>
      <c r="K178" s="245" t="s">
        <v>2494</v>
      </c>
      <c r="L178" s="141" t="s">
        <v>15</v>
      </c>
      <c r="M178" s="193">
        <v>46042</v>
      </c>
      <c r="N178" s="194" t="s">
        <v>4</v>
      </c>
      <c r="O178" s="141" t="s">
        <v>15</v>
      </c>
      <c r="P178" s="117"/>
      <c r="Q178" s="407">
        <v>46037</v>
      </c>
      <c r="R178" s="40" t="s">
        <v>445</v>
      </c>
      <c r="S178" s="208"/>
      <c r="T178" s="357"/>
      <c r="U178" s="84"/>
      <c r="V178" s="84"/>
      <c r="W178" s="84"/>
      <c r="X178" s="84"/>
      <c r="Y178" s="84"/>
      <c r="Z178" s="84"/>
      <c r="AA178" s="16"/>
      <c r="AB178" s="16"/>
      <c r="AC178" s="16"/>
      <c r="AD178" s="16"/>
      <c r="AE178" s="16"/>
      <c r="AF178" s="16"/>
      <c r="AG178" s="16"/>
    </row>
    <row r="179" spans="1:33" ht="15.75" customHeight="1" x14ac:dyDescent="0.3">
      <c r="A179" s="16"/>
      <c r="B179" s="16"/>
      <c r="C179" s="130">
        <f t="shared" ca="1" si="6"/>
        <v>161</v>
      </c>
      <c r="D179" s="636"/>
      <c r="E179" s="636"/>
      <c r="F179" s="567" t="s">
        <v>459</v>
      </c>
      <c r="G179" s="219" t="s">
        <v>455</v>
      </c>
      <c r="H179" s="243"/>
      <c r="I179" s="608"/>
      <c r="J179" s="172" t="s">
        <v>310</v>
      </c>
      <c r="K179" s="226" t="s">
        <v>371</v>
      </c>
      <c r="L179" s="141" t="s">
        <v>15</v>
      </c>
      <c r="M179" s="193">
        <v>46042</v>
      </c>
      <c r="N179" s="194" t="s">
        <v>4</v>
      </c>
      <c r="O179" s="141" t="s">
        <v>158</v>
      </c>
      <c r="P179" s="117" t="s">
        <v>211</v>
      </c>
      <c r="Q179" s="407">
        <v>46037</v>
      </c>
      <c r="R179" s="40" t="s">
        <v>445</v>
      </c>
      <c r="S179" s="208" t="s">
        <v>2495</v>
      </c>
      <c r="T179" s="357"/>
      <c r="U179" s="84"/>
      <c r="V179" s="84"/>
      <c r="W179" s="84"/>
      <c r="X179" s="84"/>
      <c r="Y179" s="84"/>
      <c r="Z179" s="84"/>
      <c r="AA179" s="16"/>
      <c r="AB179" s="16"/>
      <c r="AC179" s="16"/>
      <c r="AD179" s="16"/>
      <c r="AE179" s="16"/>
      <c r="AF179" s="16"/>
      <c r="AG179" s="16"/>
    </row>
    <row r="180" spans="1:33" ht="15.75" customHeight="1" x14ac:dyDescent="0.3">
      <c r="A180" s="16"/>
      <c r="B180" s="16"/>
      <c r="C180" s="130">
        <f t="shared" ca="1" si="6"/>
        <v>162</v>
      </c>
      <c r="D180" s="636"/>
      <c r="E180" s="636"/>
      <c r="F180" s="567" t="s">
        <v>459</v>
      </c>
      <c r="G180" s="219" t="s">
        <v>448</v>
      </c>
      <c r="H180" s="243"/>
      <c r="I180" s="657" t="s">
        <v>372</v>
      </c>
      <c r="J180" s="172" t="s">
        <v>311</v>
      </c>
      <c r="K180" s="245" t="s">
        <v>2496</v>
      </c>
      <c r="L180" s="141" t="s">
        <v>15</v>
      </c>
      <c r="M180" s="193">
        <v>46042</v>
      </c>
      <c r="N180" s="194" t="s">
        <v>4</v>
      </c>
      <c r="O180" s="141" t="s">
        <v>15</v>
      </c>
      <c r="P180" s="117"/>
      <c r="Q180" s="407">
        <v>46037</v>
      </c>
      <c r="R180" s="40" t="s">
        <v>445</v>
      </c>
      <c r="S180" s="208"/>
      <c r="T180" s="357"/>
      <c r="U180" s="84"/>
      <c r="V180" s="84"/>
      <c r="W180" s="84"/>
      <c r="X180" s="84"/>
      <c r="Y180" s="84"/>
      <c r="Z180" s="84"/>
      <c r="AA180" s="16"/>
      <c r="AB180" s="16"/>
      <c r="AC180" s="16"/>
      <c r="AD180" s="16"/>
      <c r="AE180" s="16"/>
      <c r="AF180" s="16"/>
      <c r="AG180" s="16"/>
    </row>
    <row r="181" spans="1:33" ht="15.75" customHeight="1" x14ac:dyDescent="0.3">
      <c r="A181" s="16"/>
      <c r="B181" s="16"/>
      <c r="C181" s="130">
        <f t="shared" ca="1" si="6"/>
        <v>163</v>
      </c>
      <c r="D181" s="636"/>
      <c r="E181" s="636"/>
      <c r="F181" s="567" t="s">
        <v>459</v>
      </c>
      <c r="G181" s="219" t="s">
        <v>448</v>
      </c>
      <c r="H181" s="243"/>
      <c r="I181" s="606"/>
      <c r="J181" s="172" t="s">
        <v>313</v>
      </c>
      <c r="K181" s="245" t="s">
        <v>2497</v>
      </c>
      <c r="L181" s="141" t="s">
        <v>15</v>
      </c>
      <c r="M181" s="193">
        <v>46042</v>
      </c>
      <c r="N181" s="194" t="s">
        <v>4</v>
      </c>
      <c r="O181" s="141" t="s">
        <v>15</v>
      </c>
      <c r="P181" s="117"/>
      <c r="Q181" s="407">
        <v>46037</v>
      </c>
      <c r="R181" s="40" t="s">
        <v>445</v>
      </c>
      <c r="S181" s="208"/>
      <c r="T181" s="357"/>
      <c r="U181" s="84"/>
      <c r="V181" s="84"/>
      <c r="W181" s="84"/>
      <c r="X181" s="84"/>
      <c r="Y181" s="84"/>
      <c r="Z181" s="84"/>
      <c r="AA181" s="16"/>
      <c r="AB181" s="16"/>
      <c r="AC181" s="16"/>
      <c r="AD181" s="16"/>
      <c r="AE181" s="16"/>
      <c r="AF181" s="16"/>
      <c r="AG181" s="16"/>
    </row>
    <row r="182" spans="1:33" ht="15.75" customHeight="1" x14ac:dyDescent="0.3">
      <c r="A182" s="16"/>
      <c r="B182" s="16"/>
      <c r="C182" s="130">
        <f t="shared" ca="1" si="6"/>
        <v>164</v>
      </c>
      <c r="D182" s="636"/>
      <c r="E182" s="636"/>
      <c r="F182" s="567" t="s">
        <v>459</v>
      </c>
      <c r="G182" s="219" t="s">
        <v>455</v>
      </c>
      <c r="H182" s="243"/>
      <c r="I182" s="608"/>
      <c r="J182" s="172" t="s">
        <v>2498</v>
      </c>
      <c r="K182" s="226" t="s">
        <v>2240</v>
      </c>
      <c r="L182" s="141" t="s">
        <v>15</v>
      </c>
      <c r="M182" s="193">
        <v>46042</v>
      </c>
      <c r="N182" s="194" t="s">
        <v>4</v>
      </c>
      <c r="O182" s="141" t="s">
        <v>158</v>
      </c>
      <c r="P182" s="117" t="s">
        <v>211</v>
      </c>
      <c r="Q182" s="407">
        <v>46037</v>
      </c>
      <c r="R182" s="40" t="s">
        <v>445</v>
      </c>
      <c r="S182" s="208" t="s">
        <v>2499</v>
      </c>
      <c r="T182" s="357"/>
      <c r="U182" s="84"/>
      <c r="V182" s="84"/>
      <c r="W182" s="84"/>
      <c r="X182" s="84"/>
      <c r="Y182" s="84"/>
      <c r="Z182" s="84"/>
      <c r="AA182" s="16"/>
      <c r="AB182" s="16"/>
      <c r="AC182" s="16"/>
      <c r="AD182" s="16"/>
      <c r="AE182" s="16"/>
      <c r="AF182" s="16"/>
      <c r="AG182" s="16"/>
    </row>
    <row r="183" spans="1:33" ht="15.75" customHeight="1" x14ac:dyDescent="0.3">
      <c r="A183" s="16"/>
      <c r="B183" s="16"/>
      <c r="C183" s="130">
        <f t="shared" ca="1" si="6"/>
        <v>165</v>
      </c>
      <c r="D183" s="658" t="s">
        <v>298</v>
      </c>
      <c r="E183" s="242" t="s">
        <v>257</v>
      </c>
      <c r="F183" s="567" t="s">
        <v>457</v>
      </c>
      <c r="G183" s="219" t="s">
        <v>448</v>
      </c>
      <c r="H183" s="243"/>
      <c r="I183" s="172"/>
      <c r="J183" s="172" t="s">
        <v>261</v>
      </c>
      <c r="K183" s="245" t="s">
        <v>2500</v>
      </c>
      <c r="L183" s="141" t="s">
        <v>15</v>
      </c>
      <c r="M183" s="193">
        <v>46042</v>
      </c>
      <c r="N183" s="194" t="s">
        <v>4</v>
      </c>
      <c r="O183" s="141" t="s">
        <v>15</v>
      </c>
      <c r="P183" s="117"/>
      <c r="Q183" s="407">
        <v>46037</v>
      </c>
      <c r="R183" s="40" t="s">
        <v>445</v>
      </c>
      <c r="S183" s="208"/>
      <c r="T183" s="357"/>
      <c r="U183" s="84"/>
      <c r="V183" s="84"/>
      <c r="W183" s="84"/>
      <c r="X183" s="84"/>
      <c r="Y183" s="84"/>
      <c r="Z183" s="84"/>
      <c r="AA183" s="16"/>
      <c r="AB183" s="16"/>
      <c r="AC183" s="16"/>
      <c r="AD183" s="16"/>
      <c r="AE183" s="16"/>
      <c r="AF183" s="16"/>
      <c r="AG183" s="16"/>
    </row>
    <row r="184" spans="1:33" ht="15.75" customHeight="1" x14ac:dyDescent="0.3">
      <c r="A184" s="16"/>
      <c r="B184" s="16"/>
      <c r="C184" s="130">
        <f t="shared" ca="1" si="6"/>
        <v>166</v>
      </c>
      <c r="D184" s="636"/>
      <c r="E184" s="665" t="s">
        <v>237</v>
      </c>
      <c r="F184" s="567" t="s">
        <v>459</v>
      </c>
      <c r="G184" s="219" t="s">
        <v>448</v>
      </c>
      <c r="H184" s="243"/>
      <c r="I184" s="657" t="s">
        <v>364</v>
      </c>
      <c r="J184" s="172" t="s">
        <v>238</v>
      </c>
      <c r="K184" s="245" t="s">
        <v>2501</v>
      </c>
      <c r="L184" s="141" t="s">
        <v>15</v>
      </c>
      <c r="M184" s="193">
        <v>46042</v>
      </c>
      <c r="N184" s="194" t="s">
        <v>4</v>
      </c>
      <c r="O184" s="141" t="s">
        <v>15</v>
      </c>
      <c r="P184" s="117"/>
      <c r="Q184" s="407">
        <v>46037</v>
      </c>
      <c r="R184" s="40" t="s">
        <v>445</v>
      </c>
      <c r="S184" s="208"/>
      <c r="T184" s="357"/>
      <c r="U184" s="84"/>
      <c r="V184" s="84"/>
      <c r="W184" s="84"/>
      <c r="X184" s="84"/>
      <c r="Y184" s="84"/>
      <c r="Z184" s="84"/>
      <c r="AA184" s="16"/>
      <c r="AB184" s="16"/>
      <c r="AC184" s="16"/>
      <c r="AD184" s="16"/>
      <c r="AE184" s="16"/>
      <c r="AF184" s="16"/>
      <c r="AG184" s="16"/>
    </row>
    <row r="185" spans="1:33" ht="15.75" customHeight="1" x14ac:dyDescent="0.3">
      <c r="A185" s="16"/>
      <c r="B185" s="16"/>
      <c r="C185" s="130">
        <f t="shared" ca="1" si="6"/>
        <v>167</v>
      </c>
      <c r="D185" s="636"/>
      <c r="E185" s="636"/>
      <c r="F185" s="567" t="s">
        <v>459</v>
      </c>
      <c r="G185" s="219" t="s">
        <v>455</v>
      </c>
      <c r="H185" s="243"/>
      <c r="I185" s="608"/>
      <c r="J185" s="172" t="s">
        <v>310</v>
      </c>
      <c r="K185" s="226" t="s">
        <v>371</v>
      </c>
      <c r="L185" s="141" t="s">
        <v>15</v>
      </c>
      <c r="M185" s="193">
        <v>46042</v>
      </c>
      <c r="N185" s="194" t="s">
        <v>4</v>
      </c>
      <c r="O185" s="141" t="s">
        <v>158</v>
      </c>
      <c r="P185" s="117" t="s">
        <v>211</v>
      </c>
      <c r="Q185" s="407">
        <v>46037</v>
      </c>
      <c r="R185" s="40" t="s">
        <v>445</v>
      </c>
      <c r="S185" s="208" t="s">
        <v>2502</v>
      </c>
      <c r="T185" s="357"/>
      <c r="U185" s="84"/>
      <c r="V185" s="84"/>
      <c r="W185" s="84"/>
      <c r="X185" s="84"/>
      <c r="Y185" s="84"/>
      <c r="Z185" s="84"/>
      <c r="AA185" s="16"/>
      <c r="AB185" s="16"/>
      <c r="AC185" s="16"/>
      <c r="AD185" s="16"/>
      <c r="AE185" s="16"/>
      <c r="AF185" s="16"/>
      <c r="AG185" s="16"/>
    </row>
    <row r="186" spans="1:33" ht="15.75" customHeight="1" x14ac:dyDescent="0.3">
      <c r="A186" s="16"/>
      <c r="B186" s="16"/>
      <c r="C186" s="130">
        <f t="shared" ca="1" si="6"/>
        <v>168</v>
      </c>
      <c r="D186" s="636"/>
      <c r="E186" s="636"/>
      <c r="F186" s="567" t="s">
        <v>459</v>
      </c>
      <c r="G186" s="219" t="s">
        <v>448</v>
      </c>
      <c r="H186" s="243"/>
      <c r="I186" s="657" t="s">
        <v>372</v>
      </c>
      <c r="J186" s="172" t="s">
        <v>311</v>
      </c>
      <c r="K186" s="245" t="s">
        <v>2503</v>
      </c>
      <c r="L186" s="141" t="s">
        <v>15</v>
      </c>
      <c r="M186" s="193">
        <v>46042</v>
      </c>
      <c r="N186" s="194" t="s">
        <v>4</v>
      </c>
      <c r="O186" s="141" t="s">
        <v>15</v>
      </c>
      <c r="P186" s="117"/>
      <c r="Q186" s="407">
        <v>46037</v>
      </c>
      <c r="R186" s="40" t="s">
        <v>445</v>
      </c>
      <c r="S186" s="208"/>
      <c r="T186" s="357"/>
      <c r="U186" s="84"/>
      <c r="V186" s="84"/>
      <c r="W186" s="84"/>
      <c r="X186" s="84"/>
      <c r="Y186" s="84"/>
      <c r="Z186" s="84"/>
      <c r="AA186" s="16"/>
      <c r="AB186" s="16"/>
      <c r="AC186" s="16"/>
      <c r="AD186" s="16"/>
      <c r="AE186" s="16"/>
      <c r="AF186" s="16"/>
      <c r="AG186" s="16"/>
    </row>
    <row r="187" spans="1:33" ht="15.75" customHeight="1" x14ac:dyDescent="0.3">
      <c r="A187" s="16"/>
      <c r="B187" s="16"/>
      <c r="C187" s="130">
        <f t="shared" ca="1" si="6"/>
        <v>169</v>
      </c>
      <c r="D187" s="636"/>
      <c r="E187" s="636"/>
      <c r="F187" s="567" t="s">
        <v>459</v>
      </c>
      <c r="G187" s="219" t="s">
        <v>448</v>
      </c>
      <c r="H187" s="243"/>
      <c r="I187" s="606"/>
      <c r="J187" s="172" t="s">
        <v>313</v>
      </c>
      <c r="K187" s="245" t="s">
        <v>2504</v>
      </c>
      <c r="L187" s="141" t="s">
        <v>15</v>
      </c>
      <c r="M187" s="193">
        <v>46042</v>
      </c>
      <c r="N187" s="194" t="s">
        <v>4</v>
      </c>
      <c r="O187" s="141" t="s">
        <v>15</v>
      </c>
      <c r="P187" s="117"/>
      <c r="Q187" s="407">
        <v>46037</v>
      </c>
      <c r="R187" s="40" t="s">
        <v>445</v>
      </c>
      <c r="S187" s="208"/>
      <c r="T187" s="357"/>
      <c r="U187" s="84"/>
      <c r="V187" s="84"/>
      <c r="W187" s="84"/>
      <c r="X187" s="84"/>
      <c r="Y187" s="84"/>
      <c r="Z187" s="84"/>
      <c r="AA187" s="16"/>
      <c r="AB187" s="16"/>
      <c r="AC187" s="16"/>
      <c r="AD187" s="16"/>
      <c r="AE187" s="16"/>
      <c r="AF187" s="16"/>
      <c r="AG187" s="16"/>
    </row>
    <row r="188" spans="1:33" ht="15.75" customHeight="1" x14ac:dyDescent="0.3">
      <c r="A188" s="16"/>
      <c r="B188" s="16"/>
      <c r="C188" s="130">
        <f t="shared" ca="1" si="6"/>
        <v>170</v>
      </c>
      <c r="D188" s="636"/>
      <c r="E188" s="636"/>
      <c r="F188" s="567" t="s">
        <v>459</v>
      </c>
      <c r="G188" s="219" t="s">
        <v>455</v>
      </c>
      <c r="H188" s="243"/>
      <c r="I188" s="608"/>
      <c r="J188" s="172" t="s">
        <v>2505</v>
      </c>
      <c r="K188" s="226" t="s">
        <v>2240</v>
      </c>
      <c r="L188" s="141" t="s">
        <v>15</v>
      </c>
      <c r="M188" s="193">
        <v>46042</v>
      </c>
      <c r="N188" s="194" t="s">
        <v>4</v>
      </c>
      <c r="O188" s="141" t="s">
        <v>158</v>
      </c>
      <c r="P188" s="117" t="s">
        <v>211</v>
      </c>
      <c r="Q188" s="407">
        <v>46037</v>
      </c>
      <c r="R188" s="40" t="s">
        <v>445</v>
      </c>
      <c r="S188" s="208" t="s">
        <v>2506</v>
      </c>
      <c r="T188" s="357"/>
      <c r="U188" s="84"/>
      <c r="V188" s="84"/>
      <c r="W188" s="84"/>
      <c r="X188" s="84"/>
      <c r="Y188" s="84"/>
      <c r="Z188" s="84"/>
      <c r="AA188" s="16"/>
      <c r="AB188" s="16"/>
      <c r="AC188" s="16"/>
      <c r="AD188" s="16"/>
      <c r="AE188" s="16"/>
      <c r="AF188" s="16"/>
      <c r="AG188" s="16"/>
    </row>
    <row r="189" spans="1:33" ht="15.75" customHeight="1" x14ac:dyDescent="0.3">
      <c r="A189" s="16"/>
      <c r="B189" s="16"/>
      <c r="C189" s="130">
        <f t="shared" ca="1" si="6"/>
        <v>171</v>
      </c>
      <c r="D189" s="658" t="s">
        <v>299</v>
      </c>
      <c r="E189" s="242" t="s">
        <v>257</v>
      </c>
      <c r="F189" s="567" t="s">
        <v>457</v>
      </c>
      <c r="G189" s="219" t="s">
        <v>448</v>
      </c>
      <c r="H189" s="243"/>
      <c r="I189" s="172"/>
      <c r="J189" s="172" t="s">
        <v>261</v>
      </c>
      <c r="K189" s="245" t="s">
        <v>2507</v>
      </c>
      <c r="L189" s="141" t="s">
        <v>15</v>
      </c>
      <c r="M189" s="193">
        <v>46042</v>
      </c>
      <c r="N189" s="194" t="s">
        <v>4</v>
      </c>
      <c r="O189" s="141" t="s">
        <v>15</v>
      </c>
      <c r="P189" s="117"/>
      <c r="Q189" s="407">
        <v>46037</v>
      </c>
      <c r="R189" s="40" t="s">
        <v>445</v>
      </c>
      <c r="S189" s="208"/>
      <c r="T189" s="357"/>
      <c r="U189" s="84"/>
      <c r="V189" s="84"/>
      <c r="W189" s="84"/>
      <c r="X189" s="84"/>
      <c r="Y189" s="84"/>
      <c r="Z189" s="84"/>
      <c r="AA189" s="16"/>
      <c r="AB189" s="16"/>
      <c r="AC189" s="16"/>
      <c r="AD189" s="16"/>
      <c r="AE189" s="16"/>
      <c r="AF189" s="16"/>
      <c r="AG189" s="16"/>
    </row>
    <row r="190" spans="1:33" ht="15.75" customHeight="1" x14ac:dyDescent="0.3">
      <c r="A190" s="16"/>
      <c r="B190" s="16"/>
      <c r="C190" s="130">
        <f t="shared" ca="1" si="6"/>
        <v>172</v>
      </c>
      <c r="D190" s="636"/>
      <c r="E190" s="665" t="s">
        <v>237</v>
      </c>
      <c r="F190" s="567" t="s">
        <v>459</v>
      </c>
      <c r="G190" s="219" t="s">
        <v>448</v>
      </c>
      <c r="H190" s="243"/>
      <c r="I190" s="657" t="s">
        <v>364</v>
      </c>
      <c r="J190" s="172" t="s">
        <v>238</v>
      </c>
      <c r="K190" s="245" t="s">
        <v>2508</v>
      </c>
      <c r="L190" s="141" t="s">
        <v>15</v>
      </c>
      <c r="M190" s="193">
        <v>46042</v>
      </c>
      <c r="N190" s="194" t="s">
        <v>4</v>
      </c>
      <c r="O190" s="141" t="s">
        <v>15</v>
      </c>
      <c r="P190" s="117"/>
      <c r="Q190" s="407">
        <v>46037</v>
      </c>
      <c r="R190" s="40" t="s">
        <v>445</v>
      </c>
      <c r="S190" s="208"/>
      <c r="T190" s="357"/>
      <c r="U190" s="84"/>
      <c r="V190" s="84"/>
      <c r="W190" s="84"/>
      <c r="X190" s="84"/>
      <c r="Y190" s="84"/>
      <c r="Z190" s="84"/>
      <c r="AA190" s="16"/>
      <c r="AB190" s="16"/>
      <c r="AC190" s="16"/>
      <c r="AD190" s="16"/>
      <c r="AE190" s="16"/>
      <c r="AF190" s="16"/>
      <c r="AG190" s="16"/>
    </row>
    <row r="191" spans="1:33" ht="15.75" customHeight="1" x14ac:dyDescent="0.3">
      <c r="A191" s="16"/>
      <c r="B191" s="16"/>
      <c r="C191" s="130">
        <f t="shared" ca="1" si="6"/>
        <v>173</v>
      </c>
      <c r="D191" s="636"/>
      <c r="E191" s="636"/>
      <c r="F191" s="567" t="s">
        <v>459</v>
      </c>
      <c r="G191" s="219" t="s">
        <v>455</v>
      </c>
      <c r="H191" s="243"/>
      <c r="I191" s="608"/>
      <c r="J191" s="172" t="s">
        <v>310</v>
      </c>
      <c r="K191" s="226" t="s">
        <v>371</v>
      </c>
      <c r="L191" s="141" t="s">
        <v>15</v>
      </c>
      <c r="M191" s="193">
        <v>46042</v>
      </c>
      <c r="N191" s="194" t="s">
        <v>4</v>
      </c>
      <c r="O191" s="141" t="s">
        <v>158</v>
      </c>
      <c r="P191" s="117" t="s">
        <v>211</v>
      </c>
      <c r="Q191" s="407">
        <v>46037</v>
      </c>
      <c r="R191" s="40" t="s">
        <v>445</v>
      </c>
      <c r="S191" s="208" t="s">
        <v>2509</v>
      </c>
      <c r="T191" s="357"/>
      <c r="U191" s="84"/>
      <c r="V191" s="84"/>
      <c r="W191" s="84"/>
      <c r="X191" s="84"/>
      <c r="Y191" s="84"/>
      <c r="Z191" s="84"/>
      <c r="AA191" s="16"/>
      <c r="AB191" s="16"/>
      <c r="AC191" s="16"/>
      <c r="AD191" s="16"/>
      <c r="AE191" s="16"/>
      <c r="AF191" s="16"/>
      <c r="AG191" s="16"/>
    </row>
    <row r="192" spans="1:33" ht="15.75" customHeight="1" x14ac:dyDescent="0.3">
      <c r="A192" s="16"/>
      <c r="B192" s="16"/>
      <c r="C192" s="130">
        <f t="shared" ca="1" si="6"/>
        <v>174</v>
      </c>
      <c r="D192" s="636"/>
      <c r="E192" s="636"/>
      <c r="F192" s="567" t="s">
        <v>459</v>
      </c>
      <c r="G192" s="219" t="s">
        <v>448</v>
      </c>
      <c r="H192" s="243"/>
      <c r="I192" s="657" t="s">
        <v>372</v>
      </c>
      <c r="J192" s="172" t="s">
        <v>311</v>
      </c>
      <c r="K192" s="245" t="s">
        <v>2510</v>
      </c>
      <c r="L192" s="141" t="s">
        <v>15</v>
      </c>
      <c r="M192" s="193">
        <v>46042</v>
      </c>
      <c r="N192" s="194" t="s">
        <v>4</v>
      </c>
      <c r="O192" s="141" t="s">
        <v>15</v>
      </c>
      <c r="P192" s="117"/>
      <c r="Q192" s="407">
        <v>46037</v>
      </c>
      <c r="R192" s="40" t="s">
        <v>445</v>
      </c>
      <c r="S192" s="208"/>
      <c r="T192" s="357"/>
      <c r="U192" s="84"/>
      <c r="V192" s="84"/>
      <c r="W192" s="84"/>
      <c r="X192" s="84"/>
      <c r="Y192" s="84"/>
      <c r="Z192" s="84"/>
      <c r="AA192" s="16"/>
      <c r="AB192" s="16"/>
      <c r="AC192" s="16"/>
      <c r="AD192" s="16"/>
      <c r="AE192" s="16"/>
      <c r="AF192" s="16"/>
      <c r="AG192" s="16"/>
    </row>
    <row r="193" spans="1:33" ht="15.75" customHeight="1" x14ac:dyDescent="0.3">
      <c r="A193" s="16"/>
      <c r="B193" s="16"/>
      <c r="C193" s="130">
        <f t="shared" ca="1" si="6"/>
        <v>175</v>
      </c>
      <c r="D193" s="636"/>
      <c r="E193" s="636"/>
      <c r="F193" s="567" t="s">
        <v>459</v>
      </c>
      <c r="G193" s="219" t="s">
        <v>448</v>
      </c>
      <c r="H193" s="243"/>
      <c r="I193" s="606"/>
      <c r="J193" s="172" t="s">
        <v>313</v>
      </c>
      <c r="K193" s="245" t="s">
        <v>2511</v>
      </c>
      <c r="L193" s="141" t="s">
        <v>15</v>
      </c>
      <c r="M193" s="193">
        <v>46042</v>
      </c>
      <c r="N193" s="194" t="s">
        <v>4</v>
      </c>
      <c r="O193" s="141" t="s">
        <v>15</v>
      </c>
      <c r="P193" s="117"/>
      <c r="Q193" s="407">
        <v>46037</v>
      </c>
      <c r="R193" s="40" t="s">
        <v>445</v>
      </c>
      <c r="S193" s="208"/>
      <c r="T193" s="357"/>
      <c r="U193" s="84"/>
      <c r="V193" s="84"/>
      <c r="W193" s="84"/>
      <c r="X193" s="84"/>
      <c r="Y193" s="84"/>
      <c r="Z193" s="84"/>
      <c r="AA193" s="16"/>
      <c r="AB193" s="16"/>
      <c r="AC193" s="16"/>
      <c r="AD193" s="16"/>
      <c r="AE193" s="16"/>
      <c r="AF193" s="16"/>
      <c r="AG193" s="16"/>
    </row>
    <row r="194" spans="1:33" ht="15.75" customHeight="1" x14ac:dyDescent="0.3">
      <c r="A194" s="16"/>
      <c r="B194" s="16"/>
      <c r="C194" s="130">
        <f t="shared" ca="1" si="6"/>
        <v>176</v>
      </c>
      <c r="D194" s="636"/>
      <c r="E194" s="636"/>
      <c r="F194" s="567" t="s">
        <v>459</v>
      </c>
      <c r="G194" s="219" t="s">
        <v>455</v>
      </c>
      <c r="H194" s="243"/>
      <c r="I194" s="608"/>
      <c r="J194" s="172" t="s">
        <v>315</v>
      </c>
      <c r="K194" s="226" t="s">
        <v>2240</v>
      </c>
      <c r="L194" s="141" t="s">
        <v>15</v>
      </c>
      <c r="M194" s="193">
        <v>46042</v>
      </c>
      <c r="N194" s="194" t="s">
        <v>4</v>
      </c>
      <c r="O194" s="141" t="s">
        <v>158</v>
      </c>
      <c r="P194" s="117" t="s">
        <v>211</v>
      </c>
      <c r="Q194" s="407">
        <v>46037</v>
      </c>
      <c r="R194" s="40" t="s">
        <v>445</v>
      </c>
      <c r="S194" s="208" t="s">
        <v>2512</v>
      </c>
      <c r="T194" s="357"/>
      <c r="U194" s="84"/>
      <c r="V194" s="84"/>
      <c r="W194" s="84"/>
      <c r="X194" s="84"/>
      <c r="Y194" s="84"/>
      <c r="Z194" s="84"/>
      <c r="AA194" s="16"/>
      <c r="AB194" s="16"/>
      <c r="AC194" s="16"/>
      <c r="AD194" s="16"/>
      <c r="AE194" s="16"/>
      <c r="AF194" s="16"/>
      <c r="AG194" s="16"/>
    </row>
    <row r="195" spans="1:33" ht="15.75" customHeight="1" x14ac:dyDescent="0.3">
      <c r="A195" s="16"/>
      <c r="B195" s="16"/>
      <c r="C195" s="130">
        <f t="shared" ca="1" si="6"/>
        <v>177</v>
      </c>
      <c r="D195" s="658" t="s">
        <v>300</v>
      </c>
      <c r="E195" s="242" t="s">
        <v>257</v>
      </c>
      <c r="F195" s="567" t="s">
        <v>457</v>
      </c>
      <c r="G195" s="219" t="s">
        <v>448</v>
      </c>
      <c r="H195" s="243"/>
      <c r="I195" s="172"/>
      <c r="J195" s="172" t="s">
        <v>261</v>
      </c>
      <c r="K195" s="245" t="s">
        <v>2513</v>
      </c>
      <c r="L195" s="141" t="s">
        <v>15</v>
      </c>
      <c r="M195" s="193">
        <v>46042</v>
      </c>
      <c r="N195" s="194" t="s">
        <v>4</v>
      </c>
      <c r="O195" s="141" t="s">
        <v>15</v>
      </c>
      <c r="P195" s="117"/>
      <c r="Q195" s="407">
        <v>46037</v>
      </c>
      <c r="R195" s="40" t="s">
        <v>445</v>
      </c>
      <c r="S195" s="208" t="s">
        <v>2514</v>
      </c>
      <c r="T195" s="357"/>
      <c r="U195" s="84"/>
      <c r="V195" s="84"/>
      <c r="W195" s="84"/>
      <c r="X195" s="84"/>
      <c r="Y195" s="84"/>
      <c r="Z195" s="84"/>
      <c r="AA195" s="16"/>
      <c r="AB195" s="16"/>
      <c r="AC195" s="16"/>
      <c r="AD195" s="16"/>
      <c r="AE195" s="16"/>
      <c r="AF195" s="16"/>
      <c r="AG195" s="16"/>
    </row>
    <row r="196" spans="1:33" ht="15.75" customHeight="1" x14ac:dyDescent="0.3">
      <c r="A196" s="16"/>
      <c r="B196" s="16"/>
      <c r="C196" s="130">
        <f t="shared" ca="1" si="6"/>
        <v>178</v>
      </c>
      <c r="D196" s="636"/>
      <c r="E196" s="665" t="s">
        <v>237</v>
      </c>
      <c r="F196" s="567" t="s">
        <v>459</v>
      </c>
      <c r="G196" s="219" t="s">
        <v>448</v>
      </c>
      <c r="H196" s="243"/>
      <c r="I196" s="657" t="s">
        <v>364</v>
      </c>
      <c r="J196" s="172" t="s">
        <v>238</v>
      </c>
      <c r="K196" s="245" t="s">
        <v>2515</v>
      </c>
      <c r="L196" s="141" t="s">
        <v>15</v>
      </c>
      <c r="M196" s="193">
        <v>46045</v>
      </c>
      <c r="N196" s="194" t="s">
        <v>4</v>
      </c>
      <c r="O196" s="141" t="s">
        <v>15</v>
      </c>
      <c r="P196" s="117"/>
      <c r="Q196" s="407">
        <v>46037</v>
      </c>
      <c r="R196" s="40" t="s">
        <v>445</v>
      </c>
      <c r="S196" s="208"/>
      <c r="T196" s="357"/>
      <c r="U196" s="84"/>
      <c r="V196" s="84"/>
      <c r="W196" s="84"/>
      <c r="X196" s="84"/>
      <c r="Y196" s="84"/>
      <c r="Z196" s="84"/>
      <c r="AA196" s="16"/>
      <c r="AB196" s="16"/>
      <c r="AC196" s="16"/>
      <c r="AD196" s="16"/>
      <c r="AE196" s="16"/>
      <c r="AF196" s="16"/>
      <c r="AG196" s="16"/>
    </row>
    <row r="197" spans="1:33" ht="15.75" customHeight="1" x14ac:dyDescent="0.3">
      <c r="A197" s="16"/>
      <c r="B197" s="16"/>
      <c r="C197" s="130">
        <f t="shared" ca="1" si="6"/>
        <v>179</v>
      </c>
      <c r="D197" s="636"/>
      <c r="E197" s="636"/>
      <c r="F197" s="567" t="s">
        <v>459</v>
      </c>
      <c r="G197" s="219" t="s">
        <v>455</v>
      </c>
      <c r="H197" s="243"/>
      <c r="I197" s="608"/>
      <c r="J197" s="172" t="s">
        <v>310</v>
      </c>
      <c r="K197" s="226" t="s">
        <v>371</v>
      </c>
      <c r="L197" s="141" t="s">
        <v>15</v>
      </c>
      <c r="M197" s="193">
        <v>46042</v>
      </c>
      <c r="N197" s="194" t="s">
        <v>4</v>
      </c>
      <c r="O197" s="141" t="s">
        <v>158</v>
      </c>
      <c r="P197" s="117" t="s">
        <v>211</v>
      </c>
      <c r="Q197" s="407">
        <v>46037</v>
      </c>
      <c r="R197" s="40" t="s">
        <v>445</v>
      </c>
      <c r="S197" s="208" t="s">
        <v>2516</v>
      </c>
      <c r="T197" s="357"/>
      <c r="U197" s="84"/>
      <c r="V197" s="84"/>
      <c r="W197" s="84"/>
      <c r="X197" s="84"/>
      <c r="Y197" s="84"/>
      <c r="Z197" s="84"/>
      <c r="AA197" s="16"/>
      <c r="AB197" s="16"/>
      <c r="AC197" s="16"/>
      <c r="AD197" s="16"/>
      <c r="AE197" s="16"/>
      <c r="AF197" s="16"/>
      <c r="AG197" s="16"/>
    </row>
    <row r="198" spans="1:33" ht="15.75" customHeight="1" x14ac:dyDescent="0.3">
      <c r="A198" s="16"/>
      <c r="B198" s="16"/>
      <c r="C198" s="130">
        <f t="shared" ca="1" si="6"/>
        <v>180</v>
      </c>
      <c r="D198" s="636"/>
      <c r="E198" s="636"/>
      <c r="F198" s="567" t="s">
        <v>459</v>
      </c>
      <c r="G198" s="219" t="s">
        <v>448</v>
      </c>
      <c r="H198" s="243"/>
      <c r="I198" s="657" t="s">
        <v>372</v>
      </c>
      <c r="J198" s="172" t="s">
        <v>311</v>
      </c>
      <c r="K198" s="245" t="s">
        <v>2517</v>
      </c>
      <c r="L198" s="141" t="s">
        <v>15</v>
      </c>
      <c r="M198" s="193">
        <v>46045</v>
      </c>
      <c r="N198" s="194" t="s">
        <v>4</v>
      </c>
      <c r="O198" s="141" t="s">
        <v>15</v>
      </c>
      <c r="P198" s="117"/>
      <c r="Q198" s="407">
        <v>46037</v>
      </c>
      <c r="R198" s="40" t="s">
        <v>445</v>
      </c>
      <c r="S198" s="208"/>
      <c r="T198" s="357"/>
      <c r="U198" s="84"/>
      <c r="V198" s="84"/>
      <c r="W198" s="84"/>
      <c r="X198" s="84"/>
      <c r="Y198" s="84"/>
      <c r="Z198" s="84"/>
      <c r="AA198" s="16"/>
      <c r="AB198" s="16"/>
      <c r="AC198" s="16"/>
      <c r="AD198" s="16"/>
      <c r="AE198" s="16"/>
      <c r="AF198" s="16"/>
      <c r="AG198" s="16"/>
    </row>
    <row r="199" spans="1:33" ht="15.75" customHeight="1" x14ac:dyDescent="0.3">
      <c r="A199" s="16"/>
      <c r="B199" s="16"/>
      <c r="C199" s="130">
        <f t="shared" ca="1" si="6"/>
        <v>181</v>
      </c>
      <c r="D199" s="636"/>
      <c r="E199" s="636"/>
      <c r="F199" s="567" t="s">
        <v>459</v>
      </c>
      <c r="G199" s="219" t="s">
        <v>448</v>
      </c>
      <c r="H199" s="243"/>
      <c r="I199" s="606"/>
      <c r="J199" s="172" t="s">
        <v>313</v>
      </c>
      <c r="K199" s="245" t="s">
        <v>2518</v>
      </c>
      <c r="L199" s="141" t="s">
        <v>15</v>
      </c>
      <c r="M199" s="193">
        <v>46045</v>
      </c>
      <c r="N199" s="194" t="s">
        <v>4</v>
      </c>
      <c r="O199" s="141" t="s">
        <v>15</v>
      </c>
      <c r="P199" s="117"/>
      <c r="Q199" s="407">
        <v>46037</v>
      </c>
      <c r="R199" s="40" t="s">
        <v>445</v>
      </c>
      <c r="S199" s="208"/>
      <c r="T199" s="357"/>
      <c r="U199" s="84"/>
      <c r="V199" s="84"/>
      <c r="W199" s="84"/>
      <c r="X199" s="84"/>
      <c r="Y199" s="84"/>
      <c r="Z199" s="84"/>
      <c r="AA199" s="16"/>
      <c r="AB199" s="16"/>
      <c r="AC199" s="16"/>
      <c r="AD199" s="16"/>
      <c r="AE199" s="16"/>
      <c r="AF199" s="16"/>
      <c r="AG199" s="16"/>
    </row>
    <row r="200" spans="1:33" ht="15.75" customHeight="1" x14ac:dyDescent="0.3">
      <c r="A200" s="16"/>
      <c r="B200" s="16"/>
      <c r="C200" s="130">
        <f t="shared" ca="1" si="6"/>
        <v>182</v>
      </c>
      <c r="D200" s="636"/>
      <c r="E200" s="636"/>
      <c r="F200" s="567" t="s">
        <v>459</v>
      </c>
      <c r="G200" s="219" t="s">
        <v>455</v>
      </c>
      <c r="H200" s="243"/>
      <c r="I200" s="608"/>
      <c r="J200" s="172" t="s">
        <v>2519</v>
      </c>
      <c r="K200" s="226" t="s">
        <v>2240</v>
      </c>
      <c r="L200" s="141" t="s">
        <v>15</v>
      </c>
      <c r="M200" s="193">
        <v>46042</v>
      </c>
      <c r="N200" s="194" t="s">
        <v>4</v>
      </c>
      <c r="O200" s="141" t="s">
        <v>158</v>
      </c>
      <c r="P200" s="117" t="s">
        <v>211</v>
      </c>
      <c r="Q200" s="407">
        <v>46037</v>
      </c>
      <c r="R200" s="40" t="s">
        <v>445</v>
      </c>
      <c r="S200" s="208" t="s">
        <v>2520</v>
      </c>
      <c r="T200" s="357"/>
      <c r="U200" s="84"/>
      <c r="V200" s="84"/>
      <c r="W200" s="84"/>
      <c r="X200" s="84"/>
      <c r="Y200" s="84"/>
      <c r="Z200" s="84"/>
      <c r="AA200" s="16"/>
      <c r="AB200" s="16"/>
      <c r="AC200" s="16"/>
      <c r="AD200" s="16"/>
      <c r="AE200" s="16"/>
      <c r="AF200" s="16"/>
      <c r="AG200" s="16"/>
    </row>
    <row r="201" spans="1:33" ht="15.75" customHeight="1" x14ac:dyDescent="0.3">
      <c r="A201" s="16"/>
      <c r="B201" s="16"/>
      <c r="C201" s="130">
        <f t="shared" ca="1" si="6"/>
        <v>183</v>
      </c>
      <c r="D201" s="658" t="s">
        <v>301</v>
      </c>
      <c r="E201" s="242" t="s">
        <v>257</v>
      </c>
      <c r="F201" s="567" t="s">
        <v>457</v>
      </c>
      <c r="G201" s="219" t="s">
        <v>448</v>
      </c>
      <c r="H201" s="243"/>
      <c r="I201" s="172"/>
      <c r="J201" s="172" t="s">
        <v>261</v>
      </c>
      <c r="K201" s="245" t="s">
        <v>2521</v>
      </c>
      <c r="L201" s="141" t="s">
        <v>15</v>
      </c>
      <c r="M201" s="193">
        <v>46042</v>
      </c>
      <c r="N201" s="194" t="s">
        <v>4</v>
      </c>
      <c r="O201" s="141" t="s">
        <v>15</v>
      </c>
      <c r="P201" s="117"/>
      <c r="Q201" s="407">
        <v>46037</v>
      </c>
      <c r="R201" s="40" t="s">
        <v>445</v>
      </c>
      <c r="S201" s="208" t="s">
        <v>2522</v>
      </c>
      <c r="T201" s="357"/>
      <c r="U201" s="84"/>
      <c r="V201" s="84"/>
      <c r="W201" s="84"/>
      <c r="X201" s="84"/>
      <c r="Y201" s="84"/>
      <c r="Z201" s="84"/>
      <c r="AA201" s="16"/>
      <c r="AB201" s="16"/>
      <c r="AC201" s="16"/>
      <c r="AD201" s="16"/>
      <c r="AE201" s="16"/>
      <c r="AF201" s="16"/>
      <c r="AG201" s="16"/>
    </row>
    <row r="202" spans="1:33" ht="15.75" customHeight="1" x14ac:dyDescent="0.3">
      <c r="A202" s="16"/>
      <c r="B202" s="16"/>
      <c r="C202" s="130">
        <f t="shared" ca="1" si="6"/>
        <v>184</v>
      </c>
      <c r="D202" s="636"/>
      <c r="E202" s="665" t="s">
        <v>237</v>
      </c>
      <c r="F202" s="567" t="s">
        <v>459</v>
      </c>
      <c r="G202" s="219" t="s">
        <v>448</v>
      </c>
      <c r="H202" s="243"/>
      <c r="I202" s="657" t="s">
        <v>364</v>
      </c>
      <c r="J202" s="172" t="s">
        <v>238</v>
      </c>
      <c r="K202" s="245" t="s">
        <v>2523</v>
      </c>
      <c r="L202" s="141" t="s">
        <v>15</v>
      </c>
      <c r="M202" s="193">
        <v>46042</v>
      </c>
      <c r="N202" s="194" t="s">
        <v>4</v>
      </c>
      <c r="O202" s="141" t="s">
        <v>15</v>
      </c>
      <c r="P202" s="117"/>
      <c r="Q202" s="407">
        <v>46037</v>
      </c>
      <c r="R202" s="40" t="s">
        <v>445</v>
      </c>
      <c r="S202" s="208"/>
      <c r="T202" s="357"/>
      <c r="U202" s="84"/>
      <c r="V202" s="84"/>
      <c r="W202" s="84"/>
      <c r="X202" s="84"/>
      <c r="Y202" s="84"/>
      <c r="Z202" s="84"/>
      <c r="AA202" s="16"/>
      <c r="AB202" s="16"/>
      <c r="AC202" s="16"/>
      <c r="AD202" s="16"/>
      <c r="AE202" s="16"/>
      <c r="AF202" s="16"/>
      <c r="AG202" s="16"/>
    </row>
    <row r="203" spans="1:33" ht="15.75" customHeight="1" x14ac:dyDescent="0.3">
      <c r="A203" s="16"/>
      <c r="B203" s="16"/>
      <c r="C203" s="130">
        <f t="shared" ca="1" si="6"/>
        <v>185</v>
      </c>
      <c r="D203" s="636"/>
      <c r="E203" s="636"/>
      <c r="F203" s="567" t="s">
        <v>459</v>
      </c>
      <c r="G203" s="219" t="s">
        <v>455</v>
      </c>
      <c r="H203" s="243"/>
      <c r="I203" s="608"/>
      <c r="J203" s="172" t="s">
        <v>310</v>
      </c>
      <c r="K203" s="226" t="s">
        <v>371</v>
      </c>
      <c r="L203" s="141" t="s">
        <v>15</v>
      </c>
      <c r="M203" s="193">
        <v>46042</v>
      </c>
      <c r="N203" s="194" t="s">
        <v>4</v>
      </c>
      <c r="O203" s="141" t="s">
        <v>158</v>
      </c>
      <c r="P203" s="117" t="s">
        <v>211</v>
      </c>
      <c r="Q203" s="407">
        <v>46037</v>
      </c>
      <c r="R203" s="40" t="s">
        <v>445</v>
      </c>
      <c r="S203" s="208" t="s">
        <v>2524</v>
      </c>
      <c r="T203" s="357"/>
      <c r="U203" s="84"/>
      <c r="V203" s="84"/>
      <c r="W203" s="84"/>
      <c r="X203" s="84"/>
      <c r="Y203" s="84"/>
      <c r="Z203" s="84"/>
      <c r="AA203" s="16"/>
      <c r="AB203" s="16"/>
      <c r="AC203" s="16"/>
      <c r="AD203" s="16"/>
      <c r="AE203" s="16"/>
      <c r="AF203" s="16"/>
      <c r="AG203" s="16"/>
    </row>
    <row r="204" spans="1:33" ht="15.75" customHeight="1" x14ac:dyDescent="0.3">
      <c r="A204" s="16"/>
      <c r="B204" s="16"/>
      <c r="C204" s="130">
        <f t="shared" ca="1" si="6"/>
        <v>186</v>
      </c>
      <c r="D204" s="636"/>
      <c r="E204" s="636"/>
      <c r="F204" s="567" t="s">
        <v>459</v>
      </c>
      <c r="G204" s="219" t="s">
        <v>448</v>
      </c>
      <c r="H204" s="243"/>
      <c r="I204" s="657" t="s">
        <v>372</v>
      </c>
      <c r="J204" s="247" t="s">
        <v>311</v>
      </c>
      <c r="K204" s="247" t="s">
        <v>2525</v>
      </c>
      <c r="L204" s="141" t="s">
        <v>15</v>
      </c>
      <c r="M204" s="193">
        <v>46042</v>
      </c>
      <c r="N204" s="194" t="s">
        <v>4</v>
      </c>
      <c r="O204" s="141" t="s">
        <v>15</v>
      </c>
      <c r="P204" s="117"/>
      <c r="Q204" s="407">
        <v>46037</v>
      </c>
      <c r="R204" s="40" t="s">
        <v>445</v>
      </c>
      <c r="S204" s="208"/>
      <c r="T204" s="357"/>
      <c r="U204" s="84"/>
      <c r="V204" s="84"/>
      <c r="W204" s="84"/>
      <c r="X204" s="84"/>
      <c r="Y204" s="84"/>
      <c r="Z204" s="84"/>
      <c r="AA204" s="16"/>
      <c r="AB204" s="16"/>
      <c r="AC204" s="16"/>
      <c r="AD204" s="16"/>
      <c r="AE204" s="16"/>
      <c r="AF204" s="16"/>
      <c r="AG204" s="16"/>
    </row>
    <row r="205" spans="1:33" ht="15.75" customHeight="1" x14ac:dyDescent="0.3">
      <c r="A205" s="16"/>
      <c r="B205" s="16"/>
      <c r="C205" s="130">
        <f t="shared" ca="1" si="6"/>
        <v>187</v>
      </c>
      <c r="D205" s="636"/>
      <c r="E205" s="636"/>
      <c r="F205" s="567" t="s">
        <v>459</v>
      </c>
      <c r="G205" s="219" t="s">
        <v>448</v>
      </c>
      <c r="H205" s="243"/>
      <c r="I205" s="606"/>
      <c r="J205" s="172" t="s">
        <v>313</v>
      </c>
      <c r="K205" s="245" t="s">
        <v>2526</v>
      </c>
      <c r="L205" s="141" t="s">
        <v>15</v>
      </c>
      <c r="M205" s="193">
        <v>46042</v>
      </c>
      <c r="N205" s="194" t="s">
        <v>4</v>
      </c>
      <c r="O205" s="141" t="s">
        <v>15</v>
      </c>
      <c r="P205" s="117"/>
      <c r="Q205" s="407">
        <v>46037</v>
      </c>
      <c r="R205" s="40" t="s">
        <v>445</v>
      </c>
      <c r="S205" s="208"/>
      <c r="T205" s="357"/>
      <c r="U205" s="84"/>
      <c r="V205" s="84"/>
      <c r="W205" s="84"/>
      <c r="X205" s="84"/>
      <c r="Y205" s="84"/>
      <c r="Z205" s="84"/>
      <c r="AA205" s="16"/>
      <c r="AB205" s="16"/>
      <c r="AC205" s="16"/>
      <c r="AD205" s="16"/>
      <c r="AE205" s="16"/>
      <c r="AF205" s="16"/>
      <c r="AG205" s="16"/>
    </row>
    <row r="206" spans="1:33" ht="15.75" customHeight="1" x14ac:dyDescent="0.3">
      <c r="A206" s="16"/>
      <c r="B206" s="16"/>
      <c r="C206" s="130">
        <f t="shared" ca="1" si="6"/>
        <v>188</v>
      </c>
      <c r="D206" s="636"/>
      <c r="E206" s="636"/>
      <c r="F206" s="567" t="s">
        <v>459</v>
      </c>
      <c r="G206" s="219" t="s">
        <v>455</v>
      </c>
      <c r="H206" s="243"/>
      <c r="I206" s="608"/>
      <c r="J206" s="172" t="s">
        <v>2527</v>
      </c>
      <c r="K206" s="226" t="s">
        <v>2240</v>
      </c>
      <c r="L206" s="141" t="s">
        <v>15</v>
      </c>
      <c r="M206" s="193">
        <v>46042</v>
      </c>
      <c r="N206" s="194" t="s">
        <v>4</v>
      </c>
      <c r="O206" s="141" t="s">
        <v>158</v>
      </c>
      <c r="P206" s="117" t="s">
        <v>211</v>
      </c>
      <c r="Q206" s="407">
        <v>46037</v>
      </c>
      <c r="R206" s="40" t="s">
        <v>445</v>
      </c>
      <c r="S206" s="208" t="s">
        <v>2528</v>
      </c>
      <c r="T206" s="357"/>
      <c r="U206" s="84"/>
      <c r="V206" s="84"/>
      <c r="W206" s="84"/>
      <c r="X206" s="84"/>
      <c r="Y206" s="84"/>
      <c r="Z206" s="84"/>
      <c r="AA206" s="297"/>
      <c r="AB206" s="297"/>
      <c r="AC206" s="297"/>
      <c r="AD206" s="297"/>
      <c r="AE206" s="297"/>
      <c r="AF206" s="297"/>
      <c r="AG206" s="297"/>
    </row>
    <row r="207" spans="1:33" ht="15.75" customHeight="1" x14ac:dyDescent="0.3">
      <c r="A207" s="16"/>
      <c r="B207" s="16"/>
      <c r="C207" s="130">
        <f t="shared" ca="1" si="6"/>
        <v>189</v>
      </c>
      <c r="D207" s="166" t="s">
        <v>302</v>
      </c>
      <c r="E207" s="242" t="s">
        <v>257</v>
      </c>
      <c r="F207" s="567" t="s">
        <v>457</v>
      </c>
      <c r="G207" s="219" t="s">
        <v>448</v>
      </c>
      <c r="H207" s="243"/>
      <c r="I207" s="172"/>
      <c r="J207" s="172" t="s">
        <v>261</v>
      </c>
      <c r="K207" s="245" t="s">
        <v>303</v>
      </c>
      <c r="L207" s="141" t="s">
        <v>15</v>
      </c>
      <c r="M207" s="193">
        <v>46042</v>
      </c>
      <c r="N207" s="194" t="s">
        <v>4</v>
      </c>
      <c r="O207" s="141" t="s">
        <v>15</v>
      </c>
      <c r="P207" s="117"/>
      <c r="Q207" s="407">
        <v>46037</v>
      </c>
      <c r="R207" s="40" t="s">
        <v>445</v>
      </c>
      <c r="S207" s="208"/>
      <c r="T207" s="357"/>
      <c r="U207" s="84"/>
      <c r="V207" s="84"/>
      <c r="W207" s="84"/>
      <c r="X207" s="84"/>
      <c r="Y207" s="84"/>
      <c r="Z207" s="84"/>
      <c r="AA207" s="297"/>
      <c r="AB207" s="297"/>
      <c r="AC207" s="297"/>
      <c r="AD207" s="297"/>
      <c r="AE207" s="297"/>
      <c r="AF207" s="297"/>
      <c r="AG207" s="297"/>
    </row>
    <row r="208" spans="1:33" ht="409.6" customHeight="1" x14ac:dyDescent="0.3">
      <c r="A208" s="16"/>
      <c r="B208" s="16"/>
      <c r="C208" s="130">
        <f t="shared" ca="1" si="6"/>
        <v>190</v>
      </c>
      <c r="D208" s="166" t="s">
        <v>2258</v>
      </c>
      <c r="E208" s="242" t="s">
        <v>237</v>
      </c>
      <c r="F208" s="567" t="s">
        <v>459</v>
      </c>
      <c r="G208" s="219" t="s">
        <v>448</v>
      </c>
      <c r="H208" s="243"/>
      <c r="I208" s="172" t="s">
        <v>364</v>
      </c>
      <c r="J208" s="172" t="s">
        <v>232</v>
      </c>
      <c r="K208" s="244" t="s">
        <v>2529</v>
      </c>
      <c r="L208" s="141" t="s">
        <v>15</v>
      </c>
      <c r="M208" s="193">
        <v>46042</v>
      </c>
      <c r="N208" s="194" t="s">
        <v>4</v>
      </c>
      <c r="O208" s="141" t="s">
        <v>15</v>
      </c>
      <c r="P208" s="117"/>
      <c r="Q208" s="407">
        <v>46037</v>
      </c>
      <c r="R208" s="40" t="s">
        <v>445</v>
      </c>
      <c r="S208" s="208"/>
      <c r="T208" s="357"/>
      <c r="U208" s="84"/>
      <c r="V208" s="84"/>
      <c r="W208" s="84"/>
      <c r="X208" s="84"/>
      <c r="Y208" s="84"/>
      <c r="Z208" s="84"/>
      <c r="AA208" s="16"/>
      <c r="AB208" s="16"/>
      <c r="AC208" s="16"/>
      <c r="AD208" s="16"/>
      <c r="AE208" s="16"/>
      <c r="AF208" s="16"/>
      <c r="AG208" s="16"/>
    </row>
    <row r="209" spans="1:33" ht="342" customHeight="1" x14ac:dyDescent="0.3">
      <c r="A209" s="16"/>
      <c r="B209" s="16"/>
      <c r="C209" s="130">
        <f t="shared" ca="1" si="6"/>
        <v>191</v>
      </c>
      <c r="D209" s="166" t="s">
        <v>2258</v>
      </c>
      <c r="E209" s="242" t="s">
        <v>237</v>
      </c>
      <c r="F209" s="567" t="s">
        <v>459</v>
      </c>
      <c r="G209" s="219" t="s">
        <v>448</v>
      </c>
      <c r="H209" s="243"/>
      <c r="I209" s="172" t="s">
        <v>372</v>
      </c>
      <c r="J209" s="172" t="s">
        <v>232</v>
      </c>
      <c r="K209" s="245" t="s">
        <v>2530</v>
      </c>
      <c r="L209" s="141" t="s">
        <v>15</v>
      </c>
      <c r="M209" s="193">
        <v>46051</v>
      </c>
      <c r="N209" s="194" t="s">
        <v>4</v>
      </c>
      <c r="O209" s="141" t="s">
        <v>15</v>
      </c>
      <c r="P209" s="117"/>
      <c r="Q209" s="407">
        <v>46037</v>
      </c>
      <c r="R209" s="40" t="s">
        <v>445</v>
      </c>
      <c r="S209" s="208"/>
      <c r="T209" s="357"/>
      <c r="U209" s="84"/>
      <c r="V209" s="84"/>
      <c r="W209" s="84"/>
      <c r="X209" s="84"/>
      <c r="Y209" s="84"/>
      <c r="Z209" s="84"/>
      <c r="AA209" s="16"/>
      <c r="AB209" s="16"/>
      <c r="AC209" s="16"/>
      <c r="AD209" s="16"/>
      <c r="AE209" s="16"/>
      <c r="AF209" s="16"/>
      <c r="AG209" s="16"/>
    </row>
    <row r="210" spans="1:33" ht="66" customHeight="1" x14ac:dyDescent="0.3">
      <c r="A210" s="16"/>
      <c r="B210" s="16"/>
      <c r="C210" s="130">
        <f t="shared" ca="1" si="6"/>
        <v>192</v>
      </c>
      <c r="D210" s="166" t="s">
        <v>304</v>
      </c>
      <c r="E210" s="242"/>
      <c r="F210" s="567" t="s">
        <v>459</v>
      </c>
      <c r="G210" s="219" t="s">
        <v>448</v>
      </c>
      <c r="H210" s="243"/>
      <c r="I210" s="172"/>
      <c r="J210" s="172" t="s">
        <v>242</v>
      </c>
      <c r="K210" s="245" t="s">
        <v>305</v>
      </c>
      <c r="L210" s="141" t="s">
        <v>15</v>
      </c>
      <c r="M210" s="193">
        <v>46042</v>
      </c>
      <c r="N210" s="194" t="s">
        <v>4</v>
      </c>
      <c r="O210" s="141" t="s">
        <v>158</v>
      </c>
      <c r="P210" s="117" t="s">
        <v>211</v>
      </c>
      <c r="Q210" s="407">
        <v>46037</v>
      </c>
      <c r="R210" s="40" t="s">
        <v>445</v>
      </c>
      <c r="S210" s="208" t="s">
        <v>2531</v>
      </c>
      <c r="T210" s="357"/>
      <c r="U210" s="84"/>
      <c r="V210" s="84"/>
      <c r="W210" s="84"/>
      <c r="X210" s="84"/>
      <c r="Y210" s="84"/>
      <c r="Z210" s="84"/>
      <c r="AA210" s="16"/>
      <c r="AB210" s="16"/>
      <c r="AC210" s="16"/>
      <c r="AD210" s="16"/>
      <c r="AE210" s="16"/>
      <c r="AF210" s="16"/>
      <c r="AG210" s="16"/>
    </row>
    <row r="211" spans="1:33" ht="15.75" customHeight="1" x14ac:dyDescent="0.3">
      <c r="A211" s="16"/>
      <c r="B211" s="16"/>
      <c r="C211" s="130">
        <f t="shared" ca="1" si="6"/>
        <v>193</v>
      </c>
      <c r="D211" s="166" t="s">
        <v>288</v>
      </c>
      <c r="E211" s="242"/>
      <c r="F211" s="567" t="s">
        <v>459</v>
      </c>
      <c r="G211" s="219" t="s">
        <v>448</v>
      </c>
      <c r="H211" s="243"/>
      <c r="I211" s="172"/>
      <c r="J211" s="172" t="s">
        <v>242</v>
      </c>
      <c r="K211" s="245" t="s">
        <v>306</v>
      </c>
      <c r="L211" s="141" t="s">
        <v>15</v>
      </c>
      <c r="M211" s="193">
        <v>46042</v>
      </c>
      <c r="N211" s="194" t="s">
        <v>4</v>
      </c>
      <c r="O211" s="141" t="s">
        <v>158</v>
      </c>
      <c r="P211" s="117" t="s">
        <v>211</v>
      </c>
      <c r="Q211" s="407">
        <v>46037</v>
      </c>
      <c r="R211" s="40" t="s">
        <v>445</v>
      </c>
      <c r="S211" s="208" t="s">
        <v>2532</v>
      </c>
      <c r="T211" s="357"/>
      <c r="U211" s="84"/>
      <c r="V211" s="84"/>
      <c r="W211" s="84"/>
      <c r="X211" s="84"/>
      <c r="Y211" s="84"/>
      <c r="Z211" s="84"/>
      <c r="AA211" s="16"/>
      <c r="AB211" s="16"/>
      <c r="AC211" s="16"/>
      <c r="AD211" s="16"/>
      <c r="AE211" s="16"/>
      <c r="AF211" s="16"/>
      <c r="AG211" s="16"/>
    </row>
    <row r="212" spans="1:33" ht="15.75" customHeight="1" x14ac:dyDescent="0.3">
      <c r="A212" s="16"/>
      <c r="B212" s="16"/>
      <c r="C212" s="130">
        <f t="shared" ca="1" si="6"/>
        <v>194</v>
      </c>
      <c r="D212" s="658" t="s">
        <v>307</v>
      </c>
      <c r="E212" s="242" t="s">
        <v>257</v>
      </c>
      <c r="F212" s="567" t="s">
        <v>457</v>
      </c>
      <c r="G212" s="219" t="s">
        <v>448</v>
      </c>
      <c r="H212" s="243"/>
      <c r="I212" s="172"/>
      <c r="J212" s="172" t="s">
        <v>261</v>
      </c>
      <c r="K212" s="245" t="s">
        <v>308</v>
      </c>
      <c r="L212" s="141" t="s">
        <v>15</v>
      </c>
      <c r="M212" s="193">
        <v>46042</v>
      </c>
      <c r="N212" s="194" t="s">
        <v>4</v>
      </c>
      <c r="O212" s="141" t="s">
        <v>15</v>
      </c>
      <c r="P212" s="117"/>
      <c r="Q212" s="407">
        <v>46037</v>
      </c>
      <c r="R212" s="40" t="s">
        <v>445</v>
      </c>
      <c r="S212" s="208"/>
      <c r="T212" s="357"/>
      <c r="U212" s="84"/>
      <c r="V212" s="84"/>
      <c r="W212" s="84"/>
      <c r="X212" s="84"/>
      <c r="Y212" s="84"/>
      <c r="Z212" s="84"/>
      <c r="AA212" s="16"/>
      <c r="AB212" s="16"/>
      <c r="AC212" s="16"/>
      <c r="AD212" s="16"/>
      <c r="AE212" s="16"/>
      <c r="AF212" s="16"/>
      <c r="AG212" s="16"/>
    </row>
    <row r="213" spans="1:33" ht="15.75" customHeight="1" x14ac:dyDescent="0.3">
      <c r="A213" s="16"/>
      <c r="B213" s="16"/>
      <c r="C213" s="130">
        <f t="shared" ca="1" si="6"/>
        <v>195</v>
      </c>
      <c r="D213" s="636"/>
      <c r="E213" s="665" t="s">
        <v>237</v>
      </c>
      <c r="F213" s="567" t="s">
        <v>459</v>
      </c>
      <c r="G213" s="219" t="s">
        <v>448</v>
      </c>
      <c r="H213" s="243"/>
      <c r="I213" s="657" t="s">
        <v>364</v>
      </c>
      <c r="J213" s="172" t="s">
        <v>238</v>
      </c>
      <c r="K213" s="245" t="s">
        <v>309</v>
      </c>
      <c r="L213" s="141" t="s">
        <v>15</v>
      </c>
      <c r="M213" s="193">
        <v>46042</v>
      </c>
      <c r="N213" s="194" t="s">
        <v>4</v>
      </c>
      <c r="O213" s="141" t="s">
        <v>158</v>
      </c>
      <c r="P213" s="117" t="s">
        <v>211</v>
      </c>
      <c r="Q213" s="407">
        <v>46037</v>
      </c>
      <c r="R213" s="40" t="s">
        <v>445</v>
      </c>
      <c r="S213" s="208" t="s">
        <v>2533</v>
      </c>
      <c r="T213" s="357"/>
      <c r="U213" s="84"/>
      <c r="V213" s="84"/>
      <c r="W213" s="84"/>
      <c r="X213" s="84"/>
      <c r="Y213" s="84"/>
      <c r="Z213" s="84"/>
      <c r="AA213" s="16"/>
      <c r="AB213" s="16"/>
      <c r="AC213" s="16"/>
      <c r="AD213" s="16"/>
      <c r="AE213" s="16"/>
      <c r="AF213" s="16"/>
      <c r="AG213" s="16"/>
    </row>
    <row r="214" spans="1:33" ht="15.75" customHeight="1" x14ac:dyDescent="0.3">
      <c r="A214" s="16"/>
      <c r="B214" s="16"/>
      <c r="C214" s="130">
        <f t="shared" ca="1" si="6"/>
        <v>196</v>
      </c>
      <c r="D214" s="636"/>
      <c r="E214" s="636"/>
      <c r="F214" s="567" t="s">
        <v>459</v>
      </c>
      <c r="G214" s="219" t="s">
        <v>455</v>
      </c>
      <c r="H214" s="243"/>
      <c r="I214" s="608"/>
      <c r="J214" s="172" t="s">
        <v>310</v>
      </c>
      <c r="K214" s="226" t="s">
        <v>371</v>
      </c>
      <c r="L214" s="141" t="s">
        <v>15</v>
      </c>
      <c r="M214" s="193">
        <v>46042</v>
      </c>
      <c r="N214" s="194" t="s">
        <v>4</v>
      </c>
      <c r="O214" s="141" t="s">
        <v>158</v>
      </c>
      <c r="P214" s="117" t="s">
        <v>211</v>
      </c>
      <c r="Q214" s="407">
        <v>46037</v>
      </c>
      <c r="R214" s="40" t="s">
        <v>445</v>
      </c>
      <c r="S214" s="208" t="s">
        <v>2534</v>
      </c>
      <c r="T214" s="357"/>
      <c r="U214" s="84"/>
      <c r="V214" s="84"/>
      <c r="W214" s="84"/>
      <c r="X214" s="84"/>
      <c r="Y214" s="84"/>
      <c r="Z214" s="84"/>
      <c r="AA214" s="16"/>
      <c r="AB214" s="16"/>
      <c r="AC214" s="16"/>
      <c r="AD214" s="16"/>
      <c r="AE214" s="16"/>
      <c r="AF214" s="16"/>
      <c r="AG214" s="16"/>
    </row>
    <row r="215" spans="1:33" ht="15.75" customHeight="1" x14ac:dyDescent="0.3">
      <c r="A215" s="16"/>
      <c r="B215" s="16"/>
      <c r="C215" s="130">
        <f t="shared" ca="1" si="6"/>
        <v>197</v>
      </c>
      <c r="D215" s="636"/>
      <c r="E215" s="636"/>
      <c r="F215" s="567" t="s">
        <v>459</v>
      </c>
      <c r="G215" s="219" t="s">
        <v>448</v>
      </c>
      <c r="H215" s="243"/>
      <c r="I215" s="657" t="s">
        <v>372</v>
      </c>
      <c r="J215" s="172" t="s">
        <v>311</v>
      </c>
      <c r="K215" s="245" t="s">
        <v>312</v>
      </c>
      <c r="L215" s="141" t="s">
        <v>15</v>
      </c>
      <c r="M215" s="193">
        <v>46042</v>
      </c>
      <c r="N215" s="194" t="s">
        <v>4</v>
      </c>
      <c r="O215" s="141" t="s">
        <v>15</v>
      </c>
      <c r="P215" s="117"/>
      <c r="Q215" s="407">
        <v>46037</v>
      </c>
      <c r="R215" s="40" t="s">
        <v>445</v>
      </c>
      <c r="S215" s="208"/>
      <c r="T215" s="357"/>
      <c r="U215" s="84"/>
      <c r="V215" s="84"/>
      <c r="W215" s="84"/>
      <c r="X215" s="84"/>
      <c r="Y215" s="84"/>
      <c r="Z215" s="84"/>
      <c r="AA215" s="16"/>
      <c r="AB215" s="16"/>
      <c r="AC215" s="16"/>
      <c r="AD215" s="16"/>
      <c r="AE215" s="16"/>
      <c r="AF215" s="16"/>
      <c r="AG215" s="16"/>
    </row>
    <row r="216" spans="1:33" ht="15.75" customHeight="1" x14ac:dyDescent="0.3">
      <c r="A216" s="16"/>
      <c r="B216" s="16"/>
      <c r="C216" s="130">
        <f t="shared" ca="1" si="6"/>
        <v>198</v>
      </c>
      <c r="D216" s="636"/>
      <c r="E216" s="636"/>
      <c r="F216" s="567" t="s">
        <v>459</v>
      </c>
      <c r="G216" s="219" t="s">
        <v>448</v>
      </c>
      <c r="H216" s="243"/>
      <c r="I216" s="606"/>
      <c r="J216" s="172" t="s">
        <v>313</v>
      </c>
      <c r="K216" s="245" t="s">
        <v>314</v>
      </c>
      <c r="L216" s="141" t="s">
        <v>15</v>
      </c>
      <c r="M216" s="193">
        <v>46042</v>
      </c>
      <c r="N216" s="194" t="s">
        <v>4</v>
      </c>
      <c r="O216" s="141" t="s">
        <v>158</v>
      </c>
      <c r="P216" s="117" t="s">
        <v>211</v>
      </c>
      <c r="Q216" s="407">
        <v>46037</v>
      </c>
      <c r="R216" s="40" t="s">
        <v>445</v>
      </c>
      <c r="S216" s="208" t="s">
        <v>2535</v>
      </c>
      <c r="T216" s="357"/>
      <c r="U216" s="84"/>
      <c r="V216" s="84"/>
      <c r="W216" s="84"/>
      <c r="X216" s="84"/>
      <c r="Y216" s="84"/>
      <c r="Z216" s="84"/>
      <c r="AA216" s="16"/>
      <c r="AB216" s="16"/>
      <c r="AC216" s="16"/>
      <c r="AD216" s="16"/>
      <c r="AE216" s="16"/>
      <c r="AF216" s="16"/>
      <c r="AG216" s="16"/>
    </row>
    <row r="217" spans="1:33" ht="15.75" customHeight="1" x14ac:dyDescent="0.3">
      <c r="A217" s="16"/>
      <c r="B217" s="16"/>
      <c r="C217" s="130">
        <f t="shared" ca="1" si="6"/>
        <v>199</v>
      </c>
      <c r="D217" s="636"/>
      <c r="E217" s="636"/>
      <c r="F217" s="567" t="s">
        <v>459</v>
      </c>
      <c r="G217" s="219" t="s">
        <v>455</v>
      </c>
      <c r="H217" s="243"/>
      <c r="I217" s="608"/>
      <c r="J217" s="172" t="s">
        <v>315</v>
      </c>
      <c r="K217" s="226" t="s">
        <v>371</v>
      </c>
      <c r="L217" s="141" t="s">
        <v>15</v>
      </c>
      <c r="M217" s="193">
        <v>46042</v>
      </c>
      <c r="N217" s="194" t="s">
        <v>4</v>
      </c>
      <c r="O217" s="141" t="s">
        <v>158</v>
      </c>
      <c r="P217" s="117" t="s">
        <v>211</v>
      </c>
      <c r="Q217" s="407">
        <v>46037</v>
      </c>
      <c r="R217" s="40" t="s">
        <v>445</v>
      </c>
      <c r="S217" s="208" t="s">
        <v>2536</v>
      </c>
      <c r="T217" s="357"/>
      <c r="U217" s="84"/>
      <c r="V217" s="84"/>
      <c r="W217" s="84"/>
      <c r="X217" s="84"/>
      <c r="Y217" s="84"/>
      <c r="Z217" s="84"/>
      <c r="AA217" s="16"/>
      <c r="AB217" s="16"/>
      <c r="AC217" s="16"/>
      <c r="AD217" s="16"/>
      <c r="AE217" s="16"/>
      <c r="AF217" s="16"/>
      <c r="AG217" s="16"/>
    </row>
    <row r="218" spans="1:33" ht="15.75" customHeight="1" x14ac:dyDescent="0.3">
      <c r="A218" s="16"/>
      <c r="B218" s="16"/>
      <c r="C218" s="130">
        <f t="shared" ca="1" si="6"/>
        <v>200</v>
      </c>
      <c r="D218" s="166" t="s">
        <v>316</v>
      </c>
      <c r="E218" s="242" t="s">
        <v>257</v>
      </c>
      <c r="F218" s="567" t="s">
        <v>457</v>
      </c>
      <c r="G218" s="219" t="s">
        <v>448</v>
      </c>
      <c r="H218" s="243"/>
      <c r="I218" s="172"/>
      <c r="J218" s="172" t="s">
        <v>261</v>
      </c>
      <c r="K218" s="245" t="s">
        <v>2537</v>
      </c>
      <c r="L218" s="141" t="s">
        <v>15</v>
      </c>
      <c r="M218" s="193">
        <v>46042</v>
      </c>
      <c r="N218" s="194" t="s">
        <v>4</v>
      </c>
      <c r="O218" s="141" t="s">
        <v>15</v>
      </c>
      <c r="P218" s="117"/>
      <c r="Q218" s="407">
        <v>46037</v>
      </c>
      <c r="R218" s="40" t="s">
        <v>445</v>
      </c>
      <c r="S218" s="208"/>
      <c r="T218" s="357"/>
      <c r="U218" s="84"/>
      <c r="V218" s="84"/>
      <c r="W218" s="84"/>
      <c r="X218" s="84"/>
      <c r="Y218" s="84"/>
      <c r="Z218" s="84"/>
      <c r="AA218" s="16"/>
      <c r="AB218" s="16"/>
      <c r="AC218" s="16"/>
      <c r="AD218" s="16"/>
      <c r="AE218" s="16"/>
      <c r="AF218" s="16"/>
      <c r="AG218" s="16"/>
    </row>
    <row r="219" spans="1:33" ht="15.75" customHeight="1" x14ac:dyDescent="0.3">
      <c r="A219" s="16"/>
      <c r="B219" s="16"/>
      <c r="C219" s="130">
        <f t="shared" ca="1" si="6"/>
        <v>201</v>
      </c>
      <c r="D219" s="166" t="s">
        <v>2259</v>
      </c>
      <c r="E219" s="242" t="s">
        <v>237</v>
      </c>
      <c r="F219" s="567" t="s">
        <v>459</v>
      </c>
      <c r="G219" s="219" t="s">
        <v>448</v>
      </c>
      <c r="H219" s="243"/>
      <c r="I219" s="172" t="s">
        <v>364</v>
      </c>
      <c r="J219" s="172" t="s">
        <v>232</v>
      </c>
      <c r="K219" s="244" t="s">
        <v>2538</v>
      </c>
      <c r="L219" s="141" t="s">
        <v>15</v>
      </c>
      <c r="M219" s="193">
        <v>46045</v>
      </c>
      <c r="N219" s="194" t="s">
        <v>4</v>
      </c>
      <c r="O219" s="141" t="s">
        <v>15</v>
      </c>
      <c r="P219" s="117"/>
      <c r="Q219" s="407">
        <v>46037</v>
      </c>
      <c r="R219" s="40" t="s">
        <v>445</v>
      </c>
      <c r="S219" s="208"/>
      <c r="T219" s="357"/>
      <c r="U219" s="84"/>
      <c r="V219" s="84"/>
      <c r="W219" s="84"/>
      <c r="X219" s="84"/>
      <c r="Y219" s="84"/>
      <c r="Z219" s="84"/>
      <c r="AA219" s="16"/>
      <c r="AB219" s="16"/>
      <c r="AC219" s="16"/>
      <c r="AD219" s="16"/>
      <c r="AE219" s="16"/>
      <c r="AF219" s="16"/>
      <c r="AG219" s="16"/>
    </row>
    <row r="220" spans="1:33" ht="15.75" customHeight="1" x14ac:dyDescent="0.3">
      <c r="A220" s="16"/>
      <c r="B220" s="16"/>
      <c r="C220" s="130">
        <f t="shared" ca="1" si="6"/>
        <v>202</v>
      </c>
      <c r="D220" s="166" t="s">
        <v>2259</v>
      </c>
      <c r="E220" s="242" t="s">
        <v>237</v>
      </c>
      <c r="F220" s="567" t="s">
        <v>459</v>
      </c>
      <c r="G220" s="219" t="s">
        <v>448</v>
      </c>
      <c r="H220" s="243"/>
      <c r="I220" s="172" t="s">
        <v>372</v>
      </c>
      <c r="J220" s="172" t="s">
        <v>232</v>
      </c>
      <c r="K220" s="245" t="s">
        <v>2539</v>
      </c>
      <c r="L220" s="141" t="s">
        <v>15</v>
      </c>
      <c r="M220" s="193">
        <v>46045</v>
      </c>
      <c r="N220" s="194" t="s">
        <v>4</v>
      </c>
      <c r="O220" s="141" t="s">
        <v>15</v>
      </c>
      <c r="P220" s="117"/>
      <c r="Q220" s="407">
        <v>46037</v>
      </c>
      <c r="R220" s="40" t="s">
        <v>445</v>
      </c>
      <c r="S220" s="208"/>
      <c r="T220" s="357"/>
      <c r="U220" s="84"/>
      <c r="V220" s="84"/>
      <c r="W220" s="84"/>
      <c r="X220" s="84"/>
      <c r="Y220" s="84"/>
      <c r="Z220" s="84"/>
      <c r="AA220" s="16"/>
      <c r="AB220" s="16"/>
      <c r="AC220" s="16"/>
      <c r="AD220" s="16"/>
      <c r="AE220" s="16"/>
      <c r="AF220" s="16"/>
      <c r="AG220" s="16"/>
    </row>
    <row r="221" spans="1:33" ht="77.25" customHeight="1" x14ac:dyDescent="0.3">
      <c r="A221" s="16"/>
      <c r="B221" s="16"/>
      <c r="C221" s="130">
        <f t="shared" ca="1" si="6"/>
        <v>203</v>
      </c>
      <c r="D221" s="166" t="s">
        <v>317</v>
      </c>
      <c r="E221" s="242"/>
      <c r="F221" s="567" t="s">
        <v>459</v>
      </c>
      <c r="G221" s="219" t="s">
        <v>448</v>
      </c>
      <c r="H221" s="243"/>
      <c r="I221" s="172"/>
      <c r="J221" s="172" t="s">
        <v>242</v>
      </c>
      <c r="K221" s="249" t="s">
        <v>318</v>
      </c>
      <c r="L221" s="141" t="s">
        <v>15</v>
      </c>
      <c r="M221" s="193">
        <v>46042</v>
      </c>
      <c r="N221" s="194" t="s">
        <v>4</v>
      </c>
      <c r="O221" s="141" t="s">
        <v>15</v>
      </c>
      <c r="P221" s="117"/>
      <c r="Q221" s="407">
        <v>46037</v>
      </c>
      <c r="R221" s="40" t="s">
        <v>445</v>
      </c>
      <c r="S221" s="208"/>
      <c r="T221" s="357"/>
      <c r="U221" s="84"/>
      <c r="V221" s="84"/>
      <c r="W221" s="84"/>
      <c r="X221" s="84"/>
      <c r="Y221" s="84"/>
      <c r="Z221" s="84"/>
      <c r="AA221" s="16"/>
      <c r="AB221" s="16"/>
      <c r="AC221" s="16"/>
      <c r="AD221" s="16"/>
      <c r="AE221" s="16"/>
      <c r="AF221" s="16"/>
      <c r="AG221" s="16"/>
    </row>
    <row r="222" spans="1:33" ht="49.5" customHeight="1" x14ac:dyDescent="0.3">
      <c r="A222" s="16"/>
      <c r="B222" s="16"/>
      <c r="C222" s="130">
        <f t="shared" ca="1" si="6"/>
        <v>204</v>
      </c>
      <c r="D222" s="166"/>
      <c r="E222" s="242"/>
      <c r="F222" s="567"/>
      <c r="G222" s="219"/>
      <c r="H222" s="243"/>
      <c r="I222" s="172"/>
      <c r="J222" s="172" t="s">
        <v>310</v>
      </c>
      <c r="K222" s="249" t="s">
        <v>2540</v>
      </c>
      <c r="L222" s="141" t="s">
        <v>15</v>
      </c>
      <c r="M222" s="193">
        <v>46045</v>
      </c>
      <c r="N222" s="194" t="s">
        <v>4</v>
      </c>
      <c r="O222" s="141" t="s">
        <v>15</v>
      </c>
      <c r="P222" s="117"/>
      <c r="Q222" s="407">
        <v>46037</v>
      </c>
      <c r="R222" s="40" t="s">
        <v>445</v>
      </c>
      <c r="S222" s="208"/>
      <c r="T222" s="357"/>
      <c r="U222" s="84"/>
      <c r="V222" s="84"/>
      <c r="W222" s="84"/>
      <c r="X222" s="84"/>
      <c r="Y222" s="84"/>
      <c r="Z222" s="84"/>
      <c r="AA222" s="16"/>
      <c r="AB222" s="16"/>
      <c r="AC222" s="16"/>
      <c r="AD222" s="16"/>
      <c r="AE222" s="16"/>
      <c r="AF222" s="16"/>
      <c r="AG222" s="16"/>
    </row>
    <row r="223" spans="1:33" ht="15.75" customHeight="1" x14ac:dyDescent="0.3">
      <c r="A223" s="16"/>
      <c r="B223" s="16"/>
      <c r="C223" s="130">
        <f t="shared" ca="1" si="6"/>
        <v>205</v>
      </c>
      <c r="D223" s="166" t="s">
        <v>304</v>
      </c>
      <c r="E223" s="242"/>
      <c r="F223" s="567" t="s">
        <v>459</v>
      </c>
      <c r="G223" s="219" t="s">
        <v>448</v>
      </c>
      <c r="H223" s="243"/>
      <c r="I223" s="172"/>
      <c r="J223" s="172" t="s">
        <v>242</v>
      </c>
      <c r="K223" s="249" t="s">
        <v>305</v>
      </c>
      <c r="L223" s="141" t="s">
        <v>15</v>
      </c>
      <c r="M223" s="193">
        <v>46042</v>
      </c>
      <c r="N223" s="194" t="s">
        <v>4</v>
      </c>
      <c r="O223" s="141" t="s">
        <v>15</v>
      </c>
      <c r="P223" s="117"/>
      <c r="Q223" s="407">
        <v>46037</v>
      </c>
      <c r="R223" s="40" t="s">
        <v>445</v>
      </c>
      <c r="S223" s="208"/>
      <c r="T223" s="357"/>
      <c r="U223" s="84"/>
      <c r="V223" s="84"/>
      <c r="W223" s="84"/>
      <c r="X223" s="84"/>
      <c r="Y223" s="84"/>
      <c r="Z223" s="84"/>
      <c r="AA223" s="16"/>
      <c r="AB223" s="16"/>
      <c r="AC223" s="16"/>
      <c r="AD223" s="16"/>
      <c r="AE223" s="16"/>
      <c r="AF223" s="16"/>
      <c r="AG223" s="16"/>
    </row>
    <row r="224" spans="1:33" ht="15.75" customHeight="1" x14ac:dyDescent="0.3">
      <c r="A224" s="16"/>
      <c r="B224" s="16"/>
      <c r="C224" s="130">
        <f t="shared" ca="1" si="6"/>
        <v>206</v>
      </c>
      <c r="D224" s="658" t="s">
        <v>319</v>
      </c>
      <c r="E224" s="242" t="s">
        <v>257</v>
      </c>
      <c r="F224" s="567" t="s">
        <v>457</v>
      </c>
      <c r="G224" s="219" t="s">
        <v>448</v>
      </c>
      <c r="H224" s="243"/>
      <c r="I224" s="172"/>
      <c r="J224" s="172" t="s">
        <v>261</v>
      </c>
      <c r="K224" s="245" t="s">
        <v>2541</v>
      </c>
      <c r="L224" s="141" t="s">
        <v>15</v>
      </c>
      <c r="M224" s="193">
        <v>46045</v>
      </c>
      <c r="N224" s="194" t="s">
        <v>4</v>
      </c>
      <c r="O224" s="141" t="s">
        <v>15</v>
      </c>
      <c r="P224" s="117"/>
      <c r="Q224" s="407">
        <v>46037</v>
      </c>
      <c r="R224" s="40" t="s">
        <v>445</v>
      </c>
      <c r="S224" s="208"/>
      <c r="T224" s="357"/>
      <c r="U224" s="84"/>
      <c r="V224" s="84"/>
      <c r="W224" s="84"/>
      <c r="X224" s="84"/>
      <c r="Y224" s="84"/>
      <c r="Z224" s="84"/>
      <c r="AA224" s="16"/>
      <c r="AB224" s="16"/>
      <c r="AC224" s="16"/>
      <c r="AD224" s="16"/>
      <c r="AE224" s="16"/>
      <c r="AF224" s="16"/>
      <c r="AG224" s="16"/>
    </row>
    <row r="225" spans="1:33" ht="15.75" customHeight="1" x14ac:dyDescent="0.3">
      <c r="A225" s="16"/>
      <c r="B225" s="16"/>
      <c r="C225" s="130">
        <f t="shared" ca="1" si="6"/>
        <v>207</v>
      </c>
      <c r="D225" s="636"/>
      <c r="E225" s="665" t="s">
        <v>237</v>
      </c>
      <c r="F225" s="567" t="s">
        <v>459</v>
      </c>
      <c r="G225" s="219" t="s">
        <v>448</v>
      </c>
      <c r="H225" s="243"/>
      <c r="I225" s="657" t="s">
        <v>364</v>
      </c>
      <c r="J225" s="172" t="s">
        <v>238</v>
      </c>
      <c r="K225" s="245" t="s">
        <v>2542</v>
      </c>
      <c r="L225" s="141" t="s">
        <v>15</v>
      </c>
      <c r="M225" s="193">
        <v>46042</v>
      </c>
      <c r="N225" s="194" t="s">
        <v>4</v>
      </c>
      <c r="O225" s="141" t="s">
        <v>15</v>
      </c>
      <c r="P225" s="117"/>
      <c r="Q225" s="407">
        <v>46037</v>
      </c>
      <c r="R225" s="40" t="s">
        <v>445</v>
      </c>
      <c r="S225" s="208"/>
      <c r="T225" s="357"/>
      <c r="U225" s="84"/>
      <c r="V225" s="84"/>
      <c r="W225" s="84"/>
      <c r="X225" s="84"/>
      <c r="Y225" s="84"/>
      <c r="Z225" s="84"/>
      <c r="AA225" s="16"/>
      <c r="AB225" s="16"/>
      <c r="AC225" s="16"/>
      <c r="AD225" s="16"/>
      <c r="AE225" s="16"/>
      <c r="AF225" s="16"/>
      <c r="AG225" s="16"/>
    </row>
    <row r="226" spans="1:33" ht="15.75" customHeight="1" x14ac:dyDescent="0.3">
      <c r="A226" s="16"/>
      <c r="B226" s="16"/>
      <c r="C226" s="130">
        <f t="shared" ca="1" si="6"/>
        <v>208</v>
      </c>
      <c r="D226" s="636"/>
      <c r="E226" s="636"/>
      <c r="F226" s="567" t="s">
        <v>459</v>
      </c>
      <c r="G226" s="219" t="s">
        <v>455</v>
      </c>
      <c r="H226" s="243"/>
      <c r="I226" s="608"/>
      <c r="J226" s="172" t="s">
        <v>310</v>
      </c>
      <c r="K226" s="226" t="s">
        <v>371</v>
      </c>
      <c r="L226" s="141" t="s">
        <v>15</v>
      </c>
      <c r="M226" s="193">
        <v>46042</v>
      </c>
      <c r="N226" s="194" t="s">
        <v>4</v>
      </c>
      <c r="O226" s="141" t="s">
        <v>158</v>
      </c>
      <c r="P226" s="117" t="s">
        <v>211</v>
      </c>
      <c r="Q226" s="407">
        <v>46037</v>
      </c>
      <c r="R226" s="40" t="s">
        <v>445</v>
      </c>
      <c r="S226" s="208" t="s">
        <v>2543</v>
      </c>
      <c r="T226" s="357"/>
      <c r="U226" s="84"/>
      <c r="V226" s="84"/>
      <c r="W226" s="84"/>
      <c r="X226" s="84"/>
      <c r="Y226" s="84"/>
      <c r="Z226" s="84"/>
      <c r="AA226" s="16"/>
      <c r="AB226" s="16"/>
      <c r="AC226" s="16"/>
      <c r="AD226" s="16"/>
      <c r="AE226" s="16"/>
      <c r="AF226" s="16"/>
      <c r="AG226" s="16"/>
    </row>
    <row r="227" spans="1:33" ht="15.75" customHeight="1" x14ac:dyDescent="0.3">
      <c r="A227" s="16"/>
      <c r="B227" s="16"/>
      <c r="C227" s="130">
        <f t="shared" ca="1" si="6"/>
        <v>209</v>
      </c>
      <c r="D227" s="636"/>
      <c r="E227" s="636"/>
      <c r="F227" s="567" t="s">
        <v>459</v>
      </c>
      <c r="G227" s="219" t="s">
        <v>448</v>
      </c>
      <c r="H227" s="243"/>
      <c r="I227" s="657" t="s">
        <v>372</v>
      </c>
      <c r="J227" s="172" t="s">
        <v>311</v>
      </c>
      <c r="K227" s="245" t="s">
        <v>2544</v>
      </c>
      <c r="L227" s="141" t="s">
        <v>15</v>
      </c>
      <c r="M227" s="193">
        <v>46042</v>
      </c>
      <c r="N227" s="194" t="s">
        <v>4</v>
      </c>
      <c r="O227" s="141" t="s">
        <v>15</v>
      </c>
      <c r="P227" s="117"/>
      <c r="Q227" s="407">
        <v>46037</v>
      </c>
      <c r="R227" s="40" t="s">
        <v>445</v>
      </c>
      <c r="S227" s="208"/>
      <c r="T227" s="357"/>
      <c r="U227" s="84"/>
      <c r="V227" s="84"/>
      <c r="W227" s="84"/>
      <c r="X227" s="84"/>
      <c r="Y227" s="84"/>
      <c r="Z227" s="84"/>
      <c r="AA227" s="16"/>
      <c r="AB227" s="16"/>
      <c r="AC227" s="16"/>
      <c r="AD227" s="16"/>
      <c r="AE227" s="16"/>
      <c r="AF227" s="16"/>
      <c r="AG227" s="16"/>
    </row>
    <row r="228" spans="1:33" ht="15.75" customHeight="1" x14ac:dyDescent="0.3">
      <c r="A228" s="16"/>
      <c r="B228" s="16"/>
      <c r="C228" s="130">
        <f t="shared" ca="1" si="6"/>
        <v>210</v>
      </c>
      <c r="D228" s="636"/>
      <c r="E228" s="636"/>
      <c r="F228" s="567" t="s">
        <v>459</v>
      </c>
      <c r="G228" s="219" t="s">
        <v>448</v>
      </c>
      <c r="H228" s="243"/>
      <c r="I228" s="606"/>
      <c r="J228" s="172" t="s">
        <v>313</v>
      </c>
      <c r="K228" s="245" t="s">
        <v>2545</v>
      </c>
      <c r="L228" s="141" t="s">
        <v>15</v>
      </c>
      <c r="M228" s="193">
        <v>46042</v>
      </c>
      <c r="N228" s="194" t="s">
        <v>4</v>
      </c>
      <c r="O228" s="141" t="s">
        <v>15</v>
      </c>
      <c r="P228" s="117"/>
      <c r="Q228" s="407">
        <v>46037</v>
      </c>
      <c r="R228" s="40" t="s">
        <v>445</v>
      </c>
      <c r="S228" s="208"/>
      <c r="T228" s="357"/>
      <c r="U228" s="84"/>
      <c r="V228" s="84"/>
      <c r="W228" s="84"/>
      <c r="X228" s="84"/>
      <c r="Y228" s="84"/>
      <c r="Z228" s="84"/>
      <c r="AA228" s="16"/>
      <c r="AB228" s="16"/>
      <c r="AC228" s="16"/>
      <c r="AD228" s="16"/>
      <c r="AE228" s="16"/>
      <c r="AF228" s="16"/>
      <c r="AG228" s="16"/>
    </row>
    <row r="229" spans="1:33" ht="15.75" customHeight="1" x14ac:dyDescent="0.3">
      <c r="A229" s="16"/>
      <c r="B229" s="16"/>
      <c r="C229" s="130">
        <f t="shared" ca="1" si="6"/>
        <v>211</v>
      </c>
      <c r="D229" s="636"/>
      <c r="E229" s="636"/>
      <c r="F229" s="567" t="s">
        <v>459</v>
      </c>
      <c r="G229" s="219" t="s">
        <v>455</v>
      </c>
      <c r="H229" s="243"/>
      <c r="I229" s="608"/>
      <c r="J229" s="172" t="s">
        <v>2546</v>
      </c>
      <c r="K229" s="226" t="s">
        <v>371</v>
      </c>
      <c r="L229" s="141" t="s">
        <v>15</v>
      </c>
      <c r="M229" s="193">
        <v>46042</v>
      </c>
      <c r="N229" s="194" t="s">
        <v>4</v>
      </c>
      <c r="O229" s="141" t="s">
        <v>158</v>
      </c>
      <c r="P229" s="117" t="s">
        <v>211</v>
      </c>
      <c r="Q229" s="407">
        <v>46037</v>
      </c>
      <c r="R229" s="40" t="s">
        <v>445</v>
      </c>
      <c r="S229" s="208" t="s">
        <v>2547</v>
      </c>
      <c r="T229" s="357"/>
      <c r="U229" s="84"/>
      <c r="V229" s="84"/>
      <c r="W229" s="84"/>
      <c r="X229" s="84"/>
      <c r="Y229" s="84"/>
      <c r="Z229" s="84"/>
      <c r="AA229" s="16"/>
      <c r="AB229" s="16"/>
      <c r="AC229" s="16"/>
      <c r="AD229" s="16"/>
      <c r="AE229" s="16"/>
      <c r="AF229" s="16"/>
      <c r="AG229" s="16"/>
    </row>
    <row r="230" spans="1:33" ht="15.75" customHeight="1" x14ac:dyDescent="0.3">
      <c r="A230" s="16"/>
      <c r="B230" s="16"/>
      <c r="C230" s="130">
        <f t="shared" ca="1" si="6"/>
        <v>212</v>
      </c>
      <c r="D230" s="658" t="s">
        <v>320</v>
      </c>
      <c r="E230" s="242" t="s">
        <v>257</v>
      </c>
      <c r="F230" s="567" t="s">
        <v>457</v>
      </c>
      <c r="G230" s="219" t="s">
        <v>448</v>
      </c>
      <c r="H230" s="243"/>
      <c r="I230" s="172"/>
      <c r="J230" s="172" t="s">
        <v>261</v>
      </c>
      <c r="K230" s="245" t="s">
        <v>2548</v>
      </c>
      <c r="L230" s="141" t="s">
        <v>15</v>
      </c>
      <c r="M230" s="193">
        <v>46045</v>
      </c>
      <c r="N230" s="194" t="s">
        <v>4</v>
      </c>
      <c r="O230" s="141" t="s">
        <v>15</v>
      </c>
      <c r="P230" s="117"/>
      <c r="Q230" s="407">
        <v>46037</v>
      </c>
      <c r="R230" s="40" t="s">
        <v>445</v>
      </c>
      <c r="S230" s="208"/>
      <c r="T230" s="357"/>
      <c r="U230" s="84"/>
      <c r="V230" s="84"/>
      <c r="W230" s="84"/>
      <c r="X230" s="84"/>
      <c r="Y230" s="84"/>
      <c r="Z230" s="84"/>
      <c r="AA230" s="16"/>
      <c r="AB230" s="16"/>
      <c r="AC230" s="16"/>
      <c r="AD230" s="16"/>
      <c r="AE230" s="16"/>
      <c r="AF230" s="16"/>
      <c r="AG230" s="16"/>
    </row>
    <row r="231" spans="1:33" ht="15.75" customHeight="1" x14ac:dyDescent="0.3">
      <c r="A231" s="16"/>
      <c r="B231" s="16"/>
      <c r="C231" s="130">
        <f t="shared" ca="1" si="6"/>
        <v>213</v>
      </c>
      <c r="D231" s="636"/>
      <c r="E231" s="665" t="s">
        <v>237</v>
      </c>
      <c r="F231" s="567" t="s">
        <v>459</v>
      </c>
      <c r="G231" s="219" t="s">
        <v>448</v>
      </c>
      <c r="H231" s="243"/>
      <c r="I231" s="657" t="s">
        <v>364</v>
      </c>
      <c r="J231" s="172" t="s">
        <v>238</v>
      </c>
      <c r="K231" s="245" t="s">
        <v>2549</v>
      </c>
      <c r="L231" s="141" t="s">
        <v>15</v>
      </c>
      <c r="M231" s="193">
        <v>46042</v>
      </c>
      <c r="N231" s="194" t="s">
        <v>4</v>
      </c>
      <c r="O231" s="141" t="s">
        <v>15</v>
      </c>
      <c r="P231" s="117"/>
      <c r="Q231" s="407">
        <v>46037</v>
      </c>
      <c r="R231" s="40" t="s">
        <v>445</v>
      </c>
      <c r="S231" s="208"/>
      <c r="T231" s="357"/>
      <c r="U231" s="84"/>
      <c r="V231" s="84"/>
      <c r="W231" s="84"/>
      <c r="X231" s="84"/>
      <c r="Y231" s="84"/>
      <c r="Z231" s="84"/>
      <c r="AA231" s="16"/>
      <c r="AB231" s="16"/>
      <c r="AC231" s="16"/>
      <c r="AD231" s="16"/>
      <c r="AE231" s="16"/>
      <c r="AF231" s="16"/>
      <c r="AG231" s="16"/>
    </row>
    <row r="232" spans="1:33" ht="15.75" customHeight="1" x14ac:dyDescent="0.3">
      <c r="A232" s="16"/>
      <c r="B232" s="16"/>
      <c r="C232" s="130">
        <f t="shared" ca="1" si="6"/>
        <v>214</v>
      </c>
      <c r="D232" s="636"/>
      <c r="E232" s="636"/>
      <c r="F232" s="567" t="s">
        <v>459</v>
      </c>
      <c r="G232" s="219" t="s">
        <v>455</v>
      </c>
      <c r="H232" s="243"/>
      <c r="I232" s="608"/>
      <c r="J232" s="172" t="s">
        <v>310</v>
      </c>
      <c r="K232" s="226" t="s">
        <v>371</v>
      </c>
      <c r="L232" s="141" t="s">
        <v>15</v>
      </c>
      <c r="M232" s="193">
        <v>46042</v>
      </c>
      <c r="N232" s="194" t="s">
        <v>4</v>
      </c>
      <c r="O232" s="141" t="s">
        <v>158</v>
      </c>
      <c r="P232" s="117" t="s">
        <v>211</v>
      </c>
      <c r="Q232" s="407">
        <v>46037</v>
      </c>
      <c r="R232" s="40" t="s">
        <v>445</v>
      </c>
      <c r="S232" s="208" t="s">
        <v>2550</v>
      </c>
      <c r="T232" s="357"/>
      <c r="U232" s="84"/>
      <c r="V232" s="84"/>
      <c r="W232" s="84"/>
      <c r="X232" s="84"/>
      <c r="Y232" s="84"/>
      <c r="Z232" s="84"/>
      <c r="AA232" s="16"/>
      <c r="AB232" s="16"/>
      <c r="AC232" s="16"/>
      <c r="AD232" s="16"/>
      <c r="AE232" s="16"/>
      <c r="AF232" s="16"/>
      <c r="AG232" s="16"/>
    </row>
    <row r="233" spans="1:33" ht="15.75" customHeight="1" x14ac:dyDescent="0.3">
      <c r="A233" s="16"/>
      <c r="B233" s="16"/>
      <c r="C233" s="130">
        <f t="shared" ca="1" si="6"/>
        <v>215</v>
      </c>
      <c r="D233" s="636"/>
      <c r="E233" s="636"/>
      <c r="F233" s="567" t="s">
        <v>459</v>
      </c>
      <c r="G233" s="219" t="s">
        <v>448</v>
      </c>
      <c r="H233" s="243"/>
      <c r="I233" s="657" t="s">
        <v>372</v>
      </c>
      <c r="J233" s="172" t="s">
        <v>311</v>
      </c>
      <c r="K233" s="245" t="s">
        <v>2551</v>
      </c>
      <c r="L233" s="141" t="s">
        <v>15</v>
      </c>
      <c r="M233" s="193">
        <v>46042</v>
      </c>
      <c r="N233" s="194" t="s">
        <v>4</v>
      </c>
      <c r="O233" s="141" t="s">
        <v>15</v>
      </c>
      <c r="P233" s="117"/>
      <c r="Q233" s="407">
        <v>46037</v>
      </c>
      <c r="R233" s="40" t="s">
        <v>445</v>
      </c>
      <c r="S233" s="208"/>
      <c r="T233" s="357"/>
      <c r="U233" s="84"/>
      <c r="V233" s="84"/>
      <c r="W233" s="84"/>
      <c r="X233" s="84"/>
      <c r="Y233" s="84"/>
      <c r="Z233" s="84"/>
      <c r="AA233" s="16"/>
      <c r="AB233" s="16"/>
      <c r="AC233" s="16"/>
      <c r="AD233" s="16"/>
      <c r="AE233" s="16"/>
      <c r="AF233" s="16"/>
      <c r="AG233" s="16"/>
    </row>
    <row r="234" spans="1:33" ht="15.75" customHeight="1" x14ac:dyDescent="0.3">
      <c r="A234" s="16"/>
      <c r="B234" s="16"/>
      <c r="C234" s="130">
        <f t="shared" ca="1" si="6"/>
        <v>216</v>
      </c>
      <c r="D234" s="636"/>
      <c r="E234" s="636"/>
      <c r="F234" s="567" t="s">
        <v>459</v>
      </c>
      <c r="G234" s="219" t="s">
        <v>448</v>
      </c>
      <c r="H234" s="243"/>
      <c r="I234" s="606"/>
      <c r="J234" s="172" t="s">
        <v>313</v>
      </c>
      <c r="K234" s="245" t="s">
        <v>2552</v>
      </c>
      <c r="L234" s="141" t="s">
        <v>15</v>
      </c>
      <c r="M234" s="193">
        <v>46042</v>
      </c>
      <c r="N234" s="194" t="s">
        <v>4</v>
      </c>
      <c r="O234" s="141" t="s">
        <v>15</v>
      </c>
      <c r="P234" s="117"/>
      <c r="Q234" s="407">
        <v>46037</v>
      </c>
      <c r="R234" s="40" t="s">
        <v>445</v>
      </c>
      <c r="S234" s="208"/>
      <c r="T234" s="357"/>
      <c r="U234" s="84"/>
      <c r="V234" s="84"/>
      <c r="W234" s="84"/>
      <c r="X234" s="84"/>
      <c r="Y234" s="84"/>
      <c r="Z234" s="84"/>
      <c r="AA234" s="16"/>
      <c r="AB234" s="16"/>
      <c r="AC234" s="16"/>
      <c r="AD234" s="16"/>
      <c r="AE234" s="16"/>
      <c r="AF234" s="16"/>
      <c r="AG234" s="16"/>
    </row>
    <row r="235" spans="1:33" ht="15.75" customHeight="1" x14ac:dyDescent="0.3">
      <c r="A235" s="16"/>
      <c r="B235" s="16"/>
      <c r="C235" s="130">
        <f t="shared" ca="1" si="6"/>
        <v>217</v>
      </c>
      <c r="D235" s="636"/>
      <c r="E235" s="636"/>
      <c r="F235" s="567" t="s">
        <v>459</v>
      </c>
      <c r="G235" s="219" t="s">
        <v>455</v>
      </c>
      <c r="H235" s="243"/>
      <c r="I235" s="608"/>
      <c r="J235" s="172" t="s">
        <v>2553</v>
      </c>
      <c r="K235" s="226" t="s">
        <v>371</v>
      </c>
      <c r="L235" s="141" t="s">
        <v>15</v>
      </c>
      <c r="M235" s="193">
        <v>46042</v>
      </c>
      <c r="N235" s="194" t="s">
        <v>4</v>
      </c>
      <c r="O235" s="141" t="s">
        <v>158</v>
      </c>
      <c r="P235" s="117" t="s">
        <v>211</v>
      </c>
      <c r="Q235" s="407">
        <v>46037</v>
      </c>
      <c r="R235" s="40" t="s">
        <v>445</v>
      </c>
      <c r="S235" s="208" t="s">
        <v>2554</v>
      </c>
      <c r="T235" s="357"/>
      <c r="U235" s="84"/>
      <c r="V235" s="84"/>
      <c r="W235" s="84"/>
      <c r="X235" s="84"/>
      <c r="Y235" s="84"/>
      <c r="Z235" s="84"/>
      <c r="AA235" s="16"/>
      <c r="AB235" s="16"/>
      <c r="AC235" s="16"/>
      <c r="AD235" s="16"/>
      <c r="AE235" s="16"/>
      <c r="AF235" s="16"/>
      <c r="AG235" s="16"/>
    </row>
    <row r="236" spans="1:33" ht="15.75" customHeight="1" x14ac:dyDescent="0.3">
      <c r="A236" s="16"/>
      <c r="B236" s="16"/>
      <c r="C236" s="130">
        <f t="shared" ca="1" si="6"/>
        <v>218</v>
      </c>
      <c r="D236" s="658" t="s">
        <v>321</v>
      </c>
      <c r="E236" s="251" t="s">
        <v>257</v>
      </c>
      <c r="F236" s="567" t="s">
        <v>457</v>
      </c>
      <c r="G236" s="219" t="s">
        <v>448</v>
      </c>
      <c r="H236" s="243"/>
      <c r="I236" s="172"/>
      <c r="J236" s="172" t="s">
        <v>261</v>
      </c>
      <c r="K236" s="245" t="s">
        <v>2555</v>
      </c>
      <c r="L236" s="141" t="s">
        <v>15</v>
      </c>
      <c r="M236" s="193">
        <v>46042</v>
      </c>
      <c r="N236" s="194" t="s">
        <v>4</v>
      </c>
      <c r="O236" s="141" t="s">
        <v>15</v>
      </c>
      <c r="P236" s="117"/>
      <c r="Q236" s="407">
        <v>46037</v>
      </c>
      <c r="R236" s="40" t="s">
        <v>445</v>
      </c>
      <c r="S236" s="208"/>
      <c r="T236" s="357"/>
      <c r="U236" s="84"/>
      <c r="V236" s="84"/>
      <c r="W236" s="84"/>
      <c r="X236" s="84"/>
      <c r="Y236" s="84"/>
      <c r="Z236" s="84"/>
      <c r="AA236" s="16"/>
      <c r="AB236" s="16"/>
      <c r="AC236" s="16"/>
      <c r="AD236" s="16"/>
      <c r="AE236" s="16"/>
      <c r="AF236" s="16"/>
      <c r="AG236" s="16"/>
    </row>
    <row r="237" spans="1:33" ht="15.75" customHeight="1" x14ac:dyDescent="0.3">
      <c r="A237" s="16"/>
      <c r="B237" s="16"/>
      <c r="C237" s="130">
        <f t="shared" ca="1" si="6"/>
        <v>219</v>
      </c>
      <c r="D237" s="636"/>
      <c r="E237" s="665" t="s">
        <v>237</v>
      </c>
      <c r="F237" s="567" t="s">
        <v>459</v>
      </c>
      <c r="G237" s="219" t="s">
        <v>448</v>
      </c>
      <c r="H237" s="243"/>
      <c r="I237" s="213" t="s">
        <v>364</v>
      </c>
      <c r="J237" s="172" t="s">
        <v>238</v>
      </c>
      <c r="K237" s="245" t="s">
        <v>2556</v>
      </c>
      <c r="L237" s="141" t="s">
        <v>15</v>
      </c>
      <c r="M237" s="193">
        <v>46042</v>
      </c>
      <c r="N237" s="194" t="s">
        <v>4</v>
      </c>
      <c r="O237" s="141" t="s">
        <v>15</v>
      </c>
      <c r="P237" s="117"/>
      <c r="Q237" s="407">
        <v>46037</v>
      </c>
      <c r="R237" s="40" t="s">
        <v>445</v>
      </c>
      <c r="S237" s="208"/>
      <c r="T237" s="357"/>
      <c r="U237" s="84"/>
      <c r="V237" s="84"/>
      <c r="W237" s="84"/>
      <c r="X237" s="84"/>
      <c r="Y237" s="84"/>
      <c r="Z237" s="84"/>
      <c r="AA237" s="16"/>
      <c r="AB237" s="16"/>
      <c r="AC237" s="16"/>
      <c r="AD237" s="16"/>
      <c r="AE237" s="16"/>
      <c r="AF237" s="16"/>
      <c r="AG237" s="16"/>
    </row>
    <row r="238" spans="1:33" ht="15.75" customHeight="1" x14ac:dyDescent="0.3">
      <c r="A238" s="16"/>
      <c r="B238" s="16"/>
      <c r="C238" s="130">
        <f t="shared" ca="1" si="6"/>
        <v>220</v>
      </c>
      <c r="D238" s="636"/>
      <c r="E238" s="636"/>
      <c r="F238" s="567" t="s">
        <v>459</v>
      </c>
      <c r="G238" s="219" t="s">
        <v>455</v>
      </c>
      <c r="H238" s="243"/>
      <c r="I238" s="172" t="s">
        <v>2557</v>
      </c>
      <c r="J238" s="172" t="s">
        <v>238</v>
      </c>
      <c r="K238" s="226" t="s">
        <v>371</v>
      </c>
      <c r="L238" s="141" t="s">
        <v>15</v>
      </c>
      <c r="M238" s="193">
        <v>46045</v>
      </c>
      <c r="N238" s="194" t="s">
        <v>4</v>
      </c>
      <c r="O238" s="141" t="s">
        <v>158</v>
      </c>
      <c r="P238" s="117"/>
      <c r="Q238" s="407">
        <v>46037</v>
      </c>
      <c r="R238" s="40" t="s">
        <v>445</v>
      </c>
      <c r="S238" s="208" t="s">
        <v>2558</v>
      </c>
      <c r="T238" s="357"/>
      <c r="U238" s="84"/>
      <c r="V238" s="84"/>
      <c r="W238" s="84"/>
      <c r="X238" s="84"/>
      <c r="Y238" s="84"/>
      <c r="Z238" s="84"/>
      <c r="AA238" s="16"/>
      <c r="AB238" s="16"/>
      <c r="AC238" s="16"/>
      <c r="AD238" s="16"/>
      <c r="AE238" s="16"/>
      <c r="AF238" s="16"/>
      <c r="AG238" s="16"/>
    </row>
    <row r="239" spans="1:33" ht="15.75" customHeight="1" x14ac:dyDescent="0.3">
      <c r="A239" s="16"/>
      <c r="B239" s="16"/>
      <c r="C239" s="130">
        <f t="shared" ca="1" si="6"/>
        <v>221</v>
      </c>
      <c r="D239" s="636"/>
      <c r="E239" s="636"/>
      <c r="F239" s="567" t="s">
        <v>459</v>
      </c>
      <c r="G239" s="219" t="s">
        <v>448</v>
      </c>
      <c r="H239" s="243"/>
      <c r="I239" s="172" t="s">
        <v>2559</v>
      </c>
      <c r="J239" s="172" t="s">
        <v>238</v>
      </c>
      <c r="K239" s="226" t="s">
        <v>2560</v>
      </c>
      <c r="L239" s="141" t="s">
        <v>15</v>
      </c>
      <c r="M239" s="193">
        <v>46045</v>
      </c>
      <c r="N239" s="194" t="s">
        <v>4</v>
      </c>
      <c r="O239" s="141" t="s">
        <v>158</v>
      </c>
      <c r="P239" s="117"/>
      <c r="Q239" s="407">
        <v>46037</v>
      </c>
      <c r="R239" s="40" t="s">
        <v>445</v>
      </c>
      <c r="S239" s="208" t="s">
        <v>2561</v>
      </c>
      <c r="T239" s="357"/>
      <c r="U239" s="84"/>
      <c r="V239" s="84"/>
      <c r="W239" s="84"/>
      <c r="X239" s="84"/>
      <c r="Y239" s="84"/>
      <c r="Z239" s="84"/>
      <c r="AA239" s="16"/>
      <c r="AB239" s="16"/>
      <c r="AC239" s="16"/>
      <c r="AD239" s="16"/>
      <c r="AE239" s="16"/>
      <c r="AF239" s="16"/>
      <c r="AG239" s="16"/>
    </row>
    <row r="240" spans="1:33" ht="15.75" customHeight="1" x14ac:dyDescent="0.3">
      <c r="A240" s="16"/>
      <c r="B240" s="16"/>
      <c r="C240" s="130">
        <f t="shared" ca="1" si="6"/>
        <v>222</v>
      </c>
      <c r="D240" s="636"/>
      <c r="E240" s="636"/>
      <c r="F240" s="567" t="s">
        <v>459</v>
      </c>
      <c r="G240" s="219" t="s">
        <v>448</v>
      </c>
      <c r="H240" s="243"/>
      <c r="I240" s="172" t="s">
        <v>2562</v>
      </c>
      <c r="J240" s="172" t="s">
        <v>238</v>
      </c>
      <c r="K240" s="226" t="s">
        <v>2563</v>
      </c>
      <c r="L240" s="141" t="s">
        <v>15</v>
      </c>
      <c r="M240" s="193">
        <v>46045</v>
      </c>
      <c r="N240" s="194" t="s">
        <v>4</v>
      </c>
      <c r="O240" s="141" t="s">
        <v>158</v>
      </c>
      <c r="P240" s="117"/>
      <c r="Q240" s="407">
        <v>46037</v>
      </c>
      <c r="R240" s="40" t="s">
        <v>445</v>
      </c>
      <c r="S240" s="208" t="s">
        <v>2564</v>
      </c>
      <c r="T240" s="357"/>
      <c r="U240" s="84"/>
      <c r="V240" s="84"/>
      <c r="W240" s="84"/>
      <c r="X240" s="84"/>
      <c r="Y240" s="84"/>
      <c r="Z240" s="84"/>
      <c r="AA240" s="16"/>
      <c r="AB240" s="16"/>
      <c r="AC240" s="16"/>
      <c r="AD240" s="16"/>
      <c r="AE240" s="16"/>
      <c r="AF240" s="16"/>
      <c r="AG240" s="16"/>
    </row>
    <row r="241" spans="1:33" ht="15.75" customHeight="1" x14ac:dyDescent="0.3">
      <c r="A241" s="16"/>
      <c r="B241" s="16"/>
      <c r="C241" s="130">
        <f t="shared" ca="1" si="6"/>
        <v>223</v>
      </c>
      <c r="D241" s="636"/>
      <c r="E241" s="636"/>
      <c r="F241" s="567" t="s">
        <v>459</v>
      </c>
      <c r="G241" s="219" t="s">
        <v>448</v>
      </c>
      <c r="H241" s="243"/>
      <c r="I241" s="172" t="s">
        <v>2565</v>
      </c>
      <c r="J241" s="172" t="s">
        <v>238</v>
      </c>
      <c r="K241" s="226" t="s">
        <v>2566</v>
      </c>
      <c r="L241" s="141" t="s">
        <v>15</v>
      </c>
      <c r="M241" s="193">
        <v>46045</v>
      </c>
      <c r="N241" s="194" t="s">
        <v>4</v>
      </c>
      <c r="O241" s="141" t="s">
        <v>158</v>
      </c>
      <c r="P241" s="117"/>
      <c r="Q241" s="407">
        <v>46037</v>
      </c>
      <c r="R241" s="40" t="s">
        <v>445</v>
      </c>
      <c r="S241" s="208" t="s">
        <v>2567</v>
      </c>
      <c r="T241" s="357"/>
      <c r="U241" s="84"/>
      <c r="V241" s="84"/>
      <c r="W241" s="84"/>
      <c r="X241" s="84"/>
      <c r="Y241" s="84"/>
      <c r="Z241" s="84"/>
      <c r="AA241" s="16"/>
      <c r="AB241" s="16"/>
      <c r="AC241" s="16"/>
      <c r="AD241" s="16"/>
      <c r="AE241" s="16"/>
      <c r="AF241" s="16"/>
      <c r="AG241" s="16"/>
    </row>
    <row r="242" spans="1:33" ht="15.75" customHeight="1" x14ac:dyDescent="0.3">
      <c r="A242" s="16"/>
      <c r="B242" s="16"/>
      <c r="C242" s="130">
        <f t="shared" ca="1" si="6"/>
        <v>224</v>
      </c>
      <c r="D242" s="636"/>
      <c r="E242" s="636"/>
      <c r="F242" s="567" t="s">
        <v>459</v>
      </c>
      <c r="G242" s="219" t="s">
        <v>448</v>
      </c>
      <c r="H242" s="243"/>
      <c r="I242" s="172" t="s">
        <v>2568</v>
      </c>
      <c r="J242" s="172" t="s">
        <v>238</v>
      </c>
      <c r="K242" s="226" t="s">
        <v>2569</v>
      </c>
      <c r="L242" s="141" t="s">
        <v>15</v>
      </c>
      <c r="M242" s="193">
        <v>46045</v>
      </c>
      <c r="N242" s="194" t="s">
        <v>4</v>
      </c>
      <c r="O242" s="141" t="s">
        <v>158</v>
      </c>
      <c r="P242" s="117"/>
      <c r="Q242" s="407">
        <v>46037</v>
      </c>
      <c r="R242" s="40" t="s">
        <v>445</v>
      </c>
      <c r="S242" s="208" t="s">
        <v>2570</v>
      </c>
      <c r="T242" s="357"/>
      <c r="U242" s="84"/>
      <c r="V242" s="84"/>
      <c r="W242" s="84"/>
      <c r="X242" s="84"/>
      <c r="Y242" s="84"/>
      <c r="Z242" s="84"/>
      <c r="AA242" s="16"/>
      <c r="AB242" s="16"/>
      <c r="AC242" s="16"/>
      <c r="AD242" s="16"/>
      <c r="AE242" s="16"/>
      <c r="AF242" s="16"/>
      <c r="AG242" s="16"/>
    </row>
    <row r="243" spans="1:33" ht="15.75" customHeight="1" x14ac:dyDescent="0.3">
      <c r="A243" s="16"/>
      <c r="B243" s="16"/>
      <c r="C243" s="130">
        <f t="shared" ca="1" si="6"/>
        <v>225</v>
      </c>
      <c r="D243" s="636"/>
      <c r="E243" s="636"/>
      <c r="F243" s="567" t="s">
        <v>459</v>
      </c>
      <c r="G243" s="219" t="s">
        <v>448</v>
      </c>
      <c r="H243" s="243"/>
      <c r="I243" s="213" t="s">
        <v>372</v>
      </c>
      <c r="J243" s="172" t="s">
        <v>311</v>
      </c>
      <c r="K243" s="245" t="s">
        <v>2571</v>
      </c>
      <c r="L243" s="141" t="s">
        <v>15</v>
      </c>
      <c r="M243" s="193">
        <v>46045</v>
      </c>
      <c r="N243" s="194" t="s">
        <v>4</v>
      </c>
      <c r="O243" s="141" t="s">
        <v>158</v>
      </c>
      <c r="P243" s="117"/>
      <c r="Q243" s="407">
        <v>46037</v>
      </c>
      <c r="R243" s="40" t="s">
        <v>445</v>
      </c>
      <c r="S243" s="208" t="s">
        <v>2572</v>
      </c>
      <c r="T243" s="357"/>
      <c r="U243" s="84"/>
      <c r="V243" s="84"/>
      <c r="W243" s="84"/>
      <c r="X243" s="84"/>
      <c r="Y243" s="84"/>
      <c r="Z243" s="84"/>
      <c r="AA243" s="16"/>
      <c r="AB243" s="16"/>
      <c r="AC243" s="16"/>
      <c r="AD243" s="16"/>
      <c r="AE243" s="16"/>
      <c r="AF243" s="16"/>
      <c r="AG243" s="16"/>
    </row>
    <row r="244" spans="1:33" ht="15.75" customHeight="1" x14ac:dyDescent="0.3">
      <c r="A244" s="16"/>
      <c r="B244" s="16"/>
      <c r="C244" s="130">
        <f t="shared" ca="1" si="6"/>
        <v>226</v>
      </c>
      <c r="D244" s="636"/>
      <c r="E244" s="636"/>
      <c r="F244" s="567" t="s">
        <v>459</v>
      </c>
      <c r="G244" s="219" t="s">
        <v>448</v>
      </c>
      <c r="H244" s="243"/>
      <c r="I244" s="569"/>
      <c r="J244" s="172" t="s">
        <v>313</v>
      </c>
      <c r="K244" s="245" t="s">
        <v>2573</v>
      </c>
      <c r="L244" s="141" t="s">
        <v>15</v>
      </c>
      <c r="M244" s="193">
        <v>46045</v>
      </c>
      <c r="N244" s="194" t="s">
        <v>4</v>
      </c>
      <c r="O244" s="141" t="s">
        <v>158</v>
      </c>
      <c r="P244" s="117"/>
      <c r="Q244" s="407">
        <v>46037</v>
      </c>
      <c r="R244" s="40" t="s">
        <v>445</v>
      </c>
      <c r="S244" s="208" t="s">
        <v>2574</v>
      </c>
      <c r="T244" s="357"/>
      <c r="U244" s="84"/>
      <c r="V244" s="84"/>
      <c r="W244" s="84"/>
      <c r="X244" s="84"/>
      <c r="Y244" s="84"/>
      <c r="Z244" s="84"/>
      <c r="AA244" s="16"/>
      <c r="AB244" s="16"/>
      <c r="AC244" s="16"/>
      <c r="AD244" s="16"/>
      <c r="AE244" s="16"/>
      <c r="AF244" s="16"/>
      <c r="AG244" s="16"/>
    </row>
    <row r="245" spans="1:33" ht="15.75" customHeight="1" x14ac:dyDescent="0.3">
      <c r="A245" s="16"/>
      <c r="B245" s="16"/>
      <c r="C245" s="130">
        <f t="shared" ca="1" si="6"/>
        <v>227</v>
      </c>
      <c r="D245" s="636"/>
      <c r="E245" s="636"/>
      <c r="F245" s="567" t="s">
        <v>459</v>
      </c>
      <c r="G245" s="219" t="s">
        <v>455</v>
      </c>
      <c r="H245" s="243"/>
      <c r="I245" s="172" t="s">
        <v>2575</v>
      </c>
      <c r="J245" s="172" t="s">
        <v>238</v>
      </c>
      <c r="K245" s="226" t="s">
        <v>371</v>
      </c>
      <c r="L245" s="141" t="s">
        <v>15</v>
      </c>
      <c r="M245" s="193">
        <v>46045</v>
      </c>
      <c r="N245" s="194" t="s">
        <v>4</v>
      </c>
      <c r="O245" s="141" t="s">
        <v>158</v>
      </c>
      <c r="P245" s="117"/>
      <c r="Q245" s="407">
        <v>46037</v>
      </c>
      <c r="R245" s="40" t="s">
        <v>445</v>
      </c>
      <c r="S245" s="208" t="s">
        <v>2576</v>
      </c>
      <c r="T245" s="357"/>
      <c r="U245" s="84"/>
      <c r="V245" s="84"/>
      <c r="W245" s="84"/>
      <c r="X245" s="84"/>
      <c r="Y245" s="84"/>
      <c r="Z245" s="84"/>
      <c r="AA245" s="16"/>
      <c r="AB245" s="16"/>
      <c r="AC245" s="16"/>
      <c r="AD245" s="16"/>
      <c r="AE245" s="16"/>
      <c r="AF245" s="16"/>
      <c r="AG245" s="16"/>
    </row>
    <row r="246" spans="1:33" ht="15.75" customHeight="1" x14ac:dyDescent="0.3">
      <c r="A246" s="16"/>
      <c r="B246" s="16"/>
      <c r="C246" s="130">
        <f t="shared" ca="1" si="6"/>
        <v>228</v>
      </c>
      <c r="D246" s="636"/>
      <c r="E246" s="636"/>
      <c r="F246" s="567" t="s">
        <v>459</v>
      </c>
      <c r="G246" s="219" t="s">
        <v>448</v>
      </c>
      <c r="H246" s="243"/>
      <c r="I246" s="172" t="s">
        <v>2577</v>
      </c>
      <c r="J246" s="172" t="s">
        <v>238</v>
      </c>
      <c r="K246" s="226" t="s">
        <v>2560</v>
      </c>
      <c r="L246" s="141" t="s">
        <v>15</v>
      </c>
      <c r="M246" s="193">
        <v>46045</v>
      </c>
      <c r="N246" s="194" t="s">
        <v>4</v>
      </c>
      <c r="O246" s="141" t="s">
        <v>158</v>
      </c>
      <c r="P246" s="117"/>
      <c r="Q246" s="407">
        <v>46037</v>
      </c>
      <c r="R246" s="40" t="s">
        <v>445</v>
      </c>
      <c r="S246" s="208" t="s">
        <v>2578</v>
      </c>
      <c r="T246" s="357"/>
      <c r="U246" s="84"/>
      <c r="V246" s="84"/>
      <c r="W246" s="84"/>
      <c r="X246" s="84"/>
      <c r="Y246" s="84"/>
      <c r="Z246" s="84"/>
      <c r="AA246" s="16"/>
      <c r="AB246" s="16"/>
      <c r="AC246" s="16"/>
      <c r="AD246" s="16"/>
      <c r="AE246" s="16"/>
      <c r="AF246" s="16"/>
      <c r="AG246" s="16"/>
    </row>
    <row r="247" spans="1:33" ht="15.75" customHeight="1" x14ac:dyDescent="0.3">
      <c r="A247" s="16"/>
      <c r="B247" s="16"/>
      <c r="C247" s="130">
        <f t="shared" ca="1" si="6"/>
        <v>229</v>
      </c>
      <c r="D247" s="636"/>
      <c r="E247" s="636"/>
      <c r="F247" s="567" t="s">
        <v>459</v>
      </c>
      <c r="G247" s="219" t="s">
        <v>448</v>
      </c>
      <c r="H247" s="243"/>
      <c r="I247" s="172" t="s">
        <v>2579</v>
      </c>
      <c r="J247" s="172" t="s">
        <v>238</v>
      </c>
      <c r="K247" s="226" t="s">
        <v>2563</v>
      </c>
      <c r="L247" s="141" t="s">
        <v>15</v>
      </c>
      <c r="M247" s="193">
        <v>46045</v>
      </c>
      <c r="N247" s="194" t="s">
        <v>4</v>
      </c>
      <c r="O247" s="141" t="s">
        <v>158</v>
      </c>
      <c r="P247" s="117"/>
      <c r="Q247" s="407">
        <v>46037</v>
      </c>
      <c r="R247" s="40" t="s">
        <v>445</v>
      </c>
      <c r="S247" s="208" t="s">
        <v>2580</v>
      </c>
      <c r="T247" s="357"/>
      <c r="U247" s="84"/>
      <c r="V247" s="84"/>
      <c r="W247" s="84"/>
      <c r="X247" s="84"/>
      <c r="Y247" s="84"/>
      <c r="Z247" s="84"/>
      <c r="AA247" s="16"/>
      <c r="AB247" s="16"/>
      <c r="AC247" s="16"/>
      <c r="AD247" s="16"/>
      <c r="AE247" s="16"/>
      <c r="AF247" s="16"/>
      <c r="AG247" s="16"/>
    </row>
    <row r="248" spans="1:33" ht="15.75" customHeight="1" x14ac:dyDescent="0.3">
      <c r="A248" s="16"/>
      <c r="B248" s="16"/>
      <c r="C248" s="130">
        <f t="shared" ca="1" si="6"/>
        <v>230</v>
      </c>
      <c r="D248" s="636"/>
      <c r="E248" s="636"/>
      <c r="F248" s="567" t="s">
        <v>459</v>
      </c>
      <c r="G248" s="219" t="s">
        <v>448</v>
      </c>
      <c r="H248" s="243"/>
      <c r="I248" s="172" t="s">
        <v>2581</v>
      </c>
      <c r="J248" s="172" t="s">
        <v>238</v>
      </c>
      <c r="K248" s="226" t="s">
        <v>2566</v>
      </c>
      <c r="L248" s="141" t="s">
        <v>15</v>
      </c>
      <c r="M248" s="193">
        <v>46045</v>
      </c>
      <c r="N248" s="194" t="s">
        <v>4</v>
      </c>
      <c r="O248" s="141" t="s">
        <v>158</v>
      </c>
      <c r="P248" s="117"/>
      <c r="Q248" s="407">
        <v>46037</v>
      </c>
      <c r="R248" s="40" t="s">
        <v>445</v>
      </c>
      <c r="S248" s="208" t="s">
        <v>2582</v>
      </c>
      <c r="T248" s="357"/>
      <c r="U248" s="84"/>
      <c r="V248" s="84"/>
      <c r="W248" s="84"/>
      <c r="X248" s="84"/>
      <c r="Y248" s="84"/>
      <c r="Z248" s="84"/>
      <c r="AA248" s="16"/>
      <c r="AB248" s="16"/>
      <c r="AC248" s="16"/>
      <c r="AD248" s="16"/>
      <c r="AE248" s="16"/>
      <c r="AF248" s="16"/>
      <c r="AG248" s="16"/>
    </row>
    <row r="249" spans="1:33" ht="15.75" customHeight="1" x14ac:dyDescent="0.3">
      <c r="A249" s="16"/>
      <c r="B249" s="16"/>
      <c r="C249" s="130">
        <f t="shared" ca="1" si="6"/>
        <v>231</v>
      </c>
      <c r="D249" s="635"/>
      <c r="E249" s="635"/>
      <c r="F249" s="567" t="s">
        <v>459</v>
      </c>
      <c r="G249" s="219" t="s">
        <v>448</v>
      </c>
      <c r="H249" s="243"/>
      <c r="I249" s="172" t="s">
        <v>2583</v>
      </c>
      <c r="J249" s="172" t="s">
        <v>238</v>
      </c>
      <c r="K249" s="226" t="s">
        <v>2569</v>
      </c>
      <c r="L249" s="141" t="s">
        <v>15</v>
      </c>
      <c r="M249" s="193">
        <v>46045</v>
      </c>
      <c r="N249" s="194" t="s">
        <v>4</v>
      </c>
      <c r="O249" s="141" t="s">
        <v>158</v>
      </c>
      <c r="P249" s="117"/>
      <c r="Q249" s="407">
        <v>46037</v>
      </c>
      <c r="R249" s="40" t="s">
        <v>445</v>
      </c>
      <c r="S249" s="208" t="s">
        <v>2584</v>
      </c>
      <c r="T249" s="357"/>
      <c r="U249" s="84"/>
      <c r="V249" s="84"/>
      <c r="W249" s="84"/>
      <c r="X249" s="84"/>
      <c r="Y249" s="84"/>
      <c r="Z249" s="84"/>
      <c r="AA249" s="16"/>
      <c r="AB249" s="16"/>
      <c r="AC249" s="16"/>
      <c r="AD249" s="16"/>
      <c r="AE249" s="16"/>
      <c r="AF249" s="16"/>
      <c r="AG249" s="16"/>
    </row>
    <row r="250" spans="1:33" ht="15.75" customHeight="1" x14ac:dyDescent="0.3">
      <c r="A250" s="16"/>
      <c r="B250" s="16"/>
      <c r="C250" s="130">
        <f t="shared" ca="1" si="6"/>
        <v>232</v>
      </c>
      <c r="D250" s="233" t="s">
        <v>322</v>
      </c>
      <c r="E250" s="251" t="s">
        <v>257</v>
      </c>
      <c r="F250" s="567" t="s">
        <v>457</v>
      </c>
      <c r="G250" s="219" t="s">
        <v>448</v>
      </c>
      <c r="H250" s="243"/>
      <c r="I250" s="172"/>
      <c r="J250" s="172" t="s">
        <v>261</v>
      </c>
      <c r="K250" s="245" t="s">
        <v>323</v>
      </c>
      <c r="L250" s="141" t="s">
        <v>15</v>
      </c>
      <c r="M250" s="193">
        <v>46043</v>
      </c>
      <c r="N250" s="194" t="s">
        <v>4</v>
      </c>
      <c r="O250" s="141" t="s">
        <v>15</v>
      </c>
      <c r="P250" s="117"/>
      <c r="Q250" s="407">
        <v>46037</v>
      </c>
      <c r="R250" s="40" t="s">
        <v>445</v>
      </c>
      <c r="S250" s="208"/>
      <c r="T250" s="357"/>
      <c r="U250" s="84"/>
      <c r="V250" s="84"/>
      <c r="W250" s="84"/>
      <c r="X250" s="84"/>
      <c r="Y250" s="84"/>
      <c r="Z250" s="84"/>
      <c r="AA250" s="16"/>
      <c r="AB250" s="16"/>
      <c r="AC250" s="16"/>
      <c r="AD250" s="16"/>
      <c r="AE250" s="16"/>
      <c r="AF250" s="16"/>
      <c r="AG250" s="16"/>
    </row>
    <row r="251" spans="1:33" ht="15.75" customHeight="1" x14ac:dyDescent="0.3">
      <c r="A251" s="16"/>
      <c r="B251" s="16"/>
      <c r="C251" s="130">
        <f t="shared" ca="1" si="6"/>
        <v>233</v>
      </c>
      <c r="D251" s="233" t="s">
        <v>324</v>
      </c>
      <c r="E251" s="251" t="s">
        <v>257</v>
      </c>
      <c r="F251" s="567" t="s">
        <v>457</v>
      </c>
      <c r="G251" s="219" t="s">
        <v>448</v>
      </c>
      <c r="H251" s="243"/>
      <c r="I251" s="172"/>
      <c r="J251" s="172" t="s">
        <v>261</v>
      </c>
      <c r="K251" s="245" t="s">
        <v>325</v>
      </c>
      <c r="L251" s="141" t="s">
        <v>15</v>
      </c>
      <c r="M251" s="193">
        <v>46042</v>
      </c>
      <c r="N251" s="194" t="s">
        <v>4</v>
      </c>
      <c r="O251" s="141" t="s">
        <v>15</v>
      </c>
      <c r="P251" s="117"/>
      <c r="Q251" s="407">
        <v>46037</v>
      </c>
      <c r="R251" s="40" t="s">
        <v>445</v>
      </c>
      <c r="S251" s="208"/>
      <c r="T251" s="357"/>
      <c r="U251" s="84"/>
      <c r="V251" s="84"/>
      <c r="W251" s="84"/>
      <c r="X251" s="84"/>
      <c r="Y251" s="84"/>
      <c r="Z251" s="84"/>
      <c r="AA251" s="16"/>
      <c r="AB251" s="16"/>
      <c r="AC251" s="16"/>
      <c r="AD251" s="16"/>
      <c r="AE251" s="16"/>
      <c r="AF251" s="16"/>
      <c r="AG251" s="16"/>
    </row>
    <row r="252" spans="1:33" ht="15.75" customHeight="1" x14ac:dyDescent="0.3">
      <c r="A252" s="16"/>
      <c r="B252" s="16"/>
      <c r="C252" s="130">
        <f t="shared" ca="1" si="6"/>
        <v>234</v>
      </c>
      <c r="D252" s="166" t="s">
        <v>2260</v>
      </c>
      <c r="E252" s="242" t="s">
        <v>237</v>
      </c>
      <c r="F252" s="567" t="s">
        <v>459</v>
      </c>
      <c r="G252" s="219" t="s">
        <v>448</v>
      </c>
      <c r="H252" s="243"/>
      <c r="I252" s="172" t="s">
        <v>364</v>
      </c>
      <c r="J252" s="172" t="s">
        <v>232</v>
      </c>
      <c r="K252" s="245" t="s">
        <v>2585</v>
      </c>
      <c r="L252" s="141" t="s">
        <v>15</v>
      </c>
      <c r="M252" s="193">
        <v>46042</v>
      </c>
      <c r="N252" s="194" t="s">
        <v>4</v>
      </c>
      <c r="O252" s="141" t="s">
        <v>15</v>
      </c>
      <c r="P252" s="117"/>
      <c r="Q252" s="407">
        <v>46037</v>
      </c>
      <c r="R252" s="40" t="s">
        <v>445</v>
      </c>
      <c r="S252" s="208"/>
      <c r="T252" s="357"/>
      <c r="U252" s="84"/>
      <c r="V252" s="84"/>
      <c r="W252" s="84"/>
      <c r="X252" s="84"/>
      <c r="Y252" s="84"/>
      <c r="Z252" s="84"/>
      <c r="AA252" s="16"/>
      <c r="AB252" s="16"/>
      <c r="AC252" s="16"/>
      <c r="AD252" s="16"/>
      <c r="AE252" s="16"/>
      <c r="AF252" s="16"/>
      <c r="AG252" s="16"/>
    </row>
    <row r="253" spans="1:33" ht="15.75" customHeight="1" x14ac:dyDescent="0.3">
      <c r="A253" s="16"/>
      <c r="B253" s="16"/>
      <c r="C253" s="130">
        <f t="shared" ca="1" si="6"/>
        <v>235</v>
      </c>
      <c r="D253" s="166" t="s">
        <v>2260</v>
      </c>
      <c r="E253" s="242" t="s">
        <v>237</v>
      </c>
      <c r="F253" s="567" t="s">
        <v>459</v>
      </c>
      <c r="G253" s="219" t="s">
        <v>448</v>
      </c>
      <c r="H253" s="243"/>
      <c r="I253" s="172" t="s">
        <v>372</v>
      </c>
      <c r="J253" s="172" t="s">
        <v>232</v>
      </c>
      <c r="K253" s="245" t="s">
        <v>2586</v>
      </c>
      <c r="L253" s="141" t="s">
        <v>15</v>
      </c>
      <c r="M253" s="193">
        <v>46045</v>
      </c>
      <c r="N253" s="194" t="s">
        <v>4</v>
      </c>
      <c r="O253" s="141" t="s">
        <v>15</v>
      </c>
      <c r="P253" s="117"/>
      <c r="Q253" s="407">
        <v>46037</v>
      </c>
      <c r="R253" s="40" t="s">
        <v>445</v>
      </c>
      <c r="S253" s="208"/>
      <c r="T253" s="357"/>
      <c r="U253" s="84"/>
      <c r="V253" s="84"/>
      <c r="W253" s="84"/>
      <c r="X253" s="84"/>
      <c r="Y253" s="84"/>
      <c r="Z253" s="84"/>
      <c r="AA253" s="16"/>
      <c r="AB253" s="16"/>
      <c r="AC253" s="16"/>
      <c r="AD253" s="16"/>
      <c r="AE253" s="16"/>
      <c r="AF253" s="16"/>
      <c r="AG253" s="16"/>
    </row>
    <row r="254" spans="1:33" ht="15.75" customHeight="1" x14ac:dyDescent="0.3">
      <c r="A254" s="16"/>
      <c r="B254" s="16"/>
      <c r="C254" s="130">
        <f t="shared" ca="1" si="6"/>
        <v>236</v>
      </c>
      <c r="D254" s="233" t="s">
        <v>326</v>
      </c>
      <c r="E254" s="251" t="s">
        <v>257</v>
      </c>
      <c r="F254" s="567" t="s">
        <v>457</v>
      </c>
      <c r="G254" s="219" t="s">
        <v>448</v>
      </c>
      <c r="H254" s="243"/>
      <c r="I254" s="172"/>
      <c r="J254" s="172" t="s">
        <v>261</v>
      </c>
      <c r="K254" s="245" t="s">
        <v>327</v>
      </c>
      <c r="L254" s="141" t="s">
        <v>15</v>
      </c>
      <c r="M254" s="193">
        <v>46045</v>
      </c>
      <c r="N254" s="194" t="s">
        <v>4</v>
      </c>
      <c r="O254" s="141" t="s">
        <v>15</v>
      </c>
      <c r="P254" s="117"/>
      <c r="Q254" s="407">
        <v>46037</v>
      </c>
      <c r="R254" s="40" t="s">
        <v>445</v>
      </c>
      <c r="S254" s="208"/>
      <c r="T254" s="357"/>
      <c r="U254" s="84"/>
      <c r="V254" s="84"/>
      <c r="W254" s="84"/>
      <c r="X254" s="84"/>
      <c r="Y254" s="84"/>
      <c r="Z254" s="84"/>
      <c r="AA254" s="16"/>
      <c r="AB254" s="16"/>
      <c r="AC254" s="16"/>
      <c r="AD254" s="16"/>
      <c r="AE254" s="16"/>
      <c r="AF254" s="16"/>
      <c r="AG254" s="16"/>
    </row>
    <row r="255" spans="1:33" ht="15.75" customHeight="1" x14ac:dyDescent="0.3">
      <c r="A255" s="16"/>
      <c r="B255" s="16"/>
      <c r="C255" s="130">
        <f t="shared" ca="1" si="6"/>
        <v>237</v>
      </c>
      <c r="D255" s="658" t="s">
        <v>328</v>
      </c>
      <c r="E255" s="251" t="s">
        <v>257</v>
      </c>
      <c r="F255" s="567" t="s">
        <v>457</v>
      </c>
      <c r="G255" s="219" t="s">
        <v>448</v>
      </c>
      <c r="H255" s="243"/>
      <c r="I255" s="172"/>
      <c r="J255" s="172" t="s">
        <v>261</v>
      </c>
      <c r="K255" s="245" t="s">
        <v>2587</v>
      </c>
      <c r="L255" s="141" t="s">
        <v>15</v>
      </c>
      <c r="M255" s="193">
        <v>46042</v>
      </c>
      <c r="N255" s="194" t="s">
        <v>4</v>
      </c>
      <c r="O255" s="141" t="s">
        <v>15</v>
      </c>
      <c r="P255" s="117"/>
      <c r="Q255" s="407">
        <v>46037</v>
      </c>
      <c r="R255" s="40" t="s">
        <v>445</v>
      </c>
      <c r="S255" s="208"/>
      <c r="T255" s="357"/>
      <c r="U255" s="84"/>
      <c r="V255" s="84"/>
      <c r="W255" s="84"/>
      <c r="X255" s="84"/>
      <c r="Y255" s="84"/>
      <c r="Z255" s="84"/>
      <c r="AA255" s="16"/>
      <c r="AB255" s="16"/>
      <c r="AC255" s="16"/>
      <c r="AD255" s="16"/>
      <c r="AE255" s="16"/>
      <c r="AF255" s="16"/>
      <c r="AG255" s="16"/>
    </row>
    <row r="256" spans="1:33" ht="15.75" customHeight="1" x14ac:dyDescent="0.3">
      <c r="A256" s="16"/>
      <c r="B256" s="16"/>
      <c r="C256" s="130">
        <f t="shared" ca="1" si="6"/>
        <v>238</v>
      </c>
      <c r="D256" s="636"/>
      <c r="E256" s="665" t="s">
        <v>237</v>
      </c>
      <c r="F256" s="567" t="s">
        <v>459</v>
      </c>
      <c r="G256" s="219" t="s">
        <v>448</v>
      </c>
      <c r="H256" s="243"/>
      <c r="I256" s="213" t="s">
        <v>364</v>
      </c>
      <c r="J256" s="172" t="s">
        <v>365</v>
      </c>
      <c r="K256" s="245" t="s">
        <v>2588</v>
      </c>
      <c r="L256" s="141" t="s">
        <v>15</v>
      </c>
      <c r="M256" s="193">
        <v>46042</v>
      </c>
      <c r="N256" s="194" t="s">
        <v>4</v>
      </c>
      <c r="O256" s="141" t="s">
        <v>15</v>
      </c>
      <c r="P256" s="117"/>
      <c r="Q256" s="407">
        <v>46037</v>
      </c>
      <c r="R256" s="40" t="s">
        <v>445</v>
      </c>
      <c r="S256" s="208"/>
      <c r="T256" s="357"/>
      <c r="U256" s="84"/>
      <c r="V256" s="84"/>
      <c r="W256" s="84"/>
      <c r="X256" s="84"/>
      <c r="Y256" s="84"/>
      <c r="Z256" s="84"/>
      <c r="AA256" s="16"/>
      <c r="AB256" s="16"/>
      <c r="AC256" s="16"/>
      <c r="AD256" s="16"/>
      <c r="AE256" s="16"/>
      <c r="AF256" s="16"/>
      <c r="AG256" s="16"/>
    </row>
    <row r="257" spans="1:33" ht="15.75" customHeight="1" x14ac:dyDescent="0.3">
      <c r="A257" s="16"/>
      <c r="B257" s="16"/>
      <c r="C257" s="130">
        <f t="shared" ca="1" si="6"/>
        <v>239</v>
      </c>
      <c r="D257" s="636"/>
      <c r="E257" s="636"/>
      <c r="F257" s="567" t="s">
        <v>459</v>
      </c>
      <c r="G257" s="219" t="s">
        <v>448</v>
      </c>
      <c r="H257" s="243"/>
      <c r="I257" s="172" t="s">
        <v>2589</v>
      </c>
      <c r="J257" s="172" t="s">
        <v>365</v>
      </c>
      <c r="K257" s="245" t="s">
        <v>2590</v>
      </c>
      <c r="L257" s="141" t="s">
        <v>15</v>
      </c>
      <c r="M257" s="193">
        <v>46042</v>
      </c>
      <c r="N257" s="194" t="s">
        <v>4</v>
      </c>
      <c r="O257" s="141" t="s">
        <v>15</v>
      </c>
      <c r="P257" s="117"/>
      <c r="Q257" s="407">
        <v>46038</v>
      </c>
      <c r="R257" s="40" t="s">
        <v>445</v>
      </c>
      <c r="S257" s="208"/>
      <c r="T257" s="357"/>
      <c r="U257" s="84"/>
      <c r="V257" s="84"/>
      <c r="W257" s="84"/>
      <c r="X257" s="84"/>
      <c r="Y257" s="84"/>
      <c r="Z257" s="84"/>
      <c r="AA257" s="16"/>
      <c r="AB257" s="16"/>
      <c r="AC257" s="16"/>
      <c r="AD257" s="16"/>
      <c r="AE257" s="16"/>
      <c r="AF257" s="16"/>
      <c r="AG257" s="16"/>
    </row>
    <row r="258" spans="1:33" ht="15.75" customHeight="1" x14ac:dyDescent="0.3">
      <c r="A258" s="16"/>
      <c r="B258" s="16"/>
      <c r="C258" s="130">
        <f t="shared" ca="1" si="6"/>
        <v>240</v>
      </c>
      <c r="D258" s="636"/>
      <c r="E258" s="636"/>
      <c r="F258" s="567" t="s">
        <v>459</v>
      </c>
      <c r="G258" s="219" t="s">
        <v>448</v>
      </c>
      <c r="H258" s="243"/>
      <c r="I258" s="172" t="s">
        <v>2591</v>
      </c>
      <c r="J258" s="172" t="s">
        <v>365</v>
      </c>
      <c r="K258" s="245" t="s">
        <v>2592</v>
      </c>
      <c r="L258" s="141" t="s">
        <v>15</v>
      </c>
      <c r="M258" s="193">
        <v>46042</v>
      </c>
      <c r="N258" s="194" t="s">
        <v>4</v>
      </c>
      <c r="O258" s="141" t="s">
        <v>15</v>
      </c>
      <c r="P258" s="117"/>
      <c r="Q258" s="407">
        <v>46038</v>
      </c>
      <c r="R258" s="40" t="s">
        <v>445</v>
      </c>
      <c r="S258" s="208"/>
      <c r="T258" s="357"/>
      <c r="U258" s="84"/>
      <c r="V258" s="84"/>
      <c r="W258" s="84"/>
      <c r="X258" s="84"/>
      <c r="Y258" s="84"/>
      <c r="Z258" s="84"/>
      <c r="AA258" s="16"/>
      <c r="AB258" s="16"/>
      <c r="AC258" s="16"/>
      <c r="AD258" s="16"/>
      <c r="AE258" s="16"/>
      <c r="AF258" s="16"/>
      <c r="AG258" s="16"/>
    </row>
    <row r="259" spans="1:33" ht="15.75" customHeight="1" x14ac:dyDescent="0.3">
      <c r="A259" s="16"/>
      <c r="B259" s="16"/>
      <c r="C259" s="130">
        <f t="shared" ca="1" si="6"/>
        <v>241</v>
      </c>
      <c r="D259" s="636"/>
      <c r="E259" s="636"/>
      <c r="F259" s="567" t="s">
        <v>459</v>
      </c>
      <c r="G259" s="219" t="s">
        <v>448</v>
      </c>
      <c r="H259" s="243"/>
      <c r="I259" s="172" t="s">
        <v>2593</v>
      </c>
      <c r="J259" s="172" t="s">
        <v>365</v>
      </c>
      <c r="K259" s="245" t="s">
        <v>2594</v>
      </c>
      <c r="L259" s="141" t="s">
        <v>15</v>
      </c>
      <c r="M259" s="193">
        <v>46042</v>
      </c>
      <c r="N259" s="194" t="s">
        <v>4</v>
      </c>
      <c r="O259" s="141" t="s">
        <v>15</v>
      </c>
      <c r="P259" s="117"/>
      <c r="Q259" s="407">
        <v>46038</v>
      </c>
      <c r="R259" s="40" t="s">
        <v>445</v>
      </c>
      <c r="S259" s="208"/>
      <c r="T259" s="357"/>
      <c r="U259" s="84"/>
      <c r="V259" s="84"/>
      <c r="W259" s="84"/>
      <c r="X259" s="84"/>
      <c r="Y259" s="84"/>
      <c r="Z259" s="84"/>
      <c r="AA259" s="16"/>
      <c r="AB259" s="16"/>
      <c r="AC259" s="16"/>
      <c r="AD259" s="16"/>
      <c r="AE259" s="16"/>
      <c r="AF259" s="16"/>
      <c r="AG259" s="16"/>
    </row>
    <row r="260" spans="1:33" ht="15.75" customHeight="1" x14ac:dyDescent="0.3">
      <c r="A260" s="16"/>
      <c r="B260" s="16"/>
      <c r="C260" s="130">
        <f t="shared" ca="1" si="6"/>
        <v>242</v>
      </c>
      <c r="D260" s="636"/>
      <c r="E260" s="636"/>
      <c r="F260" s="567" t="s">
        <v>459</v>
      </c>
      <c r="G260" s="219" t="s">
        <v>448</v>
      </c>
      <c r="H260" s="243"/>
      <c r="I260" s="172" t="s">
        <v>2595</v>
      </c>
      <c r="J260" s="172" t="s">
        <v>365</v>
      </c>
      <c r="K260" s="245" t="s">
        <v>2596</v>
      </c>
      <c r="L260" s="141" t="s">
        <v>15</v>
      </c>
      <c r="M260" s="193">
        <v>46042</v>
      </c>
      <c r="N260" s="194" t="s">
        <v>4</v>
      </c>
      <c r="O260" s="141" t="s">
        <v>15</v>
      </c>
      <c r="P260" s="117"/>
      <c r="Q260" s="407">
        <v>46038</v>
      </c>
      <c r="R260" s="40" t="s">
        <v>445</v>
      </c>
      <c r="S260" s="208"/>
      <c r="T260" s="357"/>
      <c r="U260" s="84"/>
      <c r="V260" s="84"/>
      <c r="W260" s="84"/>
      <c r="X260" s="84"/>
      <c r="Y260" s="84"/>
      <c r="Z260" s="84"/>
      <c r="AA260" s="16"/>
      <c r="AB260" s="16"/>
      <c r="AC260" s="16"/>
      <c r="AD260" s="16"/>
      <c r="AE260" s="16"/>
      <c r="AF260" s="16"/>
      <c r="AG260" s="16"/>
    </row>
    <row r="261" spans="1:33" ht="15.75" customHeight="1" x14ac:dyDescent="0.3">
      <c r="A261" s="16"/>
      <c r="B261" s="16"/>
      <c r="C261" s="130">
        <f t="shared" ca="1" si="6"/>
        <v>243</v>
      </c>
      <c r="D261" s="636"/>
      <c r="E261" s="636"/>
      <c r="F261" s="567" t="s">
        <v>459</v>
      </c>
      <c r="G261" s="219" t="s">
        <v>448</v>
      </c>
      <c r="H261" s="243"/>
      <c r="I261" s="172" t="s">
        <v>2597</v>
      </c>
      <c r="J261" s="172" t="s">
        <v>365</v>
      </c>
      <c r="K261" s="245" t="s">
        <v>2598</v>
      </c>
      <c r="L261" s="141" t="s">
        <v>15</v>
      </c>
      <c r="M261" s="193">
        <v>46042</v>
      </c>
      <c r="N261" s="194" t="s">
        <v>4</v>
      </c>
      <c r="O261" s="141" t="s">
        <v>15</v>
      </c>
      <c r="P261" s="117"/>
      <c r="Q261" s="407">
        <v>46038</v>
      </c>
      <c r="R261" s="40" t="s">
        <v>445</v>
      </c>
      <c r="S261" s="208"/>
      <c r="T261" s="357"/>
      <c r="U261" s="84"/>
      <c r="V261" s="84"/>
      <c r="W261" s="84"/>
      <c r="X261" s="84"/>
      <c r="Y261" s="84"/>
      <c r="Z261" s="84"/>
      <c r="AA261" s="16"/>
      <c r="AB261" s="16"/>
      <c r="AC261" s="16"/>
      <c r="AD261" s="16"/>
      <c r="AE261" s="16"/>
      <c r="AF261" s="16"/>
      <c r="AG261" s="16"/>
    </row>
    <row r="262" spans="1:33" ht="15.75" customHeight="1" x14ac:dyDescent="0.3">
      <c r="A262" s="16"/>
      <c r="B262" s="16"/>
      <c r="C262" s="130">
        <f t="shared" ca="1" si="6"/>
        <v>244</v>
      </c>
      <c r="D262" s="636"/>
      <c r="E262" s="636"/>
      <c r="F262" s="567" t="s">
        <v>459</v>
      </c>
      <c r="G262" s="219" t="s">
        <v>455</v>
      </c>
      <c r="H262" s="243"/>
      <c r="I262" s="210"/>
      <c r="J262" s="172" t="s">
        <v>310</v>
      </c>
      <c r="K262" s="226" t="s">
        <v>371</v>
      </c>
      <c r="L262" s="141" t="s">
        <v>15</v>
      </c>
      <c r="M262" s="193">
        <v>46042</v>
      </c>
      <c r="N262" s="194" t="s">
        <v>4</v>
      </c>
      <c r="O262" s="141" t="s">
        <v>15</v>
      </c>
      <c r="P262" s="117"/>
      <c r="Q262" s="407">
        <v>46038</v>
      </c>
      <c r="R262" s="40" t="s">
        <v>445</v>
      </c>
      <c r="S262" s="208"/>
      <c r="T262" s="357"/>
      <c r="U262" s="84"/>
      <c r="V262" s="84"/>
      <c r="W262" s="84"/>
      <c r="X262" s="84"/>
      <c r="Y262" s="84"/>
      <c r="Z262" s="84"/>
      <c r="AA262" s="16"/>
      <c r="AB262" s="16"/>
      <c r="AC262" s="16"/>
      <c r="AD262" s="16"/>
      <c r="AE262" s="16"/>
      <c r="AF262" s="16"/>
      <c r="AG262" s="16"/>
    </row>
    <row r="263" spans="1:33" ht="15.75" customHeight="1" x14ac:dyDescent="0.3">
      <c r="A263" s="16"/>
      <c r="B263" s="16"/>
      <c r="C263" s="130">
        <f t="shared" ca="1" si="6"/>
        <v>245</v>
      </c>
      <c r="D263" s="636"/>
      <c r="E263" s="636"/>
      <c r="F263" s="567" t="s">
        <v>459</v>
      </c>
      <c r="G263" s="219" t="s">
        <v>448</v>
      </c>
      <c r="H263" s="243"/>
      <c r="I263" s="213" t="s">
        <v>372</v>
      </c>
      <c r="J263" s="172" t="s">
        <v>311</v>
      </c>
      <c r="K263" s="245" t="s">
        <v>373</v>
      </c>
      <c r="L263" s="141" t="s">
        <v>15</v>
      </c>
      <c r="M263" s="193">
        <v>46042</v>
      </c>
      <c r="N263" s="194" t="s">
        <v>4</v>
      </c>
      <c r="O263" s="141" t="s">
        <v>15</v>
      </c>
      <c r="P263" s="117"/>
      <c r="Q263" s="407">
        <v>46038</v>
      </c>
      <c r="R263" s="40" t="s">
        <v>445</v>
      </c>
      <c r="S263" s="208"/>
      <c r="T263" s="357"/>
      <c r="U263" s="84"/>
      <c r="V263" s="84"/>
      <c r="W263" s="84"/>
      <c r="X263" s="84"/>
      <c r="Y263" s="84"/>
      <c r="Z263" s="84"/>
      <c r="AA263" s="16"/>
      <c r="AB263" s="16"/>
      <c r="AC263" s="16"/>
      <c r="AD263" s="16"/>
      <c r="AE263" s="16"/>
      <c r="AF263" s="16"/>
      <c r="AG263" s="16"/>
    </row>
    <row r="264" spans="1:33" ht="15.75" customHeight="1" x14ac:dyDescent="0.3">
      <c r="A264" s="16"/>
      <c r="B264" s="16"/>
      <c r="C264" s="130">
        <f t="shared" ca="1" si="6"/>
        <v>246</v>
      </c>
      <c r="D264" s="636"/>
      <c r="E264" s="636"/>
      <c r="F264" s="567" t="s">
        <v>459</v>
      </c>
      <c r="G264" s="219" t="s">
        <v>448</v>
      </c>
      <c r="H264" s="243"/>
      <c r="I264" s="569"/>
      <c r="J264" s="172" t="s">
        <v>313</v>
      </c>
      <c r="K264" s="245" t="s">
        <v>2599</v>
      </c>
      <c r="L264" s="141" t="s">
        <v>15</v>
      </c>
      <c r="M264" s="193">
        <v>46042</v>
      </c>
      <c r="N264" s="194" t="s">
        <v>4</v>
      </c>
      <c r="O264" s="141" t="s">
        <v>15</v>
      </c>
      <c r="P264" s="117"/>
      <c r="Q264" s="407">
        <v>46038</v>
      </c>
      <c r="R264" s="40" t="s">
        <v>445</v>
      </c>
      <c r="S264" s="208"/>
      <c r="T264" s="357"/>
      <c r="U264" s="84"/>
      <c r="V264" s="84"/>
      <c r="W264" s="84"/>
      <c r="X264" s="84"/>
      <c r="Y264" s="84"/>
      <c r="Z264" s="84"/>
      <c r="AA264" s="16"/>
      <c r="AB264" s="16"/>
      <c r="AC264" s="16"/>
      <c r="AD264" s="16"/>
      <c r="AE264" s="16"/>
      <c r="AF264" s="16"/>
      <c r="AG264" s="16"/>
    </row>
    <row r="265" spans="1:33" ht="15.75" customHeight="1" x14ac:dyDescent="0.3">
      <c r="A265" s="16"/>
      <c r="B265" s="16"/>
      <c r="C265" s="130">
        <f t="shared" ca="1" si="6"/>
        <v>247</v>
      </c>
      <c r="D265" s="636"/>
      <c r="E265" s="636"/>
      <c r="F265" s="567" t="s">
        <v>459</v>
      </c>
      <c r="G265" s="219" t="s">
        <v>455</v>
      </c>
      <c r="H265" s="243"/>
      <c r="I265" s="210"/>
      <c r="J265" s="172" t="s">
        <v>375</v>
      </c>
      <c r="K265" s="226" t="s">
        <v>371</v>
      </c>
      <c r="L265" s="141" t="s">
        <v>15</v>
      </c>
      <c r="M265" s="193">
        <v>46042</v>
      </c>
      <c r="N265" s="194" t="s">
        <v>4</v>
      </c>
      <c r="O265" s="141" t="s">
        <v>15</v>
      </c>
      <c r="P265" s="117"/>
      <c r="Q265" s="407">
        <v>46038</v>
      </c>
      <c r="R265" s="40" t="s">
        <v>445</v>
      </c>
      <c r="S265" s="208"/>
      <c r="T265" s="357"/>
      <c r="U265" s="84"/>
      <c r="V265" s="84"/>
      <c r="W265" s="84"/>
      <c r="X265" s="84"/>
      <c r="Y265" s="84"/>
      <c r="Z265" s="84"/>
      <c r="AA265" s="16"/>
      <c r="AB265" s="16"/>
      <c r="AC265" s="16"/>
      <c r="AD265" s="16"/>
      <c r="AE265" s="16"/>
      <c r="AF265" s="16"/>
      <c r="AG265" s="16"/>
    </row>
    <row r="266" spans="1:33" ht="15.75" customHeight="1" x14ac:dyDescent="0.3">
      <c r="A266" s="16"/>
      <c r="B266" s="16"/>
      <c r="C266" s="130">
        <f t="shared" ca="1" si="6"/>
        <v>248</v>
      </c>
      <c r="D266" s="636"/>
      <c r="E266" s="636"/>
      <c r="F266" s="567" t="s">
        <v>459</v>
      </c>
      <c r="G266" s="219" t="s">
        <v>448</v>
      </c>
      <c r="H266" s="243"/>
      <c r="I266" s="172" t="s">
        <v>2600</v>
      </c>
      <c r="J266" s="172" t="s">
        <v>365</v>
      </c>
      <c r="K266" s="245" t="s">
        <v>2590</v>
      </c>
      <c r="L266" s="141" t="s">
        <v>15</v>
      </c>
      <c r="M266" s="193">
        <v>46042</v>
      </c>
      <c r="N266" s="194" t="s">
        <v>4</v>
      </c>
      <c r="O266" s="141" t="s">
        <v>15</v>
      </c>
      <c r="P266" s="117"/>
      <c r="Q266" s="407">
        <v>46038</v>
      </c>
      <c r="R266" s="40" t="s">
        <v>445</v>
      </c>
      <c r="S266" s="208"/>
      <c r="T266" s="357"/>
      <c r="U266" s="84"/>
      <c r="V266" s="84"/>
      <c r="W266" s="84"/>
      <c r="X266" s="84"/>
      <c r="Y266" s="84"/>
      <c r="Z266" s="84"/>
      <c r="AA266" s="16"/>
      <c r="AB266" s="16"/>
      <c r="AC266" s="16"/>
      <c r="AD266" s="16"/>
      <c r="AE266" s="16"/>
      <c r="AF266" s="16"/>
      <c r="AG266" s="16"/>
    </row>
    <row r="267" spans="1:33" ht="15.75" customHeight="1" x14ac:dyDescent="0.3">
      <c r="A267" s="16"/>
      <c r="B267" s="16"/>
      <c r="C267" s="130">
        <f t="shared" ca="1" si="6"/>
        <v>249</v>
      </c>
      <c r="D267" s="636"/>
      <c r="E267" s="636"/>
      <c r="F267" s="567" t="s">
        <v>459</v>
      </c>
      <c r="G267" s="219" t="s">
        <v>448</v>
      </c>
      <c r="H267" s="243"/>
      <c r="I267" s="172" t="s">
        <v>2601</v>
      </c>
      <c r="J267" s="172" t="s">
        <v>365</v>
      </c>
      <c r="K267" s="245" t="s">
        <v>2592</v>
      </c>
      <c r="L267" s="141" t="s">
        <v>15</v>
      </c>
      <c r="M267" s="193">
        <v>46042</v>
      </c>
      <c r="N267" s="194" t="s">
        <v>4</v>
      </c>
      <c r="O267" s="141" t="s">
        <v>15</v>
      </c>
      <c r="P267" s="117"/>
      <c r="Q267" s="407">
        <v>46038</v>
      </c>
      <c r="R267" s="40" t="s">
        <v>445</v>
      </c>
      <c r="S267" s="208"/>
      <c r="T267" s="357"/>
      <c r="U267" s="84"/>
      <c r="V267" s="84"/>
      <c r="W267" s="84"/>
      <c r="X267" s="84"/>
      <c r="Y267" s="84"/>
      <c r="Z267" s="84"/>
      <c r="AA267" s="16"/>
      <c r="AB267" s="16"/>
      <c r="AC267" s="16"/>
      <c r="AD267" s="16"/>
      <c r="AE267" s="16"/>
      <c r="AF267" s="16"/>
      <c r="AG267" s="16"/>
    </row>
    <row r="268" spans="1:33" ht="15.75" customHeight="1" x14ac:dyDescent="0.3">
      <c r="A268" s="16"/>
      <c r="B268" s="16"/>
      <c r="C268" s="130">
        <f t="shared" ca="1" si="6"/>
        <v>250</v>
      </c>
      <c r="D268" s="636"/>
      <c r="E268" s="636"/>
      <c r="F268" s="567" t="s">
        <v>459</v>
      </c>
      <c r="G268" s="219" t="s">
        <v>448</v>
      </c>
      <c r="H268" s="243"/>
      <c r="I268" s="172" t="s">
        <v>2602</v>
      </c>
      <c r="J268" s="172" t="s">
        <v>365</v>
      </c>
      <c r="K268" s="245" t="s">
        <v>2594</v>
      </c>
      <c r="L268" s="141" t="s">
        <v>15</v>
      </c>
      <c r="M268" s="193">
        <v>46042</v>
      </c>
      <c r="N268" s="194" t="s">
        <v>4</v>
      </c>
      <c r="O268" s="141" t="s">
        <v>15</v>
      </c>
      <c r="P268" s="117"/>
      <c r="Q268" s="407">
        <v>46038</v>
      </c>
      <c r="R268" s="40" t="s">
        <v>445</v>
      </c>
      <c r="S268" s="208"/>
      <c r="T268" s="357"/>
      <c r="U268" s="84"/>
      <c r="V268" s="84"/>
      <c r="W268" s="84"/>
      <c r="X268" s="84"/>
      <c r="Y268" s="84"/>
      <c r="Z268" s="84"/>
      <c r="AA268" s="16"/>
      <c r="AB268" s="16"/>
      <c r="AC268" s="16"/>
      <c r="AD268" s="16"/>
      <c r="AE268" s="16"/>
      <c r="AF268" s="16"/>
      <c r="AG268" s="16"/>
    </row>
    <row r="269" spans="1:33" ht="15.75" customHeight="1" x14ac:dyDescent="0.3">
      <c r="A269" s="16"/>
      <c r="B269" s="16"/>
      <c r="C269" s="130">
        <f t="shared" ca="1" si="6"/>
        <v>251</v>
      </c>
      <c r="D269" s="636"/>
      <c r="E269" s="636"/>
      <c r="F269" s="567" t="s">
        <v>459</v>
      </c>
      <c r="G269" s="219" t="s">
        <v>448</v>
      </c>
      <c r="H269" s="243"/>
      <c r="I269" s="172" t="s">
        <v>2603</v>
      </c>
      <c r="J269" s="172" t="s">
        <v>365</v>
      </c>
      <c r="K269" s="245" t="s">
        <v>2596</v>
      </c>
      <c r="L269" s="141" t="s">
        <v>15</v>
      </c>
      <c r="M269" s="193">
        <v>46042</v>
      </c>
      <c r="N269" s="194" t="s">
        <v>4</v>
      </c>
      <c r="O269" s="141" t="s">
        <v>15</v>
      </c>
      <c r="P269" s="117"/>
      <c r="Q269" s="407">
        <v>46038</v>
      </c>
      <c r="R269" s="40" t="s">
        <v>445</v>
      </c>
      <c r="S269" s="208"/>
      <c r="T269" s="357"/>
      <c r="U269" s="84"/>
      <c r="V269" s="84"/>
      <c r="W269" s="84"/>
      <c r="X269" s="84"/>
      <c r="Y269" s="84"/>
      <c r="Z269" s="84"/>
      <c r="AA269" s="16"/>
      <c r="AB269" s="16"/>
      <c r="AC269" s="16"/>
      <c r="AD269" s="16"/>
      <c r="AE269" s="16"/>
      <c r="AF269" s="16"/>
      <c r="AG269" s="16"/>
    </row>
    <row r="270" spans="1:33" ht="15.75" customHeight="1" x14ac:dyDescent="0.3">
      <c r="A270" s="16"/>
      <c r="B270" s="16"/>
      <c r="C270" s="130">
        <f t="shared" ca="1" si="6"/>
        <v>252</v>
      </c>
      <c r="D270" s="635"/>
      <c r="E270" s="635"/>
      <c r="F270" s="567" t="s">
        <v>459</v>
      </c>
      <c r="G270" s="219" t="s">
        <v>448</v>
      </c>
      <c r="H270" s="243"/>
      <c r="I270" s="172" t="s">
        <v>2604</v>
      </c>
      <c r="J270" s="172" t="s">
        <v>365</v>
      </c>
      <c r="K270" s="245" t="s">
        <v>2598</v>
      </c>
      <c r="L270" s="141" t="s">
        <v>15</v>
      </c>
      <c r="M270" s="193">
        <v>46042</v>
      </c>
      <c r="N270" s="194" t="s">
        <v>4</v>
      </c>
      <c r="O270" s="141" t="s">
        <v>15</v>
      </c>
      <c r="P270" s="117"/>
      <c r="Q270" s="407">
        <v>46038</v>
      </c>
      <c r="R270" s="40" t="s">
        <v>445</v>
      </c>
      <c r="S270" s="208"/>
      <c r="T270" s="357"/>
      <c r="U270" s="84"/>
      <c r="V270" s="84"/>
      <c r="W270" s="84"/>
      <c r="X270" s="84"/>
      <c r="Y270" s="84"/>
      <c r="Z270" s="84"/>
      <c r="AA270" s="16"/>
      <c r="AB270" s="16"/>
      <c r="AC270" s="16"/>
      <c r="AD270" s="16"/>
      <c r="AE270" s="16"/>
      <c r="AF270" s="16"/>
      <c r="AG270" s="16"/>
    </row>
    <row r="271" spans="1:33" ht="15.75" customHeight="1" x14ac:dyDescent="0.3">
      <c r="A271" s="16"/>
      <c r="B271" s="16"/>
      <c r="C271" s="130">
        <f t="shared" ca="1" si="6"/>
        <v>253</v>
      </c>
      <c r="D271" s="658" t="s">
        <v>2261</v>
      </c>
      <c r="E271" s="251" t="s">
        <v>257</v>
      </c>
      <c r="F271" s="567" t="s">
        <v>457</v>
      </c>
      <c r="G271" s="219" t="s">
        <v>448</v>
      </c>
      <c r="H271" s="243"/>
      <c r="I271" s="172"/>
      <c r="J271" s="172" t="s">
        <v>261</v>
      </c>
      <c r="K271" s="245" t="s">
        <v>2605</v>
      </c>
      <c r="L271" s="141" t="s">
        <v>15</v>
      </c>
      <c r="M271" s="193">
        <v>46042</v>
      </c>
      <c r="N271" s="194" t="s">
        <v>4</v>
      </c>
      <c r="O271" s="141" t="s">
        <v>15</v>
      </c>
      <c r="P271" s="117"/>
      <c r="Q271" s="407">
        <v>46038</v>
      </c>
      <c r="R271" s="40" t="s">
        <v>445</v>
      </c>
      <c r="S271" s="208"/>
      <c r="T271" s="357"/>
      <c r="U271" s="84"/>
      <c r="V271" s="84"/>
      <c r="W271" s="84"/>
      <c r="X271" s="84"/>
      <c r="Y271" s="84"/>
      <c r="Z271" s="84"/>
      <c r="AA271" s="16"/>
      <c r="AB271" s="16"/>
      <c r="AC271" s="16"/>
      <c r="AD271" s="16"/>
      <c r="AE271" s="16"/>
      <c r="AF271" s="16"/>
      <c r="AG271" s="16"/>
    </row>
    <row r="272" spans="1:33" ht="15.75" customHeight="1" x14ac:dyDescent="0.3">
      <c r="A272" s="16"/>
      <c r="B272" s="16"/>
      <c r="C272" s="130">
        <f t="shared" ca="1" si="6"/>
        <v>254</v>
      </c>
      <c r="D272" s="636"/>
      <c r="E272" s="665" t="s">
        <v>237</v>
      </c>
      <c r="F272" s="567" t="s">
        <v>459</v>
      </c>
      <c r="G272" s="219" t="s">
        <v>448</v>
      </c>
      <c r="H272" s="243"/>
      <c r="I272" s="213" t="s">
        <v>364</v>
      </c>
      <c r="J272" s="172" t="s">
        <v>365</v>
      </c>
      <c r="K272" s="570" t="s">
        <v>2606</v>
      </c>
      <c r="L272" s="141" t="s">
        <v>15</v>
      </c>
      <c r="M272" s="193">
        <v>46042</v>
      </c>
      <c r="N272" s="194" t="s">
        <v>4</v>
      </c>
      <c r="O272" s="141" t="s">
        <v>15</v>
      </c>
      <c r="P272" s="117"/>
      <c r="Q272" s="407">
        <v>46038</v>
      </c>
      <c r="R272" s="40" t="s">
        <v>445</v>
      </c>
      <c r="S272" s="208"/>
      <c r="T272" s="357"/>
      <c r="U272" s="84"/>
      <c r="V272" s="84"/>
      <c r="W272" s="84"/>
      <c r="X272" s="84"/>
      <c r="Y272" s="84"/>
      <c r="Z272" s="84"/>
      <c r="AA272" s="16"/>
      <c r="AB272" s="16"/>
      <c r="AC272" s="16"/>
      <c r="AD272" s="16"/>
      <c r="AE272" s="16"/>
      <c r="AF272" s="16"/>
      <c r="AG272" s="16"/>
    </row>
    <row r="273" spans="1:33" ht="15.75" customHeight="1" x14ac:dyDescent="0.3">
      <c r="A273" s="16"/>
      <c r="B273" s="16"/>
      <c r="C273" s="130">
        <f t="shared" ca="1" si="6"/>
        <v>255</v>
      </c>
      <c r="D273" s="636"/>
      <c r="E273" s="636"/>
      <c r="F273" s="567" t="s">
        <v>459</v>
      </c>
      <c r="G273" s="219" t="s">
        <v>448</v>
      </c>
      <c r="H273" s="243"/>
      <c r="I273" s="172" t="s">
        <v>2607</v>
      </c>
      <c r="J273" s="172" t="s">
        <v>365</v>
      </c>
      <c r="K273" s="245" t="s">
        <v>2590</v>
      </c>
      <c r="L273" s="141" t="s">
        <v>15</v>
      </c>
      <c r="M273" s="193">
        <v>46042</v>
      </c>
      <c r="N273" s="194" t="s">
        <v>4</v>
      </c>
      <c r="O273" s="141" t="s">
        <v>15</v>
      </c>
      <c r="P273" s="117"/>
      <c r="Q273" s="407">
        <v>46038</v>
      </c>
      <c r="R273" s="40" t="s">
        <v>445</v>
      </c>
      <c r="S273" s="208"/>
      <c r="T273" s="357"/>
      <c r="U273" s="84"/>
      <c r="V273" s="84"/>
      <c r="W273" s="84"/>
      <c r="X273" s="84"/>
      <c r="Y273" s="84"/>
      <c r="Z273" s="84"/>
      <c r="AA273" s="16"/>
      <c r="AB273" s="16"/>
      <c r="AC273" s="16"/>
      <c r="AD273" s="16"/>
      <c r="AE273" s="16"/>
      <c r="AF273" s="16"/>
      <c r="AG273" s="16"/>
    </row>
    <row r="274" spans="1:33" ht="15.75" customHeight="1" x14ac:dyDescent="0.3">
      <c r="A274" s="16"/>
      <c r="B274" s="16"/>
      <c r="C274" s="130">
        <f t="shared" ca="1" si="6"/>
        <v>256</v>
      </c>
      <c r="D274" s="636"/>
      <c r="E274" s="636"/>
      <c r="F274" s="567" t="s">
        <v>459</v>
      </c>
      <c r="G274" s="219" t="s">
        <v>448</v>
      </c>
      <c r="H274" s="243"/>
      <c r="I274" s="172" t="s">
        <v>2608</v>
      </c>
      <c r="J274" s="172" t="s">
        <v>365</v>
      </c>
      <c r="K274" s="245" t="s">
        <v>2609</v>
      </c>
      <c r="L274" s="141" t="s">
        <v>15</v>
      </c>
      <c r="M274" s="193">
        <v>46042</v>
      </c>
      <c r="N274" s="194" t="s">
        <v>4</v>
      </c>
      <c r="O274" s="141" t="s">
        <v>15</v>
      </c>
      <c r="P274" s="117"/>
      <c r="Q274" s="407">
        <v>46038</v>
      </c>
      <c r="R274" s="40" t="s">
        <v>445</v>
      </c>
      <c r="S274" s="208"/>
      <c r="T274" s="357"/>
      <c r="U274" s="84"/>
      <c r="V274" s="84"/>
      <c r="W274" s="84"/>
      <c r="X274" s="84"/>
      <c r="Y274" s="84"/>
      <c r="Z274" s="84"/>
      <c r="AA274" s="16"/>
      <c r="AB274" s="16"/>
      <c r="AC274" s="16"/>
      <c r="AD274" s="16"/>
      <c r="AE274" s="16"/>
      <c r="AF274" s="16"/>
      <c r="AG274" s="16"/>
    </row>
    <row r="275" spans="1:33" ht="15.75" customHeight="1" x14ac:dyDescent="0.3">
      <c r="A275" s="16"/>
      <c r="B275" s="16"/>
      <c r="C275" s="130">
        <f t="shared" ca="1" si="6"/>
        <v>257</v>
      </c>
      <c r="D275" s="636"/>
      <c r="E275" s="636"/>
      <c r="F275" s="567" t="s">
        <v>459</v>
      </c>
      <c r="G275" s="219" t="s">
        <v>448</v>
      </c>
      <c r="H275" s="243"/>
      <c r="I275" s="172" t="s">
        <v>2610</v>
      </c>
      <c r="J275" s="172" t="s">
        <v>365</v>
      </c>
      <c r="K275" s="245" t="s">
        <v>2611</v>
      </c>
      <c r="L275" s="141" t="s">
        <v>15</v>
      </c>
      <c r="M275" s="193">
        <v>46042</v>
      </c>
      <c r="N275" s="194" t="s">
        <v>4</v>
      </c>
      <c r="O275" s="141" t="s">
        <v>15</v>
      </c>
      <c r="P275" s="117"/>
      <c r="Q275" s="407">
        <v>46038</v>
      </c>
      <c r="R275" s="40" t="s">
        <v>445</v>
      </c>
      <c r="S275" s="208"/>
      <c r="T275" s="357"/>
      <c r="U275" s="84"/>
      <c r="V275" s="84"/>
      <c r="W275" s="84"/>
      <c r="X275" s="84"/>
      <c r="Y275" s="84"/>
      <c r="Z275" s="84"/>
      <c r="AA275" s="16"/>
      <c r="AB275" s="16"/>
      <c r="AC275" s="16"/>
      <c r="AD275" s="16"/>
      <c r="AE275" s="16"/>
      <c r="AF275" s="16"/>
      <c r="AG275" s="16"/>
    </row>
    <row r="276" spans="1:33" ht="15.75" customHeight="1" x14ac:dyDescent="0.3">
      <c r="A276" s="16"/>
      <c r="B276" s="16"/>
      <c r="C276" s="130">
        <f t="shared" ca="1" si="6"/>
        <v>258</v>
      </c>
      <c r="D276" s="636"/>
      <c r="E276" s="636"/>
      <c r="F276" s="567" t="s">
        <v>459</v>
      </c>
      <c r="G276" s="219" t="s">
        <v>448</v>
      </c>
      <c r="H276" s="243"/>
      <c r="I276" s="172" t="s">
        <v>2612</v>
      </c>
      <c r="J276" s="172" t="s">
        <v>365</v>
      </c>
      <c r="K276" s="245" t="s">
        <v>2613</v>
      </c>
      <c r="L276" s="141" t="s">
        <v>15</v>
      </c>
      <c r="M276" s="193">
        <v>46042</v>
      </c>
      <c r="N276" s="194" t="s">
        <v>4</v>
      </c>
      <c r="O276" s="141" t="s">
        <v>15</v>
      </c>
      <c r="P276" s="117"/>
      <c r="Q276" s="407">
        <v>46038</v>
      </c>
      <c r="R276" s="40" t="s">
        <v>445</v>
      </c>
      <c r="S276" s="208"/>
      <c r="T276" s="357"/>
      <c r="U276" s="84"/>
      <c r="V276" s="84"/>
      <c r="W276" s="84"/>
      <c r="X276" s="84"/>
      <c r="Y276" s="84"/>
      <c r="Z276" s="84"/>
      <c r="AA276" s="16"/>
      <c r="AB276" s="16"/>
      <c r="AC276" s="16"/>
      <c r="AD276" s="16"/>
      <c r="AE276" s="16"/>
      <c r="AF276" s="16"/>
      <c r="AG276" s="16"/>
    </row>
    <row r="277" spans="1:33" ht="15.75" customHeight="1" x14ac:dyDescent="0.3">
      <c r="A277" s="16"/>
      <c r="B277" s="16"/>
      <c r="C277" s="130">
        <f t="shared" ca="1" si="6"/>
        <v>259</v>
      </c>
      <c r="D277" s="636"/>
      <c r="E277" s="636"/>
      <c r="F277" s="567" t="s">
        <v>459</v>
      </c>
      <c r="G277" s="219" t="s">
        <v>448</v>
      </c>
      <c r="H277" s="243"/>
      <c r="I277" s="172" t="s">
        <v>2614</v>
      </c>
      <c r="J277" s="172" t="s">
        <v>365</v>
      </c>
      <c r="K277" s="245" t="s">
        <v>2615</v>
      </c>
      <c r="L277" s="141" t="s">
        <v>15</v>
      </c>
      <c r="M277" s="193">
        <v>46042</v>
      </c>
      <c r="N277" s="194" t="s">
        <v>4</v>
      </c>
      <c r="O277" s="141" t="s">
        <v>15</v>
      </c>
      <c r="P277" s="117"/>
      <c r="Q277" s="407">
        <v>46038</v>
      </c>
      <c r="R277" s="40" t="s">
        <v>445</v>
      </c>
      <c r="S277" s="208"/>
      <c r="T277" s="357"/>
      <c r="U277" s="84"/>
      <c r="V277" s="84"/>
      <c r="W277" s="84"/>
      <c r="X277" s="84"/>
      <c r="Y277" s="84"/>
      <c r="Z277" s="84"/>
      <c r="AA277" s="16"/>
      <c r="AB277" s="16"/>
      <c r="AC277" s="16"/>
      <c r="AD277" s="16"/>
      <c r="AE277" s="16"/>
      <c r="AF277" s="16"/>
      <c r="AG277" s="16"/>
    </row>
    <row r="278" spans="1:33" ht="15.75" customHeight="1" x14ac:dyDescent="0.3">
      <c r="A278" s="16"/>
      <c r="B278" s="16"/>
      <c r="C278" s="130">
        <f t="shared" ca="1" si="6"/>
        <v>260</v>
      </c>
      <c r="D278" s="636"/>
      <c r="E278" s="636"/>
      <c r="F278" s="567" t="s">
        <v>459</v>
      </c>
      <c r="G278" s="219" t="s">
        <v>455</v>
      </c>
      <c r="H278" s="243"/>
      <c r="I278" s="210"/>
      <c r="J278" s="172" t="s">
        <v>310</v>
      </c>
      <c r="K278" s="226" t="s">
        <v>371</v>
      </c>
      <c r="L278" s="141" t="s">
        <v>15</v>
      </c>
      <c r="M278" s="193">
        <v>46042</v>
      </c>
      <c r="N278" s="194" t="s">
        <v>4</v>
      </c>
      <c r="O278" s="141" t="s">
        <v>15</v>
      </c>
      <c r="P278" s="117"/>
      <c r="Q278" s="407">
        <v>46038</v>
      </c>
      <c r="R278" s="40" t="s">
        <v>445</v>
      </c>
      <c r="S278" s="208"/>
      <c r="T278" s="357"/>
      <c r="U278" s="84"/>
      <c r="V278" s="84"/>
      <c r="W278" s="84"/>
      <c r="X278" s="84"/>
      <c r="Y278" s="84"/>
      <c r="Z278" s="84"/>
      <c r="AA278" s="16"/>
      <c r="AB278" s="16"/>
      <c r="AC278" s="16"/>
      <c r="AD278" s="16"/>
      <c r="AE278" s="16"/>
      <c r="AF278" s="16"/>
      <c r="AG278" s="16"/>
    </row>
    <row r="279" spans="1:33" ht="15.75" customHeight="1" x14ac:dyDescent="0.3">
      <c r="A279" s="16"/>
      <c r="B279" s="16"/>
      <c r="C279" s="130">
        <f t="shared" ca="1" si="6"/>
        <v>261</v>
      </c>
      <c r="D279" s="636"/>
      <c r="E279" s="636"/>
      <c r="F279" s="567" t="s">
        <v>459</v>
      </c>
      <c r="G279" s="219" t="s">
        <v>448</v>
      </c>
      <c r="H279" s="243"/>
      <c r="I279" s="657" t="s">
        <v>372</v>
      </c>
      <c r="J279" s="172" t="s">
        <v>311</v>
      </c>
      <c r="K279" s="245" t="s">
        <v>373</v>
      </c>
      <c r="L279" s="141" t="s">
        <v>15</v>
      </c>
      <c r="M279" s="193">
        <v>46042</v>
      </c>
      <c r="N279" s="194" t="s">
        <v>4</v>
      </c>
      <c r="O279" s="141" t="s">
        <v>15</v>
      </c>
      <c r="P279" s="117"/>
      <c r="Q279" s="407">
        <v>46038</v>
      </c>
      <c r="R279" s="40" t="s">
        <v>445</v>
      </c>
      <c r="S279" s="208"/>
      <c r="T279" s="357"/>
      <c r="U279" s="84"/>
      <c r="V279" s="84"/>
      <c r="W279" s="84"/>
      <c r="X279" s="84"/>
      <c r="Y279" s="84"/>
      <c r="Z279" s="84"/>
      <c r="AA279" s="16"/>
      <c r="AB279" s="16"/>
      <c r="AC279" s="16"/>
      <c r="AD279" s="16"/>
      <c r="AE279" s="16"/>
      <c r="AF279" s="16"/>
      <c r="AG279" s="16"/>
    </row>
    <row r="280" spans="1:33" ht="15.75" customHeight="1" x14ac:dyDescent="0.3">
      <c r="A280" s="16"/>
      <c r="B280" s="16"/>
      <c r="C280" s="130">
        <f t="shared" ca="1" si="6"/>
        <v>262</v>
      </c>
      <c r="D280" s="636"/>
      <c r="E280" s="636"/>
      <c r="F280" s="567" t="s">
        <v>459</v>
      </c>
      <c r="G280" s="219" t="s">
        <v>448</v>
      </c>
      <c r="H280" s="243"/>
      <c r="I280" s="606"/>
      <c r="J280" s="172" t="s">
        <v>313</v>
      </c>
      <c r="K280" s="245" t="s">
        <v>2599</v>
      </c>
      <c r="L280" s="141" t="s">
        <v>15</v>
      </c>
      <c r="M280" s="193">
        <v>46042</v>
      </c>
      <c r="N280" s="194" t="s">
        <v>4</v>
      </c>
      <c r="O280" s="141" t="s">
        <v>15</v>
      </c>
      <c r="P280" s="117"/>
      <c r="Q280" s="407">
        <v>46038</v>
      </c>
      <c r="R280" s="40" t="s">
        <v>445</v>
      </c>
      <c r="S280" s="208"/>
      <c r="T280" s="357"/>
      <c r="U280" s="84"/>
      <c r="V280" s="84"/>
      <c r="W280" s="84"/>
      <c r="X280" s="84"/>
      <c r="Y280" s="84"/>
      <c r="Z280" s="84"/>
      <c r="AA280" s="16"/>
      <c r="AB280" s="16"/>
      <c r="AC280" s="16"/>
      <c r="AD280" s="16"/>
      <c r="AE280" s="16"/>
      <c r="AF280" s="16"/>
      <c r="AG280" s="16"/>
    </row>
    <row r="281" spans="1:33" ht="15.75" customHeight="1" x14ac:dyDescent="0.3">
      <c r="A281" s="16"/>
      <c r="B281" s="16"/>
      <c r="C281" s="130">
        <f t="shared" ca="1" si="6"/>
        <v>263</v>
      </c>
      <c r="D281" s="636"/>
      <c r="E281" s="636"/>
      <c r="F281" s="567" t="s">
        <v>459</v>
      </c>
      <c r="G281" s="219" t="s">
        <v>455</v>
      </c>
      <c r="H281" s="243"/>
      <c r="I281" s="608"/>
      <c r="J281" s="172" t="s">
        <v>375</v>
      </c>
      <c r="K281" s="226" t="s">
        <v>371</v>
      </c>
      <c r="L281" s="141" t="s">
        <v>15</v>
      </c>
      <c r="M281" s="193">
        <v>46042</v>
      </c>
      <c r="N281" s="194" t="s">
        <v>4</v>
      </c>
      <c r="O281" s="141" t="s">
        <v>15</v>
      </c>
      <c r="P281" s="117"/>
      <c r="Q281" s="407">
        <v>46038</v>
      </c>
      <c r="R281" s="40" t="s">
        <v>445</v>
      </c>
      <c r="S281" s="208"/>
      <c r="T281" s="357"/>
      <c r="U281" s="84"/>
      <c r="V281" s="84"/>
      <c r="W281" s="84"/>
      <c r="X281" s="84"/>
      <c r="Y281" s="84"/>
      <c r="Z281" s="84"/>
      <c r="AA281" s="16"/>
      <c r="AB281" s="16"/>
      <c r="AC281" s="16"/>
      <c r="AD281" s="16"/>
      <c r="AE281" s="16"/>
      <c r="AF281" s="16"/>
      <c r="AG281" s="16"/>
    </row>
    <row r="282" spans="1:33" ht="15.75" customHeight="1" x14ac:dyDescent="0.3">
      <c r="A282" s="16"/>
      <c r="B282" s="16"/>
      <c r="C282" s="130">
        <f t="shared" ca="1" si="6"/>
        <v>264</v>
      </c>
      <c r="D282" s="636"/>
      <c r="E282" s="636"/>
      <c r="F282" s="567" t="s">
        <v>459</v>
      </c>
      <c r="G282" s="219" t="s">
        <v>448</v>
      </c>
      <c r="H282" s="243"/>
      <c r="I282" s="172" t="s">
        <v>2616</v>
      </c>
      <c r="J282" s="172" t="s">
        <v>365</v>
      </c>
      <c r="K282" s="245" t="s">
        <v>2590</v>
      </c>
      <c r="L282" s="141" t="s">
        <v>15</v>
      </c>
      <c r="M282" s="193">
        <v>46042</v>
      </c>
      <c r="N282" s="194" t="s">
        <v>4</v>
      </c>
      <c r="O282" s="141" t="s">
        <v>15</v>
      </c>
      <c r="P282" s="117"/>
      <c r="Q282" s="407">
        <v>46038</v>
      </c>
      <c r="R282" s="40" t="s">
        <v>445</v>
      </c>
      <c r="S282" s="208"/>
      <c r="T282" s="357"/>
      <c r="U282" s="84"/>
      <c r="V282" s="84"/>
      <c r="W282" s="84"/>
      <c r="X282" s="84"/>
      <c r="Y282" s="84"/>
      <c r="Z282" s="84"/>
      <c r="AA282" s="16"/>
      <c r="AB282" s="16"/>
      <c r="AC282" s="16"/>
      <c r="AD282" s="16"/>
      <c r="AE282" s="16"/>
      <c r="AF282" s="16"/>
      <c r="AG282" s="16"/>
    </row>
    <row r="283" spans="1:33" ht="15.75" customHeight="1" x14ac:dyDescent="0.3">
      <c r="A283" s="16"/>
      <c r="B283" s="16"/>
      <c r="C283" s="130">
        <f t="shared" ca="1" si="6"/>
        <v>265</v>
      </c>
      <c r="D283" s="636"/>
      <c r="E283" s="636"/>
      <c r="F283" s="567" t="s">
        <v>459</v>
      </c>
      <c r="G283" s="219" t="s">
        <v>448</v>
      </c>
      <c r="H283" s="243"/>
      <c r="I283" s="172" t="s">
        <v>2617</v>
      </c>
      <c r="J283" s="172" t="s">
        <v>365</v>
      </c>
      <c r="K283" s="245" t="s">
        <v>2609</v>
      </c>
      <c r="L283" s="141" t="s">
        <v>15</v>
      </c>
      <c r="M283" s="193">
        <v>46042</v>
      </c>
      <c r="N283" s="194" t="s">
        <v>4</v>
      </c>
      <c r="O283" s="141" t="s">
        <v>15</v>
      </c>
      <c r="P283" s="117"/>
      <c r="Q283" s="407">
        <v>46038</v>
      </c>
      <c r="R283" s="40" t="s">
        <v>445</v>
      </c>
      <c r="S283" s="208"/>
      <c r="T283" s="357"/>
      <c r="U283" s="84"/>
      <c r="V283" s="84"/>
      <c r="W283" s="84"/>
      <c r="X283" s="84"/>
      <c r="Y283" s="84"/>
      <c r="Z283" s="84"/>
      <c r="AA283" s="16"/>
      <c r="AB283" s="16"/>
      <c r="AC283" s="16"/>
      <c r="AD283" s="16"/>
      <c r="AE283" s="16"/>
      <c r="AF283" s="16"/>
      <c r="AG283" s="16"/>
    </row>
    <row r="284" spans="1:33" ht="15.75" customHeight="1" x14ac:dyDescent="0.3">
      <c r="A284" s="16"/>
      <c r="B284" s="16"/>
      <c r="C284" s="130">
        <f t="shared" ca="1" si="6"/>
        <v>266</v>
      </c>
      <c r="D284" s="636"/>
      <c r="E284" s="636"/>
      <c r="F284" s="567" t="s">
        <v>459</v>
      </c>
      <c r="G284" s="219" t="s">
        <v>448</v>
      </c>
      <c r="H284" s="243"/>
      <c r="I284" s="172" t="s">
        <v>2618</v>
      </c>
      <c r="J284" s="172" t="s">
        <v>365</v>
      </c>
      <c r="K284" s="245" t="s">
        <v>2611</v>
      </c>
      <c r="L284" s="141" t="s">
        <v>15</v>
      </c>
      <c r="M284" s="193">
        <v>46042</v>
      </c>
      <c r="N284" s="194" t="s">
        <v>4</v>
      </c>
      <c r="O284" s="141" t="s">
        <v>15</v>
      </c>
      <c r="P284" s="117"/>
      <c r="Q284" s="407">
        <v>46038</v>
      </c>
      <c r="R284" s="40" t="s">
        <v>445</v>
      </c>
      <c r="S284" s="208"/>
      <c r="T284" s="357"/>
      <c r="U284" s="84"/>
      <c r="V284" s="84"/>
      <c r="W284" s="84"/>
      <c r="X284" s="84"/>
      <c r="Y284" s="84"/>
      <c r="Z284" s="84"/>
      <c r="AA284" s="16"/>
      <c r="AB284" s="16"/>
      <c r="AC284" s="16"/>
      <c r="AD284" s="16"/>
      <c r="AE284" s="16"/>
      <c r="AF284" s="16"/>
      <c r="AG284" s="16"/>
    </row>
    <row r="285" spans="1:33" ht="15.75" customHeight="1" x14ac:dyDescent="0.3">
      <c r="A285" s="16"/>
      <c r="B285" s="16"/>
      <c r="C285" s="130">
        <f t="shared" ref="C285:C437" ca="1" si="7">1+COUNT(INDIRECT("A1:"&amp;(ADDRESS(ROW()-1,COLUMN()))))</f>
        <v>267</v>
      </c>
      <c r="D285" s="636"/>
      <c r="E285" s="636"/>
      <c r="F285" s="567" t="s">
        <v>459</v>
      </c>
      <c r="G285" s="219" t="s">
        <v>448</v>
      </c>
      <c r="H285" s="243"/>
      <c r="I285" s="172" t="s">
        <v>2619</v>
      </c>
      <c r="J285" s="172" t="s">
        <v>365</v>
      </c>
      <c r="K285" s="245" t="s">
        <v>2613</v>
      </c>
      <c r="L285" s="141" t="s">
        <v>15</v>
      </c>
      <c r="M285" s="193">
        <v>46042</v>
      </c>
      <c r="N285" s="194" t="s">
        <v>4</v>
      </c>
      <c r="O285" s="141" t="s">
        <v>15</v>
      </c>
      <c r="P285" s="117"/>
      <c r="Q285" s="407">
        <v>46038</v>
      </c>
      <c r="R285" s="40" t="s">
        <v>445</v>
      </c>
      <c r="S285" s="208"/>
      <c r="T285" s="357"/>
      <c r="U285" s="84"/>
      <c r="V285" s="84"/>
      <c r="W285" s="84"/>
      <c r="X285" s="84"/>
      <c r="Y285" s="84"/>
      <c r="Z285" s="84"/>
      <c r="AA285" s="16"/>
      <c r="AB285" s="16"/>
      <c r="AC285" s="16"/>
      <c r="AD285" s="16"/>
      <c r="AE285" s="16"/>
      <c r="AF285" s="16"/>
      <c r="AG285" s="16"/>
    </row>
    <row r="286" spans="1:33" ht="15.75" customHeight="1" x14ac:dyDescent="0.3">
      <c r="A286" s="16"/>
      <c r="B286" s="16"/>
      <c r="C286" s="130">
        <f t="shared" ca="1" si="7"/>
        <v>268</v>
      </c>
      <c r="D286" s="635"/>
      <c r="E286" s="635"/>
      <c r="F286" s="567" t="s">
        <v>459</v>
      </c>
      <c r="G286" s="219" t="s">
        <v>448</v>
      </c>
      <c r="H286" s="243"/>
      <c r="I286" s="172" t="s">
        <v>2620</v>
      </c>
      <c r="J286" s="172" t="s">
        <v>365</v>
      </c>
      <c r="K286" s="245" t="s">
        <v>2615</v>
      </c>
      <c r="L286" s="141" t="s">
        <v>15</v>
      </c>
      <c r="M286" s="193">
        <v>46042</v>
      </c>
      <c r="N286" s="194" t="s">
        <v>4</v>
      </c>
      <c r="O286" s="141" t="s">
        <v>15</v>
      </c>
      <c r="P286" s="117"/>
      <c r="Q286" s="407">
        <v>46038</v>
      </c>
      <c r="R286" s="40" t="s">
        <v>445</v>
      </c>
      <c r="S286" s="208"/>
      <c r="T286" s="357"/>
      <c r="U286" s="84"/>
      <c r="V286" s="84"/>
      <c r="W286" s="84"/>
      <c r="X286" s="84"/>
      <c r="Y286" s="84"/>
      <c r="Z286" s="84"/>
      <c r="AA286" s="16"/>
      <c r="AB286" s="16"/>
      <c r="AC286" s="16"/>
      <c r="AD286" s="16"/>
      <c r="AE286" s="16"/>
      <c r="AF286" s="16"/>
      <c r="AG286" s="16"/>
    </row>
    <row r="287" spans="1:33" ht="15.75" customHeight="1" x14ac:dyDescent="0.3">
      <c r="A287" s="16"/>
      <c r="B287" s="16"/>
      <c r="C287" s="130">
        <f t="shared" ca="1" si="7"/>
        <v>269</v>
      </c>
      <c r="D287" s="233" t="s">
        <v>330</v>
      </c>
      <c r="E287" s="251" t="s">
        <v>257</v>
      </c>
      <c r="F287" s="567" t="s">
        <v>457</v>
      </c>
      <c r="G287" s="219" t="s">
        <v>448</v>
      </c>
      <c r="H287" s="243"/>
      <c r="I287" s="172"/>
      <c r="J287" s="172" t="s">
        <v>261</v>
      </c>
      <c r="K287" s="245" t="s">
        <v>2621</v>
      </c>
      <c r="L287" s="141" t="s">
        <v>46</v>
      </c>
      <c r="M287" s="193"/>
      <c r="N287" s="194"/>
      <c r="O287" s="141" t="s">
        <v>46</v>
      </c>
      <c r="P287" s="117"/>
      <c r="Q287" s="407">
        <v>46038</v>
      </c>
      <c r="R287" s="40" t="s">
        <v>445</v>
      </c>
      <c r="S287" s="208"/>
      <c r="T287" s="357"/>
      <c r="U287" s="84"/>
      <c r="V287" s="84"/>
      <c r="W287" s="84"/>
      <c r="X287" s="84"/>
      <c r="Y287" s="84"/>
      <c r="Z287" s="84"/>
      <c r="AA287" s="16"/>
      <c r="AB287" s="16"/>
      <c r="AC287" s="16"/>
      <c r="AD287" s="16"/>
      <c r="AE287" s="16"/>
      <c r="AF287" s="16"/>
      <c r="AG287" s="16"/>
    </row>
    <row r="288" spans="1:33" ht="15.75" customHeight="1" x14ac:dyDescent="0.3">
      <c r="A288" s="16"/>
      <c r="B288" s="16"/>
      <c r="C288" s="130">
        <f t="shared" ca="1" si="7"/>
        <v>270</v>
      </c>
      <c r="D288" s="233" t="s">
        <v>322</v>
      </c>
      <c r="E288" s="251" t="s">
        <v>257</v>
      </c>
      <c r="F288" s="567" t="s">
        <v>457</v>
      </c>
      <c r="G288" s="219" t="s">
        <v>448</v>
      </c>
      <c r="H288" s="243"/>
      <c r="I288" s="172"/>
      <c r="J288" s="172" t="s">
        <v>261</v>
      </c>
      <c r="K288" s="245" t="s">
        <v>323</v>
      </c>
      <c r="L288" s="141" t="s">
        <v>15</v>
      </c>
      <c r="M288" s="193">
        <v>46042</v>
      </c>
      <c r="N288" s="194" t="s">
        <v>4</v>
      </c>
      <c r="O288" s="141" t="s">
        <v>15</v>
      </c>
      <c r="P288" s="117"/>
      <c r="Q288" s="407">
        <v>46038</v>
      </c>
      <c r="R288" s="40" t="s">
        <v>445</v>
      </c>
      <c r="S288" s="208"/>
      <c r="T288" s="357"/>
      <c r="U288" s="84"/>
      <c r="V288" s="84"/>
      <c r="W288" s="84"/>
      <c r="X288" s="84"/>
      <c r="Y288" s="84"/>
      <c r="Z288" s="84"/>
      <c r="AA288" s="16"/>
      <c r="AB288" s="16"/>
      <c r="AC288" s="16"/>
      <c r="AD288" s="16"/>
      <c r="AE288" s="16"/>
      <c r="AF288" s="16"/>
      <c r="AG288" s="16"/>
    </row>
    <row r="289" spans="1:33" ht="15.75" customHeight="1" x14ac:dyDescent="0.3">
      <c r="A289" s="16"/>
      <c r="B289" s="16"/>
      <c r="C289" s="130">
        <f t="shared" ca="1" si="7"/>
        <v>271</v>
      </c>
      <c r="D289" s="233" t="s">
        <v>331</v>
      </c>
      <c r="E289" s="251" t="s">
        <v>257</v>
      </c>
      <c r="F289" s="567" t="s">
        <v>457</v>
      </c>
      <c r="G289" s="219" t="s">
        <v>448</v>
      </c>
      <c r="H289" s="243"/>
      <c r="I289" s="172"/>
      <c r="J289" s="172" t="s">
        <v>261</v>
      </c>
      <c r="K289" s="245" t="s">
        <v>332</v>
      </c>
      <c r="L289" s="141" t="s">
        <v>15</v>
      </c>
      <c r="M289" s="193">
        <v>46042</v>
      </c>
      <c r="N289" s="194" t="s">
        <v>4</v>
      </c>
      <c r="O289" s="141" t="s">
        <v>158</v>
      </c>
      <c r="P289" s="117" t="s">
        <v>211</v>
      </c>
      <c r="Q289" s="407">
        <v>46038</v>
      </c>
      <c r="R289" s="40" t="s">
        <v>445</v>
      </c>
      <c r="S289" s="208" t="s">
        <v>2622</v>
      </c>
      <c r="T289" s="357"/>
      <c r="U289" s="84"/>
      <c r="V289" s="84"/>
      <c r="W289" s="84"/>
      <c r="X289" s="84"/>
      <c r="Y289" s="84"/>
      <c r="Z289" s="84"/>
      <c r="AA289" s="16"/>
      <c r="AB289" s="16"/>
      <c r="AC289" s="16"/>
      <c r="AD289" s="16"/>
      <c r="AE289" s="16"/>
      <c r="AF289" s="16"/>
      <c r="AG289" s="16"/>
    </row>
    <row r="290" spans="1:33" ht="15.75" customHeight="1" x14ac:dyDescent="0.3">
      <c r="A290" s="16"/>
      <c r="B290" s="16"/>
      <c r="C290" s="130">
        <f t="shared" ca="1" si="7"/>
        <v>272</v>
      </c>
      <c r="D290" s="233" t="s">
        <v>333</v>
      </c>
      <c r="E290" s="251" t="s">
        <v>257</v>
      </c>
      <c r="F290" s="567" t="s">
        <v>457</v>
      </c>
      <c r="G290" s="219" t="s">
        <v>448</v>
      </c>
      <c r="H290" s="243"/>
      <c r="I290" s="172"/>
      <c r="J290" s="172" t="s">
        <v>261</v>
      </c>
      <c r="K290" s="245" t="s">
        <v>2262</v>
      </c>
      <c r="L290" s="141" t="s">
        <v>15</v>
      </c>
      <c r="M290" s="193">
        <v>46045</v>
      </c>
      <c r="N290" s="194" t="s">
        <v>4</v>
      </c>
      <c r="O290" s="141" t="s">
        <v>158</v>
      </c>
      <c r="P290" s="117" t="s">
        <v>211</v>
      </c>
      <c r="Q290" s="407">
        <v>46038</v>
      </c>
      <c r="R290" s="40" t="s">
        <v>445</v>
      </c>
      <c r="S290" s="208" t="s">
        <v>2623</v>
      </c>
      <c r="T290" s="357"/>
      <c r="U290" s="84"/>
      <c r="V290" s="84"/>
      <c r="W290" s="84"/>
      <c r="X290" s="84"/>
      <c r="Y290" s="84"/>
      <c r="Z290" s="84"/>
      <c r="AA290" s="16"/>
      <c r="AB290" s="16"/>
      <c r="AC290" s="16"/>
      <c r="AD290" s="16"/>
      <c r="AE290" s="16"/>
      <c r="AF290" s="16"/>
      <c r="AG290" s="16"/>
    </row>
    <row r="291" spans="1:33" ht="15.75" customHeight="1" x14ac:dyDescent="0.3">
      <c r="A291" s="16"/>
      <c r="B291" s="16"/>
      <c r="C291" s="130">
        <f t="shared" ca="1" si="7"/>
        <v>273</v>
      </c>
      <c r="D291" s="166" t="s">
        <v>2263</v>
      </c>
      <c r="E291" s="242" t="s">
        <v>237</v>
      </c>
      <c r="F291" s="567" t="s">
        <v>459</v>
      </c>
      <c r="G291" s="219" t="s">
        <v>448</v>
      </c>
      <c r="H291" s="243"/>
      <c r="I291" s="172" t="s">
        <v>364</v>
      </c>
      <c r="J291" s="172" t="s">
        <v>232</v>
      </c>
      <c r="K291" s="245" t="s">
        <v>2624</v>
      </c>
      <c r="L291" s="141" t="s">
        <v>15</v>
      </c>
      <c r="M291" s="193">
        <v>46042</v>
      </c>
      <c r="N291" s="194" t="s">
        <v>4</v>
      </c>
      <c r="O291" s="141" t="s">
        <v>15</v>
      </c>
      <c r="P291" s="117"/>
      <c r="Q291" s="407">
        <v>46038</v>
      </c>
      <c r="R291" s="40" t="s">
        <v>445</v>
      </c>
      <c r="S291" s="208"/>
      <c r="T291" s="357"/>
      <c r="U291" s="84"/>
      <c r="V291" s="84"/>
      <c r="W291" s="84"/>
      <c r="X291" s="84"/>
      <c r="Y291" s="84"/>
      <c r="Z291" s="84"/>
      <c r="AA291" s="16"/>
      <c r="AB291" s="16"/>
      <c r="AC291" s="16"/>
      <c r="AD291" s="16"/>
      <c r="AE291" s="16"/>
      <c r="AF291" s="16"/>
      <c r="AG291" s="16"/>
    </row>
    <row r="292" spans="1:33" ht="15.75" customHeight="1" x14ac:dyDescent="0.3">
      <c r="A292" s="16"/>
      <c r="B292" s="16"/>
      <c r="C292" s="130">
        <f t="shared" ca="1" si="7"/>
        <v>274</v>
      </c>
      <c r="D292" s="166" t="s">
        <v>2263</v>
      </c>
      <c r="E292" s="242" t="s">
        <v>237</v>
      </c>
      <c r="F292" s="567" t="s">
        <v>459</v>
      </c>
      <c r="G292" s="219" t="s">
        <v>448</v>
      </c>
      <c r="H292" s="243"/>
      <c r="I292" s="172" t="s">
        <v>372</v>
      </c>
      <c r="J292" s="172" t="s">
        <v>232</v>
      </c>
      <c r="K292" s="245" t="s">
        <v>2625</v>
      </c>
      <c r="L292" s="141" t="s">
        <v>15</v>
      </c>
      <c r="M292" s="193">
        <v>46042</v>
      </c>
      <c r="N292" s="194" t="s">
        <v>4</v>
      </c>
      <c r="O292" s="141" t="s">
        <v>15</v>
      </c>
      <c r="P292" s="117"/>
      <c r="Q292" s="407">
        <v>46038</v>
      </c>
      <c r="R292" s="40" t="s">
        <v>445</v>
      </c>
      <c r="S292" s="208"/>
      <c r="T292" s="357"/>
      <c r="U292" s="84"/>
      <c r="V292" s="84"/>
      <c r="W292" s="84"/>
      <c r="X292" s="84"/>
      <c r="Y292" s="84"/>
      <c r="Z292" s="84"/>
      <c r="AA292" s="16"/>
      <c r="AB292" s="16"/>
      <c r="AC292" s="16"/>
      <c r="AD292" s="16"/>
      <c r="AE292" s="16"/>
      <c r="AF292" s="16"/>
      <c r="AG292" s="16"/>
    </row>
    <row r="293" spans="1:33" ht="15.75" customHeight="1" x14ac:dyDescent="0.3">
      <c r="A293" s="16"/>
      <c r="B293" s="16"/>
      <c r="C293" s="130">
        <f t="shared" ca="1" si="7"/>
        <v>275</v>
      </c>
      <c r="D293" s="658" t="s">
        <v>334</v>
      </c>
      <c r="E293" s="251" t="s">
        <v>257</v>
      </c>
      <c r="F293" s="567" t="s">
        <v>457</v>
      </c>
      <c r="G293" s="219" t="s">
        <v>448</v>
      </c>
      <c r="H293" s="243"/>
      <c r="I293" s="172"/>
      <c r="J293" s="172" t="s">
        <v>261</v>
      </c>
      <c r="K293" s="245" t="s">
        <v>2626</v>
      </c>
      <c r="L293" s="141" t="s">
        <v>15</v>
      </c>
      <c r="M293" s="193">
        <v>46042</v>
      </c>
      <c r="N293" s="194" t="s">
        <v>4</v>
      </c>
      <c r="O293" s="141" t="s">
        <v>15</v>
      </c>
      <c r="P293" s="117"/>
      <c r="Q293" s="407">
        <v>46038</v>
      </c>
      <c r="R293" s="40" t="s">
        <v>445</v>
      </c>
      <c r="S293" s="208"/>
      <c r="T293" s="357"/>
      <c r="U293" s="84"/>
      <c r="V293" s="84"/>
      <c r="W293" s="84"/>
      <c r="X293" s="84"/>
      <c r="Y293" s="84"/>
      <c r="Z293" s="84"/>
      <c r="AA293" s="16"/>
      <c r="AB293" s="16"/>
      <c r="AC293" s="16"/>
      <c r="AD293" s="16"/>
      <c r="AE293" s="16"/>
      <c r="AF293" s="16"/>
      <c r="AG293" s="16"/>
    </row>
    <row r="294" spans="1:33" ht="15.75" customHeight="1" x14ac:dyDescent="0.3">
      <c r="A294" s="16"/>
      <c r="B294" s="16"/>
      <c r="C294" s="130">
        <f t="shared" ca="1" si="7"/>
        <v>276</v>
      </c>
      <c r="D294" s="636"/>
      <c r="E294" s="665" t="s">
        <v>237</v>
      </c>
      <c r="F294" s="567" t="s">
        <v>459</v>
      </c>
      <c r="G294" s="219" t="s">
        <v>448</v>
      </c>
      <c r="H294" s="243"/>
      <c r="I294" s="213" t="s">
        <v>364</v>
      </c>
      <c r="J294" s="172" t="s">
        <v>365</v>
      </c>
      <c r="K294" s="245" t="s">
        <v>2627</v>
      </c>
      <c r="L294" s="141" t="s">
        <v>15</v>
      </c>
      <c r="M294" s="193">
        <v>46042</v>
      </c>
      <c r="N294" s="194" t="s">
        <v>4</v>
      </c>
      <c r="O294" s="141" t="s">
        <v>15</v>
      </c>
      <c r="P294" s="117"/>
      <c r="Q294" s="407">
        <v>46038</v>
      </c>
      <c r="R294" s="40" t="s">
        <v>445</v>
      </c>
      <c r="S294" s="208"/>
      <c r="T294" s="357"/>
      <c r="U294" s="84"/>
      <c r="V294" s="84"/>
      <c r="W294" s="84"/>
      <c r="X294" s="84"/>
      <c r="Y294" s="84"/>
      <c r="Z294" s="84"/>
      <c r="AA294" s="16"/>
      <c r="AB294" s="16"/>
      <c r="AC294" s="16"/>
      <c r="AD294" s="16"/>
      <c r="AE294" s="16"/>
      <c r="AF294" s="16"/>
      <c r="AG294" s="16"/>
    </row>
    <row r="295" spans="1:33" ht="15.75" customHeight="1" x14ac:dyDescent="0.3">
      <c r="A295" s="16"/>
      <c r="B295" s="16"/>
      <c r="C295" s="130">
        <f t="shared" ca="1" si="7"/>
        <v>277</v>
      </c>
      <c r="D295" s="636"/>
      <c r="E295" s="636"/>
      <c r="F295" s="567" t="s">
        <v>459</v>
      </c>
      <c r="G295" s="219" t="s">
        <v>448</v>
      </c>
      <c r="H295" s="243"/>
      <c r="I295" s="172" t="s">
        <v>2628</v>
      </c>
      <c r="J295" s="172" t="s">
        <v>365</v>
      </c>
      <c r="K295" s="245" t="s">
        <v>2590</v>
      </c>
      <c r="L295" s="141" t="s">
        <v>15</v>
      </c>
      <c r="M295" s="193">
        <v>46042</v>
      </c>
      <c r="N295" s="194" t="s">
        <v>4</v>
      </c>
      <c r="O295" s="141" t="s">
        <v>158</v>
      </c>
      <c r="P295" s="117" t="s">
        <v>211</v>
      </c>
      <c r="Q295" s="407">
        <v>46038</v>
      </c>
      <c r="R295" s="40" t="s">
        <v>445</v>
      </c>
      <c r="S295" s="208" t="s">
        <v>2629</v>
      </c>
      <c r="T295" s="357"/>
      <c r="U295" s="84"/>
      <c r="V295" s="84"/>
      <c r="W295" s="84"/>
      <c r="X295" s="84"/>
      <c r="Y295" s="84"/>
      <c r="Z295" s="84"/>
      <c r="AA295" s="16"/>
      <c r="AB295" s="16"/>
      <c r="AC295" s="16"/>
      <c r="AD295" s="16"/>
      <c r="AE295" s="16"/>
      <c r="AF295" s="16"/>
      <c r="AG295" s="16"/>
    </row>
    <row r="296" spans="1:33" ht="15.75" customHeight="1" x14ac:dyDescent="0.3">
      <c r="A296" s="16"/>
      <c r="B296" s="16"/>
      <c r="C296" s="130">
        <f t="shared" ca="1" si="7"/>
        <v>278</v>
      </c>
      <c r="D296" s="636"/>
      <c r="E296" s="636"/>
      <c r="F296" s="567" t="s">
        <v>459</v>
      </c>
      <c r="G296" s="219" t="s">
        <v>448</v>
      </c>
      <c r="H296" s="243"/>
      <c r="I296" s="172" t="s">
        <v>2630</v>
      </c>
      <c r="J296" s="172" t="s">
        <v>365</v>
      </c>
      <c r="K296" s="245" t="s">
        <v>2631</v>
      </c>
      <c r="L296" s="141" t="s">
        <v>15</v>
      </c>
      <c r="M296" s="193">
        <v>46042</v>
      </c>
      <c r="N296" s="194" t="s">
        <v>4</v>
      </c>
      <c r="O296" s="141" t="s">
        <v>15</v>
      </c>
      <c r="P296" s="117"/>
      <c r="Q296" s="407">
        <v>46038</v>
      </c>
      <c r="R296" s="40" t="s">
        <v>445</v>
      </c>
      <c r="S296" s="208"/>
      <c r="T296" s="357"/>
      <c r="U296" s="84"/>
      <c r="V296" s="84"/>
      <c r="W296" s="84"/>
      <c r="X296" s="84"/>
      <c r="Y296" s="84"/>
      <c r="Z296" s="84"/>
      <c r="AA296" s="16"/>
      <c r="AB296" s="16"/>
      <c r="AC296" s="16"/>
      <c r="AD296" s="16"/>
      <c r="AE296" s="16"/>
      <c r="AF296" s="16"/>
      <c r="AG296" s="16"/>
    </row>
    <row r="297" spans="1:33" ht="15.75" customHeight="1" x14ac:dyDescent="0.3">
      <c r="A297" s="16"/>
      <c r="B297" s="16"/>
      <c r="C297" s="130">
        <f t="shared" ca="1" si="7"/>
        <v>279</v>
      </c>
      <c r="D297" s="636"/>
      <c r="E297" s="636"/>
      <c r="F297" s="567" t="s">
        <v>459</v>
      </c>
      <c r="G297" s="219" t="s">
        <v>448</v>
      </c>
      <c r="H297" s="243"/>
      <c r="I297" s="172" t="s">
        <v>2632</v>
      </c>
      <c r="J297" s="172" t="s">
        <v>365</v>
      </c>
      <c r="K297" s="245" t="s">
        <v>2633</v>
      </c>
      <c r="L297" s="141" t="s">
        <v>15</v>
      </c>
      <c r="M297" s="193">
        <v>46042</v>
      </c>
      <c r="N297" s="194" t="s">
        <v>4</v>
      </c>
      <c r="O297" s="141" t="s">
        <v>158</v>
      </c>
      <c r="P297" s="117" t="s">
        <v>211</v>
      </c>
      <c r="Q297" s="407">
        <v>46038</v>
      </c>
      <c r="R297" s="40" t="s">
        <v>445</v>
      </c>
      <c r="S297" s="208" t="s">
        <v>2634</v>
      </c>
      <c r="T297" s="357"/>
      <c r="U297" s="84"/>
      <c r="V297" s="84"/>
      <c r="W297" s="84"/>
      <c r="X297" s="84"/>
      <c r="Y297" s="84"/>
      <c r="Z297" s="84"/>
      <c r="AA297" s="16"/>
      <c r="AB297" s="16"/>
      <c r="AC297" s="16"/>
      <c r="AD297" s="16"/>
      <c r="AE297" s="16"/>
      <c r="AF297" s="16"/>
      <c r="AG297" s="16"/>
    </row>
    <row r="298" spans="1:33" ht="15.75" customHeight="1" x14ac:dyDescent="0.3">
      <c r="A298" s="16"/>
      <c r="B298" s="16"/>
      <c r="C298" s="130">
        <f t="shared" ca="1" si="7"/>
        <v>280</v>
      </c>
      <c r="D298" s="636"/>
      <c r="E298" s="636"/>
      <c r="F298" s="567" t="s">
        <v>459</v>
      </c>
      <c r="G298" s="219" t="s">
        <v>448</v>
      </c>
      <c r="H298" s="243"/>
      <c r="I298" s="172" t="s">
        <v>2635</v>
      </c>
      <c r="J298" s="172" t="s">
        <v>365</v>
      </c>
      <c r="K298" s="245" t="s">
        <v>2636</v>
      </c>
      <c r="L298" s="141" t="s">
        <v>15</v>
      </c>
      <c r="M298" s="193">
        <v>46042</v>
      </c>
      <c r="N298" s="194" t="s">
        <v>4</v>
      </c>
      <c r="O298" s="141" t="s">
        <v>15</v>
      </c>
      <c r="P298" s="117"/>
      <c r="Q298" s="407">
        <v>46038</v>
      </c>
      <c r="R298" s="40" t="s">
        <v>445</v>
      </c>
      <c r="S298" s="208"/>
      <c r="T298" s="357"/>
      <c r="U298" s="84"/>
      <c r="V298" s="84"/>
      <c r="W298" s="84"/>
      <c r="X298" s="84"/>
      <c r="Y298" s="84"/>
      <c r="Z298" s="84"/>
      <c r="AA298" s="16"/>
      <c r="AB298" s="16"/>
      <c r="AC298" s="16"/>
      <c r="AD298" s="16"/>
      <c r="AE298" s="16"/>
      <c r="AF298" s="16"/>
      <c r="AG298" s="16"/>
    </row>
    <row r="299" spans="1:33" ht="15.75" customHeight="1" x14ac:dyDescent="0.3">
      <c r="A299" s="16"/>
      <c r="B299" s="16"/>
      <c r="C299" s="130">
        <f t="shared" ca="1" si="7"/>
        <v>281</v>
      </c>
      <c r="D299" s="636"/>
      <c r="E299" s="636"/>
      <c r="F299" s="567" t="s">
        <v>459</v>
      </c>
      <c r="G299" s="219" t="s">
        <v>448</v>
      </c>
      <c r="H299" s="243"/>
      <c r="I299" s="172" t="s">
        <v>2637</v>
      </c>
      <c r="J299" s="172" t="s">
        <v>365</v>
      </c>
      <c r="K299" s="245" t="s">
        <v>2638</v>
      </c>
      <c r="L299" s="141" t="s">
        <v>15</v>
      </c>
      <c r="M299" s="193">
        <v>46042</v>
      </c>
      <c r="N299" s="194" t="s">
        <v>4</v>
      </c>
      <c r="O299" s="141" t="s">
        <v>15</v>
      </c>
      <c r="P299" s="117"/>
      <c r="Q299" s="407">
        <v>46038</v>
      </c>
      <c r="R299" s="40" t="s">
        <v>445</v>
      </c>
      <c r="S299" s="208"/>
      <c r="T299" s="357"/>
      <c r="U299" s="84"/>
      <c r="V299" s="84"/>
      <c r="W299" s="84"/>
      <c r="X299" s="84"/>
      <c r="Y299" s="84"/>
      <c r="Z299" s="84"/>
      <c r="AA299" s="16"/>
      <c r="AB299" s="16"/>
      <c r="AC299" s="16"/>
      <c r="AD299" s="16"/>
      <c r="AE299" s="16"/>
      <c r="AF299" s="16"/>
      <c r="AG299" s="16"/>
    </row>
    <row r="300" spans="1:33" ht="15.75" customHeight="1" x14ac:dyDescent="0.3">
      <c r="A300" s="16"/>
      <c r="B300" s="16"/>
      <c r="C300" s="130">
        <f t="shared" ca="1" si="7"/>
        <v>282</v>
      </c>
      <c r="D300" s="636"/>
      <c r="E300" s="636"/>
      <c r="F300" s="567" t="s">
        <v>459</v>
      </c>
      <c r="G300" s="219" t="s">
        <v>455</v>
      </c>
      <c r="H300" s="243"/>
      <c r="I300" s="210"/>
      <c r="J300" s="172" t="s">
        <v>310</v>
      </c>
      <c r="K300" s="226" t="s">
        <v>371</v>
      </c>
      <c r="L300" s="141" t="s">
        <v>15</v>
      </c>
      <c r="M300" s="193">
        <v>46042</v>
      </c>
      <c r="N300" s="194" t="s">
        <v>4</v>
      </c>
      <c r="O300" s="141" t="s">
        <v>15</v>
      </c>
      <c r="P300" s="117"/>
      <c r="Q300" s="407">
        <v>46038</v>
      </c>
      <c r="R300" s="40" t="s">
        <v>445</v>
      </c>
      <c r="S300" s="208"/>
      <c r="T300" s="357"/>
      <c r="U300" s="84"/>
      <c r="V300" s="84"/>
      <c r="W300" s="84"/>
      <c r="X300" s="84"/>
      <c r="Y300" s="84"/>
      <c r="Z300" s="84"/>
      <c r="AA300" s="16"/>
      <c r="AB300" s="16"/>
      <c r="AC300" s="16"/>
      <c r="AD300" s="16"/>
      <c r="AE300" s="16"/>
      <c r="AF300" s="16"/>
      <c r="AG300" s="16"/>
    </row>
    <row r="301" spans="1:33" ht="15.75" customHeight="1" x14ac:dyDescent="0.3">
      <c r="A301" s="16"/>
      <c r="B301" s="16"/>
      <c r="C301" s="130">
        <f t="shared" ca="1" si="7"/>
        <v>283</v>
      </c>
      <c r="D301" s="636"/>
      <c r="E301" s="636"/>
      <c r="F301" s="567" t="s">
        <v>459</v>
      </c>
      <c r="G301" s="219" t="s">
        <v>448</v>
      </c>
      <c r="H301" s="243"/>
      <c r="I301" s="657" t="s">
        <v>372</v>
      </c>
      <c r="J301" s="172" t="s">
        <v>311</v>
      </c>
      <c r="K301" s="245" t="s">
        <v>373</v>
      </c>
      <c r="L301" s="141" t="s">
        <v>15</v>
      </c>
      <c r="M301" s="193">
        <v>46042</v>
      </c>
      <c r="N301" s="194" t="s">
        <v>4</v>
      </c>
      <c r="O301" s="141" t="s">
        <v>15</v>
      </c>
      <c r="P301" s="117"/>
      <c r="Q301" s="407">
        <v>46038</v>
      </c>
      <c r="R301" s="40" t="s">
        <v>445</v>
      </c>
      <c r="S301" s="208"/>
      <c r="T301" s="357"/>
      <c r="U301" s="84"/>
      <c r="V301" s="84"/>
      <c r="W301" s="84"/>
      <c r="X301" s="84"/>
      <c r="Y301" s="84"/>
      <c r="Z301" s="84"/>
      <c r="AA301" s="16"/>
      <c r="AB301" s="16"/>
      <c r="AC301" s="16"/>
      <c r="AD301" s="16"/>
      <c r="AE301" s="16"/>
      <c r="AF301" s="16"/>
      <c r="AG301" s="16"/>
    </row>
    <row r="302" spans="1:33" ht="15.75" customHeight="1" x14ac:dyDescent="0.3">
      <c r="A302" s="16"/>
      <c r="B302" s="16"/>
      <c r="C302" s="130">
        <f t="shared" ca="1" si="7"/>
        <v>284</v>
      </c>
      <c r="D302" s="636"/>
      <c r="E302" s="636"/>
      <c r="F302" s="567" t="s">
        <v>459</v>
      </c>
      <c r="G302" s="219" t="s">
        <v>448</v>
      </c>
      <c r="H302" s="243"/>
      <c r="I302" s="606"/>
      <c r="J302" s="172" t="s">
        <v>313</v>
      </c>
      <c r="K302" s="245" t="s">
        <v>2599</v>
      </c>
      <c r="L302" s="141" t="s">
        <v>15</v>
      </c>
      <c r="M302" s="193">
        <v>46042</v>
      </c>
      <c r="N302" s="194" t="s">
        <v>4</v>
      </c>
      <c r="O302" s="141" t="s">
        <v>15</v>
      </c>
      <c r="P302" s="117"/>
      <c r="Q302" s="407">
        <v>46038</v>
      </c>
      <c r="R302" s="40" t="s">
        <v>445</v>
      </c>
      <c r="S302" s="208"/>
      <c r="T302" s="357"/>
      <c r="U302" s="84"/>
      <c r="V302" s="84"/>
      <c r="W302" s="84"/>
      <c r="X302" s="84"/>
      <c r="Y302" s="84"/>
      <c r="Z302" s="84"/>
      <c r="AA302" s="16"/>
      <c r="AB302" s="16"/>
      <c r="AC302" s="16"/>
      <c r="AD302" s="16"/>
      <c r="AE302" s="16"/>
      <c r="AF302" s="16"/>
      <c r="AG302" s="16"/>
    </row>
    <row r="303" spans="1:33" ht="15.75" customHeight="1" x14ac:dyDescent="0.3">
      <c r="A303" s="16"/>
      <c r="B303" s="16"/>
      <c r="C303" s="130">
        <f t="shared" ca="1" si="7"/>
        <v>285</v>
      </c>
      <c r="D303" s="636"/>
      <c r="E303" s="636"/>
      <c r="F303" s="567" t="s">
        <v>459</v>
      </c>
      <c r="G303" s="219" t="s">
        <v>455</v>
      </c>
      <c r="H303" s="243"/>
      <c r="I303" s="608"/>
      <c r="J303" s="172" t="s">
        <v>375</v>
      </c>
      <c r="K303" s="226" t="s">
        <v>371</v>
      </c>
      <c r="L303" s="141" t="s">
        <v>15</v>
      </c>
      <c r="M303" s="193">
        <v>46042</v>
      </c>
      <c r="N303" s="194" t="s">
        <v>4</v>
      </c>
      <c r="O303" s="141" t="s">
        <v>15</v>
      </c>
      <c r="P303" s="117"/>
      <c r="Q303" s="407">
        <v>46038</v>
      </c>
      <c r="R303" s="40" t="s">
        <v>445</v>
      </c>
      <c r="S303" s="208"/>
      <c r="T303" s="357"/>
      <c r="U303" s="84"/>
      <c r="V303" s="84"/>
      <c r="W303" s="84"/>
      <c r="X303" s="84"/>
      <c r="Y303" s="84"/>
      <c r="Z303" s="84"/>
      <c r="AA303" s="16"/>
      <c r="AB303" s="16"/>
      <c r="AC303" s="16"/>
      <c r="AD303" s="16"/>
      <c r="AE303" s="16"/>
      <c r="AF303" s="16"/>
      <c r="AG303" s="16"/>
    </row>
    <row r="304" spans="1:33" ht="15.75" customHeight="1" x14ac:dyDescent="0.3">
      <c r="A304" s="16"/>
      <c r="B304" s="16"/>
      <c r="C304" s="130">
        <f t="shared" ca="1" si="7"/>
        <v>286</v>
      </c>
      <c r="D304" s="636"/>
      <c r="E304" s="636"/>
      <c r="F304" s="567" t="s">
        <v>459</v>
      </c>
      <c r="G304" s="219" t="s">
        <v>448</v>
      </c>
      <c r="H304" s="243"/>
      <c r="I304" s="172" t="s">
        <v>2639</v>
      </c>
      <c r="J304" s="172" t="s">
        <v>365</v>
      </c>
      <c r="K304" s="245" t="s">
        <v>2590</v>
      </c>
      <c r="L304" s="141" t="s">
        <v>15</v>
      </c>
      <c r="M304" s="193">
        <v>46042</v>
      </c>
      <c r="N304" s="194" t="s">
        <v>4</v>
      </c>
      <c r="O304" s="141" t="s">
        <v>158</v>
      </c>
      <c r="P304" s="117" t="s">
        <v>211</v>
      </c>
      <c r="Q304" s="407">
        <v>46038</v>
      </c>
      <c r="R304" s="40" t="s">
        <v>445</v>
      </c>
      <c r="S304" s="208" t="s">
        <v>2640</v>
      </c>
      <c r="T304" s="357"/>
      <c r="U304" s="84"/>
      <c r="V304" s="84"/>
      <c r="W304" s="84"/>
      <c r="X304" s="84"/>
      <c r="Y304" s="84"/>
      <c r="Z304" s="84"/>
      <c r="AA304" s="16"/>
      <c r="AB304" s="16"/>
      <c r="AC304" s="16"/>
      <c r="AD304" s="16"/>
      <c r="AE304" s="16"/>
      <c r="AF304" s="16"/>
      <c r="AG304" s="16"/>
    </row>
    <row r="305" spans="1:33" ht="15.75" customHeight="1" x14ac:dyDescent="0.3">
      <c r="A305" s="16"/>
      <c r="B305" s="16"/>
      <c r="C305" s="130">
        <f t="shared" ca="1" si="7"/>
        <v>287</v>
      </c>
      <c r="D305" s="636"/>
      <c r="E305" s="636"/>
      <c r="F305" s="567" t="s">
        <v>459</v>
      </c>
      <c r="G305" s="219" t="s">
        <v>448</v>
      </c>
      <c r="H305" s="243"/>
      <c r="I305" s="172" t="s">
        <v>2641</v>
      </c>
      <c r="J305" s="172" t="s">
        <v>365</v>
      </c>
      <c r="K305" s="245" t="s">
        <v>2631</v>
      </c>
      <c r="L305" s="141" t="s">
        <v>15</v>
      </c>
      <c r="M305" s="193">
        <v>46042</v>
      </c>
      <c r="N305" s="194" t="s">
        <v>4</v>
      </c>
      <c r="O305" s="141" t="s">
        <v>15</v>
      </c>
      <c r="P305" s="117"/>
      <c r="Q305" s="407">
        <v>46038</v>
      </c>
      <c r="R305" s="40" t="s">
        <v>445</v>
      </c>
      <c r="S305" s="208"/>
      <c r="T305" s="357"/>
      <c r="U305" s="84"/>
      <c r="V305" s="84"/>
      <c r="W305" s="84"/>
      <c r="X305" s="84"/>
      <c r="Y305" s="84"/>
      <c r="Z305" s="84"/>
      <c r="AA305" s="16"/>
      <c r="AB305" s="16"/>
      <c r="AC305" s="16"/>
      <c r="AD305" s="16"/>
      <c r="AE305" s="16"/>
      <c r="AF305" s="16"/>
      <c r="AG305" s="16"/>
    </row>
    <row r="306" spans="1:33" ht="15.75" customHeight="1" x14ac:dyDescent="0.3">
      <c r="A306" s="16"/>
      <c r="B306" s="16"/>
      <c r="C306" s="130">
        <f t="shared" ca="1" si="7"/>
        <v>288</v>
      </c>
      <c r="D306" s="636"/>
      <c r="E306" s="636"/>
      <c r="F306" s="567" t="s">
        <v>459</v>
      </c>
      <c r="G306" s="219" t="s">
        <v>448</v>
      </c>
      <c r="H306" s="243"/>
      <c r="I306" s="172" t="s">
        <v>2642</v>
      </c>
      <c r="J306" s="172" t="s">
        <v>365</v>
      </c>
      <c r="K306" s="245" t="s">
        <v>2633</v>
      </c>
      <c r="L306" s="141" t="s">
        <v>15</v>
      </c>
      <c r="M306" s="193">
        <v>46042</v>
      </c>
      <c r="N306" s="194" t="s">
        <v>4</v>
      </c>
      <c r="O306" s="141" t="s">
        <v>158</v>
      </c>
      <c r="P306" s="117" t="s">
        <v>211</v>
      </c>
      <c r="Q306" s="407">
        <v>46038</v>
      </c>
      <c r="R306" s="40" t="s">
        <v>445</v>
      </c>
      <c r="S306" s="208" t="s">
        <v>2643</v>
      </c>
      <c r="T306" s="357"/>
      <c r="U306" s="84"/>
      <c r="V306" s="84"/>
      <c r="W306" s="84"/>
      <c r="X306" s="84"/>
      <c r="Y306" s="84"/>
      <c r="Z306" s="84"/>
      <c r="AA306" s="16"/>
      <c r="AB306" s="16"/>
      <c r="AC306" s="16"/>
      <c r="AD306" s="16"/>
      <c r="AE306" s="16"/>
      <c r="AF306" s="16"/>
      <c r="AG306" s="16"/>
    </row>
    <row r="307" spans="1:33" ht="15.75" customHeight="1" x14ac:dyDescent="0.3">
      <c r="A307" s="16"/>
      <c r="B307" s="16"/>
      <c r="C307" s="130">
        <f t="shared" ca="1" si="7"/>
        <v>289</v>
      </c>
      <c r="D307" s="636"/>
      <c r="E307" s="636"/>
      <c r="F307" s="567" t="s">
        <v>459</v>
      </c>
      <c r="G307" s="219" t="s">
        <v>448</v>
      </c>
      <c r="H307" s="243"/>
      <c r="I307" s="172" t="s">
        <v>2644</v>
      </c>
      <c r="J307" s="172" t="s">
        <v>365</v>
      </c>
      <c r="K307" s="245" t="s">
        <v>2636</v>
      </c>
      <c r="L307" s="141" t="s">
        <v>15</v>
      </c>
      <c r="M307" s="193">
        <v>46042</v>
      </c>
      <c r="N307" s="194" t="s">
        <v>4</v>
      </c>
      <c r="O307" s="141" t="s">
        <v>15</v>
      </c>
      <c r="P307" s="117"/>
      <c r="Q307" s="407">
        <v>46038</v>
      </c>
      <c r="R307" s="40" t="s">
        <v>445</v>
      </c>
      <c r="S307" s="208"/>
      <c r="T307" s="357"/>
      <c r="U307" s="84"/>
      <c r="V307" s="84"/>
      <c r="W307" s="84"/>
      <c r="X307" s="84"/>
      <c r="Y307" s="84"/>
      <c r="Z307" s="84"/>
      <c r="AA307" s="16"/>
      <c r="AB307" s="16"/>
      <c r="AC307" s="16"/>
      <c r="AD307" s="16"/>
      <c r="AE307" s="16"/>
      <c r="AF307" s="16"/>
      <c r="AG307" s="16"/>
    </row>
    <row r="308" spans="1:33" ht="15.75" customHeight="1" x14ac:dyDescent="0.3">
      <c r="A308" s="16"/>
      <c r="B308" s="16"/>
      <c r="C308" s="130">
        <f t="shared" ca="1" si="7"/>
        <v>290</v>
      </c>
      <c r="D308" s="635"/>
      <c r="E308" s="635"/>
      <c r="F308" s="567" t="s">
        <v>459</v>
      </c>
      <c r="G308" s="219" t="s">
        <v>448</v>
      </c>
      <c r="H308" s="243"/>
      <c r="I308" s="172" t="s">
        <v>2645</v>
      </c>
      <c r="J308" s="172" t="s">
        <v>365</v>
      </c>
      <c r="K308" s="245" t="s">
        <v>2638</v>
      </c>
      <c r="L308" s="141" t="s">
        <v>15</v>
      </c>
      <c r="M308" s="193">
        <v>46042</v>
      </c>
      <c r="N308" s="194" t="s">
        <v>4</v>
      </c>
      <c r="O308" s="141" t="s">
        <v>15</v>
      </c>
      <c r="P308" s="117"/>
      <c r="Q308" s="407">
        <v>46038</v>
      </c>
      <c r="R308" s="40" t="s">
        <v>445</v>
      </c>
      <c r="S308" s="208"/>
      <c r="T308" s="357"/>
      <c r="U308" s="84"/>
      <c r="V308" s="84"/>
      <c r="W308" s="84"/>
      <c r="X308" s="84"/>
      <c r="Y308" s="84"/>
      <c r="Z308" s="84"/>
      <c r="AA308" s="16"/>
      <c r="AB308" s="16"/>
      <c r="AC308" s="16"/>
      <c r="AD308" s="16"/>
      <c r="AE308" s="16"/>
      <c r="AF308" s="16"/>
      <c r="AG308" s="16"/>
    </row>
    <row r="309" spans="1:33" ht="15.75" customHeight="1" x14ac:dyDescent="0.3">
      <c r="A309" s="16"/>
      <c r="B309" s="16"/>
      <c r="C309" s="130">
        <f t="shared" ca="1" si="7"/>
        <v>291</v>
      </c>
      <c r="D309" s="658" t="s">
        <v>335</v>
      </c>
      <c r="E309" s="251" t="s">
        <v>257</v>
      </c>
      <c r="F309" s="567" t="s">
        <v>457</v>
      </c>
      <c r="G309" s="219" t="s">
        <v>448</v>
      </c>
      <c r="H309" s="243"/>
      <c r="I309" s="172"/>
      <c r="J309" s="172" t="s">
        <v>261</v>
      </c>
      <c r="K309" s="245" t="s">
        <v>2646</v>
      </c>
      <c r="L309" s="141" t="s">
        <v>15</v>
      </c>
      <c r="M309" s="193">
        <v>46042</v>
      </c>
      <c r="N309" s="194" t="s">
        <v>4</v>
      </c>
      <c r="O309" s="141" t="s">
        <v>15</v>
      </c>
      <c r="P309" s="117"/>
      <c r="Q309" s="407">
        <v>46038</v>
      </c>
      <c r="R309" s="40" t="s">
        <v>445</v>
      </c>
      <c r="S309" s="208"/>
      <c r="T309" s="357"/>
      <c r="U309" s="84"/>
      <c r="V309" s="84"/>
      <c r="W309" s="84"/>
      <c r="X309" s="84"/>
      <c r="Y309" s="84"/>
      <c r="Z309" s="84"/>
      <c r="AA309" s="16"/>
      <c r="AB309" s="16"/>
      <c r="AC309" s="16"/>
      <c r="AD309" s="16"/>
      <c r="AE309" s="16"/>
      <c r="AF309" s="16"/>
      <c r="AG309" s="16"/>
    </row>
    <row r="310" spans="1:33" ht="15.75" customHeight="1" x14ac:dyDescent="0.3">
      <c r="A310" s="16"/>
      <c r="B310" s="16"/>
      <c r="C310" s="130">
        <f t="shared" ca="1" si="7"/>
        <v>292</v>
      </c>
      <c r="D310" s="636"/>
      <c r="E310" s="665" t="s">
        <v>237</v>
      </c>
      <c r="F310" s="567" t="s">
        <v>459</v>
      </c>
      <c r="G310" s="219" t="s">
        <v>448</v>
      </c>
      <c r="H310" s="243"/>
      <c r="I310" s="213" t="s">
        <v>364</v>
      </c>
      <c r="J310" s="172" t="s">
        <v>365</v>
      </c>
      <c r="K310" s="245" t="s">
        <v>2647</v>
      </c>
      <c r="L310" s="141" t="s">
        <v>15</v>
      </c>
      <c r="M310" s="193">
        <v>46042</v>
      </c>
      <c r="N310" s="194" t="s">
        <v>4</v>
      </c>
      <c r="O310" s="141" t="s">
        <v>15</v>
      </c>
      <c r="P310" s="117"/>
      <c r="Q310" s="407">
        <v>46038</v>
      </c>
      <c r="R310" s="40" t="s">
        <v>445</v>
      </c>
      <c r="S310" s="208"/>
      <c r="T310" s="357"/>
      <c r="U310" s="84"/>
      <c r="V310" s="84"/>
      <c r="W310" s="84"/>
      <c r="X310" s="84"/>
      <c r="Y310" s="84"/>
      <c r="Z310" s="84"/>
      <c r="AA310" s="16"/>
      <c r="AB310" s="16"/>
      <c r="AC310" s="16"/>
      <c r="AD310" s="16"/>
      <c r="AE310" s="16"/>
      <c r="AF310" s="16"/>
      <c r="AG310" s="16"/>
    </row>
    <row r="311" spans="1:33" ht="15.75" customHeight="1" x14ac:dyDescent="0.3">
      <c r="A311" s="16"/>
      <c r="B311" s="16"/>
      <c r="C311" s="130">
        <f t="shared" ca="1" si="7"/>
        <v>293</v>
      </c>
      <c r="D311" s="636"/>
      <c r="E311" s="636"/>
      <c r="F311" s="567" t="s">
        <v>459</v>
      </c>
      <c r="G311" s="219" t="s">
        <v>448</v>
      </c>
      <c r="H311" s="243"/>
      <c r="I311" s="172" t="s">
        <v>2648</v>
      </c>
      <c r="J311" s="172" t="s">
        <v>365</v>
      </c>
      <c r="K311" s="245" t="s">
        <v>2590</v>
      </c>
      <c r="L311" s="141" t="s">
        <v>15</v>
      </c>
      <c r="M311" s="193">
        <v>46042</v>
      </c>
      <c r="N311" s="194" t="s">
        <v>4</v>
      </c>
      <c r="O311" s="141" t="s">
        <v>158</v>
      </c>
      <c r="P311" s="117" t="s">
        <v>211</v>
      </c>
      <c r="Q311" s="407">
        <v>46038</v>
      </c>
      <c r="R311" s="40" t="s">
        <v>445</v>
      </c>
      <c r="S311" s="208" t="s">
        <v>2649</v>
      </c>
      <c r="T311" s="357"/>
      <c r="U311" s="84"/>
      <c r="V311" s="84"/>
      <c r="W311" s="84"/>
      <c r="X311" s="84"/>
      <c r="Y311" s="84"/>
      <c r="Z311" s="84"/>
      <c r="AA311" s="16"/>
      <c r="AB311" s="16"/>
      <c r="AC311" s="16"/>
      <c r="AD311" s="16"/>
      <c r="AE311" s="16"/>
      <c r="AF311" s="16"/>
      <c r="AG311" s="16"/>
    </row>
    <row r="312" spans="1:33" ht="15.75" customHeight="1" x14ac:dyDescent="0.3">
      <c r="A312" s="16"/>
      <c r="B312" s="16"/>
      <c r="C312" s="130">
        <f t="shared" ca="1" si="7"/>
        <v>294</v>
      </c>
      <c r="D312" s="636"/>
      <c r="E312" s="636"/>
      <c r="F312" s="567" t="s">
        <v>459</v>
      </c>
      <c r="G312" s="219" t="s">
        <v>448</v>
      </c>
      <c r="H312" s="243"/>
      <c r="I312" s="172" t="s">
        <v>2650</v>
      </c>
      <c r="J312" s="172" t="s">
        <v>365</v>
      </c>
      <c r="K312" s="245" t="s">
        <v>2651</v>
      </c>
      <c r="L312" s="141" t="s">
        <v>15</v>
      </c>
      <c r="M312" s="193">
        <v>46042</v>
      </c>
      <c r="N312" s="194" t="s">
        <v>4</v>
      </c>
      <c r="O312" s="141" t="s">
        <v>15</v>
      </c>
      <c r="P312" s="117"/>
      <c r="Q312" s="407">
        <v>46038</v>
      </c>
      <c r="R312" s="40" t="s">
        <v>445</v>
      </c>
      <c r="S312" s="208"/>
      <c r="T312" s="357"/>
      <c r="U312" s="84"/>
      <c r="V312" s="84"/>
      <c r="W312" s="84"/>
      <c r="X312" s="84"/>
      <c r="Y312" s="84"/>
      <c r="Z312" s="84"/>
      <c r="AA312" s="16"/>
      <c r="AB312" s="16"/>
      <c r="AC312" s="16"/>
      <c r="AD312" s="16"/>
      <c r="AE312" s="16"/>
      <c r="AF312" s="16"/>
      <c r="AG312" s="16"/>
    </row>
    <row r="313" spans="1:33" ht="15.75" customHeight="1" x14ac:dyDescent="0.3">
      <c r="A313" s="16"/>
      <c r="B313" s="16"/>
      <c r="C313" s="130">
        <f t="shared" ca="1" si="7"/>
        <v>295</v>
      </c>
      <c r="D313" s="636"/>
      <c r="E313" s="636"/>
      <c r="F313" s="567" t="s">
        <v>459</v>
      </c>
      <c r="G313" s="219" t="s">
        <v>448</v>
      </c>
      <c r="H313" s="243"/>
      <c r="I313" s="172" t="s">
        <v>2652</v>
      </c>
      <c r="J313" s="172" t="s">
        <v>365</v>
      </c>
      <c r="K313" s="245" t="s">
        <v>2653</v>
      </c>
      <c r="L313" s="141" t="s">
        <v>15</v>
      </c>
      <c r="M313" s="193">
        <v>46042</v>
      </c>
      <c r="N313" s="194" t="s">
        <v>4</v>
      </c>
      <c r="O313" s="141" t="s">
        <v>158</v>
      </c>
      <c r="P313" s="117" t="s">
        <v>211</v>
      </c>
      <c r="Q313" s="407">
        <v>46038</v>
      </c>
      <c r="R313" s="40" t="s">
        <v>445</v>
      </c>
      <c r="S313" s="208" t="s">
        <v>2654</v>
      </c>
      <c r="T313" s="357"/>
      <c r="U313" s="84"/>
      <c r="V313" s="84"/>
      <c r="W313" s="84"/>
      <c r="X313" s="84"/>
      <c r="Y313" s="84"/>
      <c r="Z313" s="84"/>
      <c r="AA313" s="16"/>
      <c r="AB313" s="16"/>
      <c r="AC313" s="16"/>
      <c r="AD313" s="16"/>
      <c r="AE313" s="16"/>
      <c r="AF313" s="16"/>
      <c r="AG313" s="16"/>
    </row>
    <row r="314" spans="1:33" ht="15.75" customHeight="1" x14ac:dyDescent="0.3">
      <c r="A314" s="16"/>
      <c r="B314" s="16"/>
      <c r="C314" s="130">
        <f t="shared" ca="1" si="7"/>
        <v>296</v>
      </c>
      <c r="D314" s="636"/>
      <c r="E314" s="636"/>
      <c r="F314" s="567" t="s">
        <v>459</v>
      </c>
      <c r="G314" s="219" t="s">
        <v>448</v>
      </c>
      <c r="H314" s="243"/>
      <c r="I314" s="172" t="s">
        <v>2650</v>
      </c>
      <c r="J314" s="172" t="s">
        <v>365</v>
      </c>
      <c r="K314" s="245" t="s">
        <v>2655</v>
      </c>
      <c r="L314" s="141" t="s">
        <v>15</v>
      </c>
      <c r="M314" s="193">
        <v>46042</v>
      </c>
      <c r="N314" s="194" t="s">
        <v>4</v>
      </c>
      <c r="O314" s="141" t="s">
        <v>15</v>
      </c>
      <c r="P314" s="117"/>
      <c r="Q314" s="407">
        <v>46038</v>
      </c>
      <c r="R314" s="40" t="s">
        <v>445</v>
      </c>
      <c r="S314" s="208"/>
      <c r="T314" s="357"/>
      <c r="U314" s="84"/>
      <c r="V314" s="84"/>
      <c r="W314" s="84"/>
      <c r="X314" s="84"/>
      <c r="Y314" s="84"/>
      <c r="Z314" s="84"/>
      <c r="AA314" s="16"/>
      <c r="AB314" s="16"/>
      <c r="AC314" s="16"/>
      <c r="AD314" s="16"/>
      <c r="AE314" s="16"/>
      <c r="AF314" s="16"/>
      <c r="AG314" s="16"/>
    </row>
    <row r="315" spans="1:33" ht="15.75" customHeight="1" x14ac:dyDescent="0.3">
      <c r="A315" s="16"/>
      <c r="B315" s="16"/>
      <c r="C315" s="130">
        <f t="shared" ca="1" si="7"/>
        <v>297</v>
      </c>
      <c r="D315" s="636"/>
      <c r="E315" s="636"/>
      <c r="F315" s="567" t="s">
        <v>459</v>
      </c>
      <c r="G315" s="219" t="s">
        <v>448</v>
      </c>
      <c r="H315" s="243"/>
      <c r="I315" s="172" t="s">
        <v>2650</v>
      </c>
      <c r="J315" s="172" t="s">
        <v>365</v>
      </c>
      <c r="K315" s="245" t="s">
        <v>2656</v>
      </c>
      <c r="L315" s="141" t="s">
        <v>15</v>
      </c>
      <c r="M315" s="193">
        <v>46042</v>
      </c>
      <c r="N315" s="194" t="s">
        <v>4</v>
      </c>
      <c r="O315" s="141" t="s">
        <v>15</v>
      </c>
      <c r="P315" s="117"/>
      <c r="Q315" s="407">
        <v>46038</v>
      </c>
      <c r="R315" s="40" t="s">
        <v>445</v>
      </c>
      <c r="S315" s="208"/>
      <c r="T315" s="357"/>
      <c r="U315" s="84"/>
      <c r="V315" s="84"/>
      <c r="W315" s="84"/>
      <c r="X315" s="84"/>
      <c r="Y315" s="84"/>
      <c r="Z315" s="84"/>
      <c r="AA315" s="16"/>
      <c r="AB315" s="16"/>
      <c r="AC315" s="16"/>
      <c r="AD315" s="16"/>
      <c r="AE315" s="16"/>
      <c r="AF315" s="16"/>
      <c r="AG315" s="16"/>
    </row>
    <row r="316" spans="1:33" ht="15.75" customHeight="1" x14ac:dyDescent="0.3">
      <c r="A316" s="16"/>
      <c r="B316" s="16"/>
      <c r="C316" s="130">
        <f t="shared" ca="1" si="7"/>
        <v>298</v>
      </c>
      <c r="D316" s="636"/>
      <c r="E316" s="636"/>
      <c r="F316" s="567" t="s">
        <v>459</v>
      </c>
      <c r="G316" s="219" t="s">
        <v>455</v>
      </c>
      <c r="H316" s="243"/>
      <c r="I316" s="210"/>
      <c r="J316" s="172" t="s">
        <v>310</v>
      </c>
      <c r="K316" s="226" t="s">
        <v>371</v>
      </c>
      <c r="L316" s="141" t="s">
        <v>15</v>
      </c>
      <c r="M316" s="193">
        <v>46042</v>
      </c>
      <c r="N316" s="194" t="s">
        <v>4</v>
      </c>
      <c r="O316" s="141" t="s">
        <v>15</v>
      </c>
      <c r="P316" s="117"/>
      <c r="Q316" s="407">
        <v>46038</v>
      </c>
      <c r="R316" s="40" t="s">
        <v>445</v>
      </c>
      <c r="S316" s="208"/>
      <c r="T316" s="357"/>
      <c r="U316" s="84"/>
      <c r="V316" s="84"/>
      <c r="W316" s="84"/>
      <c r="X316" s="84"/>
      <c r="Y316" s="84"/>
      <c r="Z316" s="84"/>
      <c r="AA316" s="16"/>
      <c r="AB316" s="16"/>
      <c r="AC316" s="16"/>
      <c r="AD316" s="16"/>
      <c r="AE316" s="16"/>
      <c r="AF316" s="16"/>
      <c r="AG316" s="16"/>
    </row>
    <row r="317" spans="1:33" ht="15.75" customHeight="1" x14ac:dyDescent="0.3">
      <c r="A317" s="16"/>
      <c r="B317" s="16"/>
      <c r="C317" s="130">
        <f t="shared" ca="1" si="7"/>
        <v>299</v>
      </c>
      <c r="D317" s="636"/>
      <c r="E317" s="636"/>
      <c r="F317" s="567" t="s">
        <v>459</v>
      </c>
      <c r="G317" s="219" t="s">
        <v>448</v>
      </c>
      <c r="H317" s="243"/>
      <c r="I317" s="213" t="s">
        <v>372</v>
      </c>
      <c r="J317" s="172" t="s">
        <v>311</v>
      </c>
      <c r="K317" s="245" t="s">
        <v>373</v>
      </c>
      <c r="L317" s="141" t="s">
        <v>15</v>
      </c>
      <c r="M317" s="193">
        <v>46042</v>
      </c>
      <c r="N317" s="194" t="s">
        <v>4</v>
      </c>
      <c r="O317" s="141" t="s">
        <v>15</v>
      </c>
      <c r="P317" s="117"/>
      <c r="Q317" s="407">
        <v>46038</v>
      </c>
      <c r="R317" s="40" t="s">
        <v>445</v>
      </c>
      <c r="S317" s="208"/>
      <c r="T317" s="357"/>
      <c r="U317" s="84"/>
      <c r="V317" s="84"/>
      <c r="W317" s="84"/>
      <c r="X317" s="84"/>
      <c r="Y317" s="84"/>
      <c r="Z317" s="84"/>
      <c r="AA317" s="16"/>
      <c r="AB317" s="16"/>
      <c r="AC317" s="16"/>
      <c r="AD317" s="16"/>
      <c r="AE317" s="16"/>
      <c r="AF317" s="16"/>
      <c r="AG317" s="16"/>
    </row>
    <row r="318" spans="1:33" ht="15.75" customHeight="1" x14ac:dyDescent="0.3">
      <c r="A318" s="16"/>
      <c r="B318" s="16"/>
      <c r="C318" s="130">
        <f t="shared" ca="1" si="7"/>
        <v>300</v>
      </c>
      <c r="D318" s="636"/>
      <c r="E318" s="636"/>
      <c r="F318" s="567" t="s">
        <v>459</v>
      </c>
      <c r="G318" s="219" t="s">
        <v>448</v>
      </c>
      <c r="H318" s="243"/>
      <c r="I318" s="569"/>
      <c r="J318" s="172" t="s">
        <v>313</v>
      </c>
      <c r="K318" s="245" t="s">
        <v>2599</v>
      </c>
      <c r="L318" s="141" t="s">
        <v>15</v>
      </c>
      <c r="M318" s="193">
        <v>46042</v>
      </c>
      <c r="N318" s="194" t="s">
        <v>4</v>
      </c>
      <c r="O318" s="141" t="s">
        <v>15</v>
      </c>
      <c r="P318" s="117"/>
      <c r="Q318" s="407">
        <v>46038</v>
      </c>
      <c r="R318" s="40" t="s">
        <v>445</v>
      </c>
      <c r="S318" s="208"/>
      <c r="T318" s="357"/>
      <c r="U318" s="84"/>
      <c r="V318" s="84"/>
      <c r="W318" s="84"/>
      <c r="X318" s="84"/>
      <c r="Y318" s="84"/>
      <c r="Z318" s="84"/>
      <c r="AA318" s="16"/>
      <c r="AB318" s="16"/>
      <c r="AC318" s="16"/>
      <c r="AD318" s="16"/>
      <c r="AE318" s="16"/>
      <c r="AF318" s="16"/>
      <c r="AG318" s="16"/>
    </row>
    <row r="319" spans="1:33" ht="15.75" customHeight="1" x14ac:dyDescent="0.3">
      <c r="A319" s="16"/>
      <c r="B319" s="16"/>
      <c r="C319" s="130">
        <f t="shared" ca="1" si="7"/>
        <v>301</v>
      </c>
      <c r="D319" s="636"/>
      <c r="E319" s="636"/>
      <c r="F319" s="567" t="s">
        <v>459</v>
      </c>
      <c r="G319" s="219" t="s">
        <v>455</v>
      </c>
      <c r="H319" s="243"/>
      <c r="I319" s="210"/>
      <c r="J319" s="172" t="s">
        <v>375</v>
      </c>
      <c r="K319" s="226" t="s">
        <v>371</v>
      </c>
      <c r="L319" s="141" t="s">
        <v>15</v>
      </c>
      <c r="M319" s="193">
        <v>46042</v>
      </c>
      <c r="N319" s="194" t="s">
        <v>4</v>
      </c>
      <c r="O319" s="141" t="s">
        <v>15</v>
      </c>
      <c r="P319" s="117"/>
      <c r="Q319" s="407">
        <v>46038</v>
      </c>
      <c r="R319" s="40" t="s">
        <v>445</v>
      </c>
      <c r="S319" s="208"/>
      <c r="T319" s="357"/>
      <c r="U319" s="84"/>
      <c r="V319" s="84"/>
      <c r="W319" s="84"/>
      <c r="X319" s="84"/>
      <c r="Y319" s="84"/>
      <c r="Z319" s="84"/>
      <c r="AA319" s="16"/>
      <c r="AB319" s="16"/>
      <c r="AC319" s="16"/>
      <c r="AD319" s="16"/>
      <c r="AE319" s="16"/>
      <c r="AF319" s="16"/>
      <c r="AG319" s="16"/>
    </row>
    <row r="320" spans="1:33" ht="15.75" customHeight="1" x14ac:dyDescent="0.3">
      <c r="A320" s="16"/>
      <c r="B320" s="16"/>
      <c r="C320" s="130">
        <f t="shared" ca="1" si="7"/>
        <v>302</v>
      </c>
      <c r="D320" s="636"/>
      <c r="E320" s="636"/>
      <c r="F320" s="567" t="s">
        <v>459</v>
      </c>
      <c r="G320" s="219" t="s">
        <v>448</v>
      </c>
      <c r="H320" s="243"/>
      <c r="I320" s="172" t="s">
        <v>2657</v>
      </c>
      <c r="J320" s="172" t="s">
        <v>365</v>
      </c>
      <c r="K320" s="245" t="s">
        <v>2590</v>
      </c>
      <c r="L320" s="141" t="s">
        <v>15</v>
      </c>
      <c r="M320" s="193">
        <v>46042</v>
      </c>
      <c r="N320" s="194" t="s">
        <v>4</v>
      </c>
      <c r="O320" s="141" t="s">
        <v>158</v>
      </c>
      <c r="P320" s="117" t="s">
        <v>211</v>
      </c>
      <c r="Q320" s="407">
        <v>46038</v>
      </c>
      <c r="R320" s="40" t="s">
        <v>445</v>
      </c>
      <c r="S320" s="208" t="s">
        <v>2658</v>
      </c>
      <c r="T320" s="357"/>
      <c r="U320" s="84"/>
      <c r="V320" s="84"/>
      <c r="W320" s="84"/>
      <c r="X320" s="84"/>
      <c r="Y320" s="84"/>
      <c r="Z320" s="84"/>
      <c r="AA320" s="16"/>
      <c r="AB320" s="16"/>
      <c r="AC320" s="16"/>
      <c r="AD320" s="16"/>
      <c r="AE320" s="16"/>
      <c r="AF320" s="16"/>
      <c r="AG320" s="16"/>
    </row>
    <row r="321" spans="1:33" ht="15.75" customHeight="1" x14ac:dyDescent="0.3">
      <c r="A321" s="16"/>
      <c r="B321" s="16"/>
      <c r="C321" s="130">
        <f t="shared" ca="1" si="7"/>
        <v>303</v>
      </c>
      <c r="D321" s="636"/>
      <c r="E321" s="636"/>
      <c r="F321" s="567" t="s">
        <v>459</v>
      </c>
      <c r="G321" s="219" t="s">
        <v>448</v>
      </c>
      <c r="H321" s="243"/>
      <c r="I321" s="172" t="s">
        <v>2659</v>
      </c>
      <c r="J321" s="172" t="s">
        <v>365</v>
      </c>
      <c r="K321" s="245" t="s">
        <v>2651</v>
      </c>
      <c r="L321" s="141" t="s">
        <v>15</v>
      </c>
      <c r="M321" s="193">
        <v>46042</v>
      </c>
      <c r="N321" s="194" t="s">
        <v>4</v>
      </c>
      <c r="O321" s="141" t="s">
        <v>15</v>
      </c>
      <c r="P321" s="117"/>
      <c r="Q321" s="407">
        <v>46038</v>
      </c>
      <c r="R321" s="40" t="s">
        <v>445</v>
      </c>
      <c r="S321" s="208"/>
      <c r="T321" s="357"/>
      <c r="U321" s="84"/>
      <c r="V321" s="84"/>
      <c r="W321" s="84"/>
      <c r="X321" s="84"/>
      <c r="Y321" s="84"/>
      <c r="Z321" s="84"/>
      <c r="AA321" s="16"/>
      <c r="AB321" s="16"/>
      <c r="AC321" s="16"/>
      <c r="AD321" s="16"/>
      <c r="AE321" s="16"/>
      <c r="AF321" s="16"/>
      <c r="AG321" s="16"/>
    </row>
    <row r="322" spans="1:33" ht="15.75" customHeight="1" x14ac:dyDescent="0.3">
      <c r="A322" s="16"/>
      <c r="B322" s="16"/>
      <c r="C322" s="130">
        <f t="shared" ca="1" si="7"/>
        <v>304</v>
      </c>
      <c r="D322" s="636"/>
      <c r="E322" s="636"/>
      <c r="F322" s="567" t="s">
        <v>459</v>
      </c>
      <c r="G322" s="219" t="s">
        <v>448</v>
      </c>
      <c r="H322" s="243"/>
      <c r="I322" s="172" t="s">
        <v>2660</v>
      </c>
      <c r="J322" s="172" t="s">
        <v>365</v>
      </c>
      <c r="K322" s="245" t="s">
        <v>2653</v>
      </c>
      <c r="L322" s="141" t="s">
        <v>15</v>
      </c>
      <c r="M322" s="193">
        <v>46042</v>
      </c>
      <c r="N322" s="194" t="s">
        <v>4</v>
      </c>
      <c r="O322" s="141" t="s">
        <v>158</v>
      </c>
      <c r="P322" s="117" t="s">
        <v>211</v>
      </c>
      <c r="Q322" s="407">
        <v>46038</v>
      </c>
      <c r="R322" s="40" t="s">
        <v>445</v>
      </c>
      <c r="S322" s="208" t="s">
        <v>2661</v>
      </c>
      <c r="T322" s="357"/>
      <c r="U322" s="84"/>
      <c r="V322" s="84"/>
      <c r="W322" s="84"/>
      <c r="X322" s="84"/>
      <c r="Y322" s="84"/>
      <c r="Z322" s="84"/>
      <c r="AA322" s="16"/>
      <c r="AB322" s="16"/>
      <c r="AC322" s="16"/>
      <c r="AD322" s="16"/>
      <c r="AE322" s="16"/>
      <c r="AF322" s="16"/>
      <c r="AG322" s="16"/>
    </row>
    <row r="323" spans="1:33" ht="15.75" customHeight="1" x14ac:dyDescent="0.3">
      <c r="A323" s="16"/>
      <c r="B323" s="16"/>
      <c r="C323" s="130">
        <f t="shared" ca="1" si="7"/>
        <v>305</v>
      </c>
      <c r="D323" s="636"/>
      <c r="E323" s="636"/>
      <c r="F323" s="567" t="s">
        <v>459</v>
      </c>
      <c r="G323" s="219" t="s">
        <v>448</v>
      </c>
      <c r="H323" s="243"/>
      <c r="I323" s="172" t="s">
        <v>2659</v>
      </c>
      <c r="J323" s="172" t="s">
        <v>365</v>
      </c>
      <c r="K323" s="245" t="s">
        <v>2655</v>
      </c>
      <c r="L323" s="141" t="s">
        <v>15</v>
      </c>
      <c r="M323" s="193">
        <v>46042</v>
      </c>
      <c r="N323" s="194" t="s">
        <v>4</v>
      </c>
      <c r="O323" s="141" t="s">
        <v>15</v>
      </c>
      <c r="P323" s="117"/>
      <c r="Q323" s="407">
        <v>46038</v>
      </c>
      <c r="R323" s="40" t="s">
        <v>445</v>
      </c>
      <c r="S323" s="208"/>
      <c r="T323" s="357"/>
      <c r="U323" s="84"/>
      <c r="V323" s="84"/>
      <c r="W323" s="84"/>
      <c r="X323" s="84"/>
      <c r="Y323" s="84"/>
      <c r="Z323" s="84"/>
      <c r="AA323" s="16"/>
      <c r="AB323" s="16"/>
      <c r="AC323" s="16"/>
      <c r="AD323" s="16"/>
      <c r="AE323" s="16"/>
      <c r="AF323" s="16"/>
      <c r="AG323" s="16"/>
    </row>
    <row r="324" spans="1:33" ht="15.75" customHeight="1" x14ac:dyDescent="0.3">
      <c r="A324" s="16"/>
      <c r="B324" s="16"/>
      <c r="C324" s="130">
        <f t="shared" ca="1" si="7"/>
        <v>306</v>
      </c>
      <c r="D324" s="635"/>
      <c r="E324" s="635"/>
      <c r="F324" s="567" t="s">
        <v>459</v>
      </c>
      <c r="G324" s="219" t="s">
        <v>448</v>
      </c>
      <c r="H324" s="243"/>
      <c r="I324" s="172" t="s">
        <v>2659</v>
      </c>
      <c r="J324" s="172" t="s">
        <v>365</v>
      </c>
      <c r="K324" s="245" t="s">
        <v>2656</v>
      </c>
      <c r="L324" s="141" t="s">
        <v>15</v>
      </c>
      <c r="M324" s="193">
        <v>46042</v>
      </c>
      <c r="N324" s="194" t="s">
        <v>4</v>
      </c>
      <c r="O324" s="141" t="s">
        <v>15</v>
      </c>
      <c r="P324" s="117"/>
      <c r="Q324" s="407">
        <v>46038</v>
      </c>
      <c r="R324" s="40" t="s">
        <v>445</v>
      </c>
      <c r="S324" s="208"/>
      <c r="T324" s="357"/>
      <c r="U324" s="84"/>
      <c r="V324" s="84"/>
      <c r="W324" s="84"/>
      <c r="X324" s="84"/>
      <c r="Y324" s="84"/>
      <c r="Z324" s="84"/>
      <c r="AA324" s="16"/>
      <c r="AB324" s="16"/>
      <c r="AC324" s="16"/>
      <c r="AD324" s="16"/>
      <c r="AE324" s="16"/>
      <c r="AF324" s="16"/>
      <c r="AG324" s="16"/>
    </row>
    <row r="325" spans="1:33" ht="15.75" customHeight="1" x14ac:dyDescent="0.3">
      <c r="A325" s="16"/>
      <c r="B325" s="16"/>
      <c r="C325" s="130">
        <f t="shared" ca="1" si="7"/>
        <v>307</v>
      </c>
      <c r="D325" s="658" t="s">
        <v>336</v>
      </c>
      <c r="E325" s="251" t="s">
        <v>257</v>
      </c>
      <c r="F325" s="567" t="s">
        <v>457</v>
      </c>
      <c r="G325" s="219" t="s">
        <v>448</v>
      </c>
      <c r="H325" s="243"/>
      <c r="I325" s="172"/>
      <c r="J325" s="172" t="s">
        <v>261</v>
      </c>
      <c r="K325" s="245" t="s">
        <v>2662</v>
      </c>
      <c r="L325" s="141" t="s">
        <v>15</v>
      </c>
      <c r="M325" s="193">
        <v>46042</v>
      </c>
      <c r="N325" s="194" t="s">
        <v>4</v>
      </c>
      <c r="O325" s="141" t="s">
        <v>15</v>
      </c>
      <c r="P325" s="117"/>
      <c r="Q325" s="407">
        <v>46038</v>
      </c>
      <c r="R325" s="40" t="s">
        <v>445</v>
      </c>
      <c r="S325" s="208"/>
      <c r="T325" s="357"/>
      <c r="U325" s="84"/>
      <c r="V325" s="84"/>
      <c r="W325" s="84"/>
      <c r="X325" s="84"/>
      <c r="Y325" s="84"/>
      <c r="Z325" s="84"/>
      <c r="AA325" s="16"/>
      <c r="AB325" s="16"/>
      <c r="AC325" s="16"/>
      <c r="AD325" s="16"/>
      <c r="AE325" s="16"/>
      <c r="AF325" s="16"/>
      <c r="AG325" s="16"/>
    </row>
    <row r="326" spans="1:33" ht="15.75" customHeight="1" x14ac:dyDescent="0.3">
      <c r="A326" s="16"/>
      <c r="B326" s="16"/>
      <c r="C326" s="130">
        <f t="shared" ca="1" si="7"/>
        <v>308</v>
      </c>
      <c r="D326" s="636"/>
      <c r="E326" s="665" t="s">
        <v>237</v>
      </c>
      <c r="F326" s="567" t="s">
        <v>459</v>
      </c>
      <c r="G326" s="219" t="s">
        <v>448</v>
      </c>
      <c r="H326" s="243"/>
      <c r="I326" s="213" t="s">
        <v>364</v>
      </c>
      <c r="J326" s="172" t="s">
        <v>365</v>
      </c>
      <c r="K326" s="245" t="s">
        <v>2647</v>
      </c>
      <c r="L326" s="141" t="s">
        <v>15</v>
      </c>
      <c r="M326" s="193">
        <v>46042</v>
      </c>
      <c r="N326" s="194" t="s">
        <v>4</v>
      </c>
      <c r="O326" s="141" t="s">
        <v>15</v>
      </c>
      <c r="P326" s="117"/>
      <c r="Q326" s="407">
        <v>46038</v>
      </c>
      <c r="R326" s="40" t="s">
        <v>445</v>
      </c>
      <c r="S326" s="208"/>
      <c r="T326" s="357"/>
      <c r="U326" s="84"/>
      <c r="V326" s="84"/>
      <c r="W326" s="84"/>
      <c r="X326" s="84"/>
      <c r="Y326" s="84"/>
      <c r="Z326" s="84"/>
      <c r="AA326" s="16"/>
      <c r="AB326" s="16"/>
      <c r="AC326" s="16"/>
      <c r="AD326" s="16"/>
      <c r="AE326" s="16"/>
      <c r="AF326" s="16"/>
      <c r="AG326" s="16"/>
    </row>
    <row r="327" spans="1:33" ht="15.75" customHeight="1" x14ac:dyDescent="0.3">
      <c r="A327" s="16"/>
      <c r="B327" s="16"/>
      <c r="C327" s="130">
        <f t="shared" ca="1" si="7"/>
        <v>309</v>
      </c>
      <c r="D327" s="636"/>
      <c r="E327" s="636"/>
      <c r="F327" s="567" t="s">
        <v>459</v>
      </c>
      <c r="G327" s="219" t="s">
        <v>448</v>
      </c>
      <c r="H327" s="243"/>
      <c r="I327" s="172" t="s">
        <v>2663</v>
      </c>
      <c r="J327" s="172" t="s">
        <v>365</v>
      </c>
      <c r="K327" s="245" t="s">
        <v>2590</v>
      </c>
      <c r="L327" s="141" t="s">
        <v>15</v>
      </c>
      <c r="M327" s="193">
        <v>46042</v>
      </c>
      <c r="N327" s="194" t="s">
        <v>4</v>
      </c>
      <c r="O327" s="141" t="s">
        <v>158</v>
      </c>
      <c r="P327" s="117" t="s">
        <v>211</v>
      </c>
      <c r="Q327" s="407">
        <v>46038</v>
      </c>
      <c r="R327" s="40" t="s">
        <v>445</v>
      </c>
      <c r="S327" s="208" t="s">
        <v>2664</v>
      </c>
      <c r="T327" s="357"/>
      <c r="U327" s="84"/>
      <c r="V327" s="84"/>
      <c r="W327" s="84"/>
      <c r="X327" s="84"/>
      <c r="Y327" s="84"/>
      <c r="Z327" s="84"/>
      <c r="AA327" s="16"/>
      <c r="AB327" s="16"/>
      <c r="AC327" s="16"/>
      <c r="AD327" s="16"/>
      <c r="AE327" s="16"/>
      <c r="AF327" s="16"/>
      <c r="AG327" s="16"/>
    </row>
    <row r="328" spans="1:33" ht="15.75" customHeight="1" x14ac:dyDescent="0.3">
      <c r="A328" s="16"/>
      <c r="B328" s="16"/>
      <c r="C328" s="130">
        <f t="shared" ca="1" si="7"/>
        <v>310</v>
      </c>
      <c r="D328" s="636"/>
      <c r="E328" s="636"/>
      <c r="F328" s="567" t="s">
        <v>459</v>
      </c>
      <c r="G328" s="219" t="s">
        <v>448</v>
      </c>
      <c r="H328" s="243"/>
      <c r="I328" s="172" t="s">
        <v>2665</v>
      </c>
      <c r="J328" s="172" t="s">
        <v>365</v>
      </c>
      <c r="K328" s="245" t="s">
        <v>2666</v>
      </c>
      <c r="L328" s="141" t="s">
        <v>15</v>
      </c>
      <c r="M328" s="193">
        <v>46042</v>
      </c>
      <c r="N328" s="194" t="s">
        <v>4</v>
      </c>
      <c r="O328" s="141" t="s">
        <v>15</v>
      </c>
      <c r="P328" s="117"/>
      <c r="Q328" s="407">
        <v>46038</v>
      </c>
      <c r="R328" s="40" t="s">
        <v>445</v>
      </c>
      <c r="S328" s="208"/>
      <c r="T328" s="357"/>
      <c r="U328" s="84"/>
      <c r="V328" s="84"/>
      <c r="W328" s="84"/>
      <c r="X328" s="84"/>
      <c r="Y328" s="84"/>
      <c r="Z328" s="84"/>
      <c r="AA328" s="16"/>
      <c r="AB328" s="16"/>
      <c r="AC328" s="16"/>
      <c r="AD328" s="16"/>
      <c r="AE328" s="16"/>
      <c r="AF328" s="16"/>
      <c r="AG328" s="16"/>
    </row>
    <row r="329" spans="1:33" ht="15.75" customHeight="1" x14ac:dyDescent="0.3">
      <c r="A329" s="16"/>
      <c r="B329" s="16"/>
      <c r="C329" s="130">
        <f t="shared" ca="1" si="7"/>
        <v>311</v>
      </c>
      <c r="D329" s="636"/>
      <c r="E329" s="636"/>
      <c r="F329" s="567" t="s">
        <v>459</v>
      </c>
      <c r="G329" s="219" t="s">
        <v>448</v>
      </c>
      <c r="H329" s="243"/>
      <c r="I329" s="172" t="s">
        <v>2667</v>
      </c>
      <c r="J329" s="172" t="s">
        <v>365</v>
      </c>
      <c r="K329" s="245" t="s">
        <v>2668</v>
      </c>
      <c r="L329" s="141" t="s">
        <v>15</v>
      </c>
      <c r="M329" s="193">
        <v>46042</v>
      </c>
      <c r="N329" s="194" t="s">
        <v>4</v>
      </c>
      <c r="O329" s="141" t="s">
        <v>158</v>
      </c>
      <c r="P329" s="117" t="s">
        <v>211</v>
      </c>
      <c r="Q329" s="407">
        <v>46038</v>
      </c>
      <c r="R329" s="40" t="s">
        <v>445</v>
      </c>
      <c r="S329" s="208" t="s">
        <v>2669</v>
      </c>
      <c r="T329" s="357"/>
      <c r="U329" s="84"/>
      <c r="V329" s="84"/>
      <c r="W329" s="84"/>
      <c r="X329" s="84"/>
      <c r="Y329" s="84"/>
      <c r="Z329" s="84"/>
      <c r="AA329" s="16"/>
      <c r="AB329" s="16"/>
      <c r="AC329" s="16"/>
      <c r="AD329" s="16"/>
      <c r="AE329" s="16"/>
      <c r="AF329" s="16"/>
      <c r="AG329" s="16"/>
    </row>
    <row r="330" spans="1:33" ht="15.75" customHeight="1" x14ac:dyDescent="0.3">
      <c r="A330" s="16"/>
      <c r="B330" s="16"/>
      <c r="C330" s="130">
        <f t="shared" ca="1" si="7"/>
        <v>312</v>
      </c>
      <c r="D330" s="636"/>
      <c r="E330" s="636"/>
      <c r="F330" s="567" t="s">
        <v>459</v>
      </c>
      <c r="G330" s="219" t="s">
        <v>448</v>
      </c>
      <c r="H330" s="243"/>
      <c r="I330" s="172" t="s">
        <v>2670</v>
      </c>
      <c r="J330" s="172" t="s">
        <v>365</v>
      </c>
      <c r="K330" s="245" t="s">
        <v>2671</v>
      </c>
      <c r="L330" s="141" t="s">
        <v>15</v>
      </c>
      <c r="M330" s="193">
        <v>46042</v>
      </c>
      <c r="N330" s="194" t="s">
        <v>4</v>
      </c>
      <c r="O330" s="141" t="s">
        <v>15</v>
      </c>
      <c r="P330" s="117"/>
      <c r="Q330" s="407">
        <v>46038</v>
      </c>
      <c r="R330" s="40" t="s">
        <v>445</v>
      </c>
      <c r="S330" s="208"/>
      <c r="T330" s="357"/>
      <c r="U330" s="84"/>
      <c r="V330" s="84"/>
      <c r="W330" s="84"/>
      <c r="X330" s="84"/>
      <c r="Y330" s="84"/>
      <c r="Z330" s="84"/>
      <c r="AA330" s="16"/>
      <c r="AB330" s="16"/>
      <c r="AC330" s="16"/>
      <c r="AD330" s="16"/>
      <c r="AE330" s="16"/>
      <c r="AF330" s="16"/>
      <c r="AG330" s="16"/>
    </row>
    <row r="331" spans="1:33" ht="15.75" customHeight="1" x14ac:dyDescent="0.3">
      <c r="A331" s="16"/>
      <c r="B331" s="16"/>
      <c r="C331" s="130">
        <f t="shared" ca="1" si="7"/>
        <v>313</v>
      </c>
      <c r="D331" s="636"/>
      <c r="E331" s="636"/>
      <c r="F331" s="567" t="s">
        <v>459</v>
      </c>
      <c r="G331" s="219" t="s">
        <v>448</v>
      </c>
      <c r="H331" s="243"/>
      <c r="I331" s="172" t="s">
        <v>2672</v>
      </c>
      <c r="J331" s="172" t="s">
        <v>365</v>
      </c>
      <c r="K331" s="245" t="s">
        <v>2673</v>
      </c>
      <c r="L331" s="141" t="s">
        <v>15</v>
      </c>
      <c r="M331" s="193">
        <v>46042</v>
      </c>
      <c r="N331" s="194" t="s">
        <v>4</v>
      </c>
      <c r="O331" s="141" t="s">
        <v>15</v>
      </c>
      <c r="P331" s="117"/>
      <c r="Q331" s="407">
        <v>46038</v>
      </c>
      <c r="R331" s="40" t="s">
        <v>445</v>
      </c>
      <c r="S331" s="208"/>
      <c r="T331" s="357"/>
      <c r="U331" s="84"/>
      <c r="V331" s="84"/>
      <c r="W331" s="84"/>
      <c r="X331" s="84"/>
      <c r="Y331" s="84"/>
      <c r="Z331" s="84"/>
      <c r="AA331" s="16"/>
      <c r="AB331" s="16"/>
      <c r="AC331" s="16"/>
      <c r="AD331" s="16"/>
      <c r="AE331" s="16"/>
      <c r="AF331" s="16"/>
      <c r="AG331" s="16"/>
    </row>
    <row r="332" spans="1:33" ht="15.75" customHeight="1" x14ac:dyDescent="0.3">
      <c r="A332" s="16"/>
      <c r="B332" s="16"/>
      <c r="C332" s="130">
        <f t="shared" ca="1" si="7"/>
        <v>314</v>
      </c>
      <c r="D332" s="636"/>
      <c r="E332" s="636"/>
      <c r="F332" s="567" t="s">
        <v>459</v>
      </c>
      <c r="G332" s="219" t="s">
        <v>455</v>
      </c>
      <c r="H332" s="243"/>
      <c r="I332" s="210"/>
      <c r="J332" s="172" t="s">
        <v>310</v>
      </c>
      <c r="K332" s="226" t="s">
        <v>371</v>
      </c>
      <c r="L332" s="141" t="s">
        <v>15</v>
      </c>
      <c r="M332" s="193">
        <v>46042</v>
      </c>
      <c r="N332" s="194" t="s">
        <v>4</v>
      </c>
      <c r="O332" s="141" t="s">
        <v>15</v>
      </c>
      <c r="P332" s="117"/>
      <c r="Q332" s="407">
        <v>46038</v>
      </c>
      <c r="R332" s="40" t="s">
        <v>445</v>
      </c>
      <c r="S332" s="208"/>
      <c r="T332" s="357"/>
      <c r="U332" s="84"/>
      <c r="V332" s="84"/>
      <c r="W332" s="84"/>
      <c r="X332" s="84"/>
      <c r="Y332" s="84"/>
      <c r="Z332" s="84"/>
      <c r="AA332" s="16"/>
      <c r="AB332" s="16"/>
      <c r="AC332" s="16"/>
      <c r="AD332" s="16"/>
      <c r="AE332" s="16"/>
      <c r="AF332" s="16"/>
      <c r="AG332" s="16"/>
    </row>
    <row r="333" spans="1:33" ht="15.75" customHeight="1" x14ac:dyDescent="0.3">
      <c r="A333" s="16"/>
      <c r="B333" s="16"/>
      <c r="C333" s="130">
        <f t="shared" ca="1" si="7"/>
        <v>315</v>
      </c>
      <c r="D333" s="636"/>
      <c r="E333" s="636"/>
      <c r="F333" s="567" t="s">
        <v>459</v>
      </c>
      <c r="G333" s="219" t="s">
        <v>448</v>
      </c>
      <c r="H333" s="243"/>
      <c r="I333" s="213" t="s">
        <v>372</v>
      </c>
      <c r="J333" s="172" t="s">
        <v>311</v>
      </c>
      <c r="K333" s="245" t="s">
        <v>373</v>
      </c>
      <c r="L333" s="141" t="s">
        <v>15</v>
      </c>
      <c r="M333" s="193">
        <v>46042</v>
      </c>
      <c r="N333" s="194" t="s">
        <v>4</v>
      </c>
      <c r="O333" s="141" t="s">
        <v>15</v>
      </c>
      <c r="P333" s="117"/>
      <c r="Q333" s="407">
        <v>46038</v>
      </c>
      <c r="R333" s="40" t="s">
        <v>445</v>
      </c>
      <c r="S333" s="208"/>
      <c r="T333" s="357"/>
      <c r="U333" s="84"/>
      <c r="V333" s="84"/>
      <c r="W333" s="84"/>
      <c r="X333" s="84"/>
      <c r="Y333" s="84"/>
      <c r="Z333" s="84"/>
      <c r="AA333" s="16"/>
      <c r="AB333" s="16"/>
      <c r="AC333" s="16"/>
      <c r="AD333" s="16"/>
      <c r="AE333" s="16"/>
      <c r="AF333" s="16"/>
      <c r="AG333" s="16"/>
    </row>
    <row r="334" spans="1:33" ht="15.75" customHeight="1" x14ac:dyDescent="0.3">
      <c r="A334" s="16"/>
      <c r="B334" s="16"/>
      <c r="C334" s="130">
        <f t="shared" ca="1" si="7"/>
        <v>316</v>
      </c>
      <c r="D334" s="636"/>
      <c r="E334" s="636"/>
      <c r="F334" s="567" t="s">
        <v>459</v>
      </c>
      <c r="G334" s="219" t="s">
        <v>448</v>
      </c>
      <c r="H334" s="243"/>
      <c r="I334" s="569"/>
      <c r="J334" s="172" t="s">
        <v>313</v>
      </c>
      <c r="K334" s="245" t="s">
        <v>2599</v>
      </c>
      <c r="L334" s="141" t="s">
        <v>15</v>
      </c>
      <c r="M334" s="193">
        <v>46042</v>
      </c>
      <c r="N334" s="194" t="s">
        <v>4</v>
      </c>
      <c r="O334" s="141" t="s">
        <v>15</v>
      </c>
      <c r="P334" s="117"/>
      <c r="Q334" s="407">
        <v>46038</v>
      </c>
      <c r="R334" s="40" t="s">
        <v>445</v>
      </c>
      <c r="S334" s="208"/>
      <c r="T334" s="357"/>
      <c r="U334" s="84"/>
      <c r="V334" s="84"/>
      <c r="W334" s="84"/>
      <c r="X334" s="84"/>
      <c r="Y334" s="84"/>
      <c r="Z334" s="84"/>
      <c r="AA334" s="16"/>
      <c r="AB334" s="16"/>
      <c r="AC334" s="16"/>
      <c r="AD334" s="16"/>
      <c r="AE334" s="16"/>
      <c r="AF334" s="16"/>
      <c r="AG334" s="16"/>
    </row>
    <row r="335" spans="1:33" ht="15.75" customHeight="1" x14ac:dyDescent="0.3">
      <c r="A335" s="571"/>
      <c r="B335" s="571"/>
      <c r="C335" s="130">
        <f t="shared" ca="1" si="7"/>
        <v>317</v>
      </c>
      <c r="D335" s="636"/>
      <c r="E335" s="636"/>
      <c r="F335" s="567" t="s">
        <v>459</v>
      </c>
      <c r="G335" s="219" t="s">
        <v>455</v>
      </c>
      <c r="H335" s="243"/>
      <c r="I335" s="210"/>
      <c r="J335" s="172" t="s">
        <v>375</v>
      </c>
      <c r="K335" s="226" t="s">
        <v>371</v>
      </c>
      <c r="L335" s="141" t="s">
        <v>15</v>
      </c>
      <c r="M335" s="193">
        <v>46042</v>
      </c>
      <c r="N335" s="194" t="s">
        <v>4</v>
      </c>
      <c r="O335" s="141" t="s">
        <v>15</v>
      </c>
      <c r="P335" s="117"/>
      <c r="Q335" s="407">
        <v>46038</v>
      </c>
      <c r="R335" s="40" t="s">
        <v>445</v>
      </c>
      <c r="S335" s="208"/>
      <c r="T335" s="357"/>
      <c r="U335" s="84"/>
      <c r="V335" s="84"/>
      <c r="W335" s="84"/>
      <c r="X335" s="84"/>
      <c r="Y335" s="84"/>
      <c r="Z335" s="84"/>
      <c r="AA335" s="571"/>
      <c r="AB335" s="571"/>
      <c r="AC335" s="571"/>
      <c r="AD335" s="571"/>
      <c r="AE335" s="571"/>
      <c r="AF335" s="571"/>
      <c r="AG335" s="571"/>
    </row>
    <row r="336" spans="1:33" ht="15.75" customHeight="1" x14ac:dyDescent="0.3">
      <c r="A336" s="16"/>
      <c r="B336" s="16"/>
      <c r="C336" s="130">
        <f t="shared" ca="1" si="7"/>
        <v>318</v>
      </c>
      <c r="D336" s="636"/>
      <c r="E336" s="636"/>
      <c r="F336" s="567" t="s">
        <v>459</v>
      </c>
      <c r="G336" s="219" t="s">
        <v>448</v>
      </c>
      <c r="H336" s="243"/>
      <c r="I336" s="172" t="s">
        <v>2674</v>
      </c>
      <c r="J336" s="172" t="s">
        <v>365</v>
      </c>
      <c r="K336" s="245" t="s">
        <v>2590</v>
      </c>
      <c r="L336" s="141" t="s">
        <v>15</v>
      </c>
      <c r="M336" s="193">
        <v>46042</v>
      </c>
      <c r="N336" s="194" t="s">
        <v>4</v>
      </c>
      <c r="O336" s="141" t="s">
        <v>158</v>
      </c>
      <c r="P336" s="117" t="s">
        <v>211</v>
      </c>
      <c r="Q336" s="407">
        <v>46038</v>
      </c>
      <c r="R336" s="40" t="s">
        <v>445</v>
      </c>
      <c r="S336" s="208" t="s">
        <v>2675</v>
      </c>
      <c r="T336" s="357"/>
      <c r="U336" s="84"/>
      <c r="V336" s="84"/>
      <c r="W336" s="84"/>
      <c r="X336" s="84"/>
      <c r="Y336" s="84"/>
      <c r="Z336" s="84"/>
      <c r="AA336" s="16"/>
      <c r="AB336" s="16"/>
      <c r="AC336" s="16"/>
      <c r="AD336" s="16"/>
      <c r="AE336" s="16"/>
      <c r="AF336" s="16"/>
      <c r="AG336" s="16"/>
    </row>
    <row r="337" spans="1:33" ht="15.75" customHeight="1" x14ac:dyDescent="0.3">
      <c r="A337" s="16"/>
      <c r="B337" s="16"/>
      <c r="C337" s="130">
        <f t="shared" ca="1" si="7"/>
        <v>319</v>
      </c>
      <c r="D337" s="636"/>
      <c r="E337" s="636"/>
      <c r="F337" s="567" t="s">
        <v>459</v>
      </c>
      <c r="G337" s="219" t="s">
        <v>448</v>
      </c>
      <c r="H337" s="243"/>
      <c r="I337" s="172" t="s">
        <v>2676</v>
      </c>
      <c r="J337" s="172" t="s">
        <v>365</v>
      </c>
      <c r="K337" s="245" t="s">
        <v>2666</v>
      </c>
      <c r="L337" s="141" t="s">
        <v>15</v>
      </c>
      <c r="M337" s="193">
        <v>46042</v>
      </c>
      <c r="N337" s="194" t="s">
        <v>4</v>
      </c>
      <c r="O337" s="141" t="s">
        <v>15</v>
      </c>
      <c r="P337" s="117"/>
      <c r="Q337" s="407">
        <v>46038</v>
      </c>
      <c r="R337" s="40" t="s">
        <v>445</v>
      </c>
      <c r="S337" s="208"/>
      <c r="T337" s="357"/>
      <c r="U337" s="84"/>
      <c r="V337" s="84"/>
      <c r="W337" s="84"/>
      <c r="X337" s="84"/>
      <c r="Y337" s="84"/>
      <c r="Z337" s="84"/>
      <c r="AA337" s="16"/>
      <c r="AB337" s="16"/>
      <c r="AC337" s="16"/>
      <c r="AD337" s="16"/>
      <c r="AE337" s="16"/>
      <c r="AF337" s="16"/>
      <c r="AG337" s="16"/>
    </row>
    <row r="338" spans="1:33" ht="15.75" customHeight="1" x14ac:dyDescent="0.3">
      <c r="A338" s="16"/>
      <c r="B338" s="16"/>
      <c r="C338" s="130">
        <f t="shared" ca="1" si="7"/>
        <v>320</v>
      </c>
      <c r="D338" s="636"/>
      <c r="E338" s="636"/>
      <c r="F338" s="567" t="s">
        <v>459</v>
      </c>
      <c r="G338" s="219" t="s">
        <v>448</v>
      </c>
      <c r="H338" s="243"/>
      <c r="I338" s="172" t="s">
        <v>2677</v>
      </c>
      <c r="J338" s="172" t="s">
        <v>365</v>
      </c>
      <c r="K338" s="245" t="s">
        <v>2668</v>
      </c>
      <c r="L338" s="141" t="s">
        <v>15</v>
      </c>
      <c r="M338" s="193">
        <v>46042</v>
      </c>
      <c r="N338" s="194" t="s">
        <v>4</v>
      </c>
      <c r="O338" s="141" t="s">
        <v>158</v>
      </c>
      <c r="P338" s="117" t="s">
        <v>211</v>
      </c>
      <c r="Q338" s="407">
        <v>46038</v>
      </c>
      <c r="R338" s="40" t="s">
        <v>445</v>
      </c>
      <c r="S338" s="208" t="s">
        <v>2678</v>
      </c>
      <c r="T338" s="357"/>
      <c r="U338" s="84"/>
      <c r="V338" s="84"/>
      <c r="W338" s="84"/>
      <c r="X338" s="84"/>
      <c r="Y338" s="84"/>
      <c r="Z338" s="84"/>
      <c r="AA338" s="16"/>
      <c r="AB338" s="16"/>
      <c r="AC338" s="16"/>
      <c r="AD338" s="16"/>
      <c r="AE338" s="16"/>
      <c r="AF338" s="16"/>
      <c r="AG338" s="16"/>
    </row>
    <row r="339" spans="1:33" ht="15.75" customHeight="1" x14ac:dyDescent="0.3">
      <c r="A339" s="16"/>
      <c r="B339" s="16"/>
      <c r="C339" s="130">
        <f t="shared" ca="1" si="7"/>
        <v>321</v>
      </c>
      <c r="D339" s="636"/>
      <c r="E339" s="636"/>
      <c r="F339" s="567" t="s">
        <v>459</v>
      </c>
      <c r="G339" s="219" t="s">
        <v>448</v>
      </c>
      <c r="H339" s="243"/>
      <c r="I339" s="172" t="s">
        <v>2679</v>
      </c>
      <c r="J339" s="172" t="s">
        <v>365</v>
      </c>
      <c r="K339" s="245" t="s">
        <v>2671</v>
      </c>
      <c r="L339" s="141" t="s">
        <v>15</v>
      </c>
      <c r="M339" s="193">
        <v>46042</v>
      </c>
      <c r="N339" s="194" t="s">
        <v>4</v>
      </c>
      <c r="O339" s="141" t="s">
        <v>15</v>
      </c>
      <c r="P339" s="117"/>
      <c r="Q339" s="407">
        <v>46038</v>
      </c>
      <c r="R339" s="40" t="s">
        <v>445</v>
      </c>
      <c r="S339" s="208"/>
      <c r="T339" s="357"/>
      <c r="U339" s="84"/>
      <c r="V339" s="84"/>
      <c r="W339" s="84"/>
      <c r="X339" s="84"/>
      <c r="Y339" s="84"/>
      <c r="Z339" s="84"/>
      <c r="AA339" s="16"/>
      <c r="AB339" s="16"/>
      <c r="AC339" s="16"/>
      <c r="AD339" s="16"/>
      <c r="AE339" s="16"/>
      <c r="AF339" s="16"/>
      <c r="AG339" s="16"/>
    </row>
    <row r="340" spans="1:33" ht="15.75" customHeight="1" x14ac:dyDescent="0.3">
      <c r="A340" s="16"/>
      <c r="B340" s="16"/>
      <c r="C340" s="130">
        <f t="shared" ca="1" si="7"/>
        <v>322</v>
      </c>
      <c r="D340" s="635"/>
      <c r="E340" s="635"/>
      <c r="F340" s="567" t="s">
        <v>459</v>
      </c>
      <c r="G340" s="219" t="s">
        <v>448</v>
      </c>
      <c r="H340" s="243"/>
      <c r="I340" s="172" t="s">
        <v>2680</v>
      </c>
      <c r="J340" s="172" t="s">
        <v>365</v>
      </c>
      <c r="K340" s="245" t="s">
        <v>2673</v>
      </c>
      <c r="L340" s="141" t="s">
        <v>15</v>
      </c>
      <c r="M340" s="193">
        <v>46042</v>
      </c>
      <c r="N340" s="194" t="s">
        <v>4</v>
      </c>
      <c r="O340" s="141" t="s">
        <v>15</v>
      </c>
      <c r="P340" s="117"/>
      <c r="Q340" s="407">
        <v>46038</v>
      </c>
      <c r="R340" s="40" t="s">
        <v>445</v>
      </c>
      <c r="S340" s="208"/>
      <c r="T340" s="357"/>
      <c r="U340" s="84"/>
      <c r="V340" s="84"/>
      <c r="W340" s="84"/>
      <c r="X340" s="84"/>
      <c r="Y340" s="84"/>
      <c r="Z340" s="84"/>
      <c r="AA340" s="16"/>
      <c r="AB340" s="16"/>
      <c r="AC340" s="16"/>
      <c r="AD340" s="16"/>
      <c r="AE340" s="16"/>
      <c r="AF340" s="16"/>
      <c r="AG340" s="16"/>
    </row>
    <row r="341" spans="1:33" ht="15.75" customHeight="1" x14ac:dyDescent="0.3">
      <c r="A341" s="16"/>
      <c r="B341" s="16"/>
      <c r="C341" s="130">
        <f t="shared" ca="1" si="7"/>
        <v>323</v>
      </c>
      <c r="D341" s="658" t="s">
        <v>337</v>
      </c>
      <c r="E341" s="251" t="s">
        <v>257</v>
      </c>
      <c r="F341" s="567" t="s">
        <v>457</v>
      </c>
      <c r="G341" s="219" t="s">
        <v>448</v>
      </c>
      <c r="H341" s="243"/>
      <c r="I341" s="172"/>
      <c r="J341" s="172" t="s">
        <v>261</v>
      </c>
      <c r="K341" s="245" t="s">
        <v>2681</v>
      </c>
      <c r="L341" s="141" t="s">
        <v>15</v>
      </c>
      <c r="M341" s="193">
        <v>46042</v>
      </c>
      <c r="N341" s="194" t="s">
        <v>4</v>
      </c>
      <c r="O341" s="141" t="s">
        <v>15</v>
      </c>
      <c r="P341" s="117"/>
      <c r="Q341" s="407">
        <v>46038</v>
      </c>
      <c r="R341" s="40" t="s">
        <v>445</v>
      </c>
      <c r="S341" s="208"/>
      <c r="T341" s="357"/>
      <c r="U341" s="84"/>
      <c r="V341" s="84"/>
      <c r="W341" s="84"/>
      <c r="X341" s="84"/>
      <c r="Y341" s="84"/>
      <c r="Z341" s="84"/>
      <c r="AA341" s="16"/>
      <c r="AB341" s="16"/>
      <c r="AC341" s="16"/>
      <c r="AD341" s="16"/>
      <c r="AE341" s="16"/>
      <c r="AF341" s="16"/>
      <c r="AG341" s="16"/>
    </row>
    <row r="342" spans="1:33" ht="15.75" customHeight="1" x14ac:dyDescent="0.3">
      <c r="A342" s="16"/>
      <c r="B342" s="16"/>
      <c r="C342" s="130">
        <f t="shared" ca="1" si="7"/>
        <v>324</v>
      </c>
      <c r="D342" s="636"/>
      <c r="E342" s="665" t="s">
        <v>237</v>
      </c>
      <c r="F342" s="567" t="s">
        <v>459</v>
      </c>
      <c r="G342" s="219" t="s">
        <v>448</v>
      </c>
      <c r="H342" s="243"/>
      <c r="I342" s="213" t="s">
        <v>364</v>
      </c>
      <c r="J342" s="172" t="s">
        <v>261</v>
      </c>
      <c r="K342" s="245" t="s">
        <v>2682</v>
      </c>
      <c r="L342" s="141" t="s">
        <v>15</v>
      </c>
      <c r="M342" s="193">
        <v>46042</v>
      </c>
      <c r="N342" s="194" t="s">
        <v>4</v>
      </c>
      <c r="O342" s="141" t="s">
        <v>15</v>
      </c>
      <c r="P342" s="117"/>
      <c r="Q342" s="407">
        <v>46038</v>
      </c>
      <c r="R342" s="40" t="s">
        <v>445</v>
      </c>
      <c r="S342" s="208"/>
      <c r="T342" s="357"/>
      <c r="U342" s="84"/>
      <c r="V342" s="84"/>
      <c r="W342" s="84"/>
      <c r="X342" s="84"/>
      <c r="Y342" s="84"/>
      <c r="Z342" s="84"/>
      <c r="AA342" s="16"/>
      <c r="AB342" s="16"/>
      <c r="AC342" s="16"/>
      <c r="AD342" s="16"/>
      <c r="AE342" s="16"/>
      <c r="AF342" s="16"/>
      <c r="AG342" s="16"/>
    </row>
    <row r="343" spans="1:33" ht="15.75" customHeight="1" x14ac:dyDescent="0.3">
      <c r="A343" s="16"/>
      <c r="B343" s="16"/>
      <c r="C343" s="130">
        <f t="shared" ca="1" si="7"/>
        <v>325</v>
      </c>
      <c r="D343" s="636"/>
      <c r="E343" s="636"/>
      <c r="F343" s="567" t="s">
        <v>459</v>
      </c>
      <c r="G343" s="219" t="s">
        <v>448</v>
      </c>
      <c r="H343" s="243"/>
      <c r="I343" s="172" t="s">
        <v>2683</v>
      </c>
      <c r="J343" s="172" t="s">
        <v>365</v>
      </c>
      <c r="K343" s="245" t="s">
        <v>2590</v>
      </c>
      <c r="L343" s="141" t="s">
        <v>15</v>
      </c>
      <c r="M343" s="193">
        <v>46042</v>
      </c>
      <c r="N343" s="194" t="s">
        <v>4</v>
      </c>
      <c r="O343" s="141" t="s">
        <v>158</v>
      </c>
      <c r="P343" s="117" t="s">
        <v>211</v>
      </c>
      <c r="Q343" s="407">
        <v>46038</v>
      </c>
      <c r="R343" s="40" t="s">
        <v>445</v>
      </c>
      <c r="S343" s="208" t="s">
        <v>2684</v>
      </c>
      <c r="T343" s="357"/>
      <c r="U343" s="84"/>
      <c r="V343" s="84"/>
      <c r="W343" s="84"/>
      <c r="X343" s="84"/>
      <c r="Y343" s="84"/>
      <c r="Z343" s="84"/>
      <c r="AA343" s="16"/>
      <c r="AB343" s="16"/>
      <c r="AC343" s="16"/>
      <c r="AD343" s="16"/>
      <c r="AE343" s="16"/>
      <c r="AF343" s="16"/>
      <c r="AG343" s="16"/>
    </row>
    <row r="344" spans="1:33" ht="15.75" customHeight="1" x14ac:dyDescent="0.3">
      <c r="A344" s="16"/>
      <c r="B344" s="16"/>
      <c r="C344" s="130">
        <f t="shared" ca="1" si="7"/>
        <v>326</v>
      </c>
      <c r="D344" s="636"/>
      <c r="E344" s="636"/>
      <c r="F344" s="567" t="s">
        <v>459</v>
      </c>
      <c r="G344" s="219" t="s">
        <v>448</v>
      </c>
      <c r="H344" s="243"/>
      <c r="I344" s="172" t="s">
        <v>2685</v>
      </c>
      <c r="J344" s="172" t="s">
        <v>365</v>
      </c>
      <c r="K344" s="245" t="s">
        <v>2686</v>
      </c>
      <c r="L344" s="141" t="s">
        <v>15</v>
      </c>
      <c r="M344" s="193">
        <v>46042</v>
      </c>
      <c r="N344" s="194" t="s">
        <v>4</v>
      </c>
      <c r="O344" s="141" t="s">
        <v>15</v>
      </c>
      <c r="P344" s="117"/>
      <c r="Q344" s="407">
        <v>46038</v>
      </c>
      <c r="R344" s="40" t="s">
        <v>445</v>
      </c>
      <c r="S344" s="208"/>
      <c r="T344" s="357"/>
      <c r="U344" s="84"/>
      <c r="V344" s="84"/>
      <c r="W344" s="84"/>
      <c r="X344" s="84"/>
      <c r="Y344" s="84"/>
      <c r="Z344" s="84"/>
      <c r="AA344" s="16"/>
      <c r="AB344" s="16"/>
      <c r="AC344" s="16"/>
      <c r="AD344" s="16"/>
      <c r="AE344" s="16"/>
      <c r="AF344" s="16"/>
      <c r="AG344" s="16"/>
    </row>
    <row r="345" spans="1:33" ht="15.75" customHeight="1" x14ac:dyDescent="0.3">
      <c r="A345" s="16"/>
      <c r="B345" s="16"/>
      <c r="C345" s="130">
        <f t="shared" ca="1" si="7"/>
        <v>327</v>
      </c>
      <c r="D345" s="636"/>
      <c r="E345" s="636"/>
      <c r="F345" s="567" t="s">
        <v>459</v>
      </c>
      <c r="G345" s="219" t="s">
        <v>448</v>
      </c>
      <c r="H345" s="243"/>
      <c r="I345" s="172" t="s">
        <v>2687</v>
      </c>
      <c r="J345" s="172" t="s">
        <v>365</v>
      </c>
      <c r="K345" s="245" t="s">
        <v>2688</v>
      </c>
      <c r="L345" s="141" t="s">
        <v>15</v>
      </c>
      <c r="M345" s="193">
        <v>46042</v>
      </c>
      <c r="N345" s="194" t="s">
        <v>4</v>
      </c>
      <c r="O345" s="141" t="s">
        <v>158</v>
      </c>
      <c r="P345" s="117" t="s">
        <v>211</v>
      </c>
      <c r="Q345" s="407">
        <v>46038</v>
      </c>
      <c r="R345" s="40" t="s">
        <v>445</v>
      </c>
      <c r="S345" s="208" t="s">
        <v>2689</v>
      </c>
      <c r="T345" s="357"/>
      <c r="U345" s="84"/>
      <c r="V345" s="84"/>
      <c r="W345" s="84"/>
      <c r="X345" s="84"/>
      <c r="Y345" s="84"/>
      <c r="Z345" s="84"/>
      <c r="AA345" s="16"/>
      <c r="AB345" s="16"/>
      <c r="AC345" s="16"/>
      <c r="AD345" s="16"/>
      <c r="AE345" s="16"/>
      <c r="AF345" s="16"/>
      <c r="AG345" s="16"/>
    </row>
    <row r="346" spans="1:33" ht="15.75" customHeight="1" x14ac:dyDescent="0.3">
      <c r="A346" s="16"/>
      <c r="B346" s="16"/>
      <c r="C346" s="130">
        <f t="shared" ca="1" si="7"/>
        <v>328</v>
      </c>
      <c r="D346" s="636"/>
      <c r="E346" s="636"/>
      <c r="F346" s="567" t="s">
        <v>459</v>
      </c>
      <c r="G346" s="219" t="s">
        <v>448</v>
      </c>
      <c r="H346" s="243"/>
      <c r="I346" s="172" t="s">
        <v>2690</v>
      </c>
      <c r="J346" s="172" t="s">
        <v>365</v>
      </c>
      <c r="K346" s="245" t="s">
        <v>2691</v>
      </c>
      <c r="L346" s="141" t="s">
        <v>15</v>
      </c>
      <c r="M346" s="193">
        <v>46042</v>
      </c>
      <c r="N346" s="194" t="s">
        <v>4</v>
      </c>
      <c r="O346" s="141" t="s">
        <v>15</v>
      </c>
      <c r="P346" s="117"/>
      <c r="Q346" s="407">
        <v>46038</v>
      </c>
      <c r="R346" s="40" t="s">
        <v>445</v>
      </c>
      <c r="S346" s="208"/>
      <c r="T346" s="357"/>
      <c r="U346" s="84"/>
      <c r="V346" s="84"/>
      <c r="W346" s="84"/>
      <c r="X346" s="84"/>
      <c r="Y346" s="84"/>
      <c r="Z346" s="84"/>
      <c r="AA346" s="16"/>
      <c r="AB346" s="16"/>
      <c r="AC346" s="16"/>
      <c r="AD346" s="16"/>
      <c r="AE346" s="16"/>
      <c r="AF346" s="16"/>
      <c r="AG346" s="16"/>
    </row>
    <row r="347" spans="1:33" ht="15.75" customHeight="1" x14ac:dyDescent="0.3">
      <c r="A347" s="16"/>
      <c r="B347" s="16"/>
      <c r="C347" s="130">
        <f t="shared" ca="1" si="7"/>
        <v>329</v>
      </c>
      <c r="D347" s="636"/>
      <c r="E347" s="636"/>
      <c r="F347" s="567" t="s">
        <v>459</v>
      </c>
      <c r="G347" s="219" t="s">
        <v>448</v>
      </c>
      <c r="H347" s="243"/>
      <c r="I347" s="172" t="s">
        <v>2692</v>
      </c>
      <c r="J347" s="172" t="s">
        <v>365</v>
      </c>
      <c r="K347" s="245" t="s">
        <v>2693</v>
      </c>
      <c r="L347" s="141" t="s">
        <v>15</v>
      </c>
      <c r="M347" s="193">
        <v>46042</v>
      </c>
      <c r="N347" s="194" t="s">
        <v>4</v>
      </c>
      <c r="O347" s="141" t="s">
        <v>15</v>
      </c>
      <c r="P347" s="117"/>
      <c r="Q347" s="407">
        <v>46038</v>
      </c>
      <c r="R347" s="40" t="s">
        <v>445</v>
      </c>
      <c r="S347" s="208"/>
      <c r="T347" s="357"/>
      <c r="U347" s="84"/>
      <c r="V347" s="84"/>
      <c r="W347" s="84"/>
      <c r="X347" s="84"/>
      <c r="Y347" s="84"/>
      <c r="Z347" s="84"/>
      <c r="AA347" s="16"/>
      <c r="AB347" s="16"/>
      <c r="AC347" s="16"/>
      <c r="AD347" s="16"/>
      <c r="AE347" s="16"/>
      <c r="AF347" s="16"/>
      <c r="AG347" s="16"/>
    </row>
    <row r="348" spans="1:33" ht="15.75" customHeight="1" x14ac:dyDescent="0.3">
      <c r="A348" s="16"/>
      <c r="B348" s="16"/>
      <c r="C348" s="130">
        <f t="shared" ca="1" si="7"/>
        <v>330</v>
      </c>
      <c r="D348" s="636"/>
      <c r="E348" s="636"/>
      <c r="F348" s="567" t="s">
        <v>459</v>
      </c>
      <c r="G348" s="219" t="s">
        <v>455</v>
      </c>
      <c r="H348" s="243"/>
      <c r="I348" s="210"/>
      <c r="J348" s="172" t="s">
        <v>310</v>
      </c>
      <c r="K348" s="226" t="s">
        <v>371</v>
      </c>
      <c r="L348" s="141" t="s">
        <v>15</v>
      </c>
      <c r="M348" s="193">
        <v>46042</v>
      </c>
      <c r="N348" s="194" t="s">
        <v>4</v>
      </c>
      <c r="O348" s="141" t="s">
        <v>15</v>
      </c>
      <c r="P348" s="117"/>
      <c r="Q348" s="407">
        <v>46038</v>
      </c>
      <c r="R348" s="40" t="s">
        <v>445</v>
      </c>
      <c r="S348" s="208"/>
      <c r="T348" s="357"/>
      <c r="U348" s="84"/>
      <c r="V348" s="84"/>
      <c r="W348" s="84"/>
      <c r="X348" s="84"/>
      <c r="Y348" s="84"/>
      <c r="Z348" s="84"/>
      <c r="AA348" s="16"/>
      <c r="AB348" s="16"/>
      <c r="AC348" s="16"/>
      <c r="AD348" s="16"/>
      <c r="AE348" s="16"/>
      <c r="AF348" s="16"/>
      <c r="AG348" s="16"/>
    </row>
    <row r="349" spans="1:33" ht="15.75" customHeight="1" x14ac:dyDescent="0.3">
      <c r="A349" s="16"/>
      <c r="B349" s="16"/>
      <c r="C349" s="130">
        <f t="shared" ca="1" si="7"/>
        <v>331</v>
      </c>
      <c r="D349" s="636"/>
      <c r="E349" s="636"/>
      <c r="F349" s="567" t="s">
        <v>459</v>
      </c>
      <c r="G349" s="219" t="s">
        <v>448</v>
      </c>
      <c r="H349" s="243"/>
      <c r="I349" s="657" t="s">
        <v>372</v>
      </c>
      <c r="J349" s="172" t="s">
        <v>311</v>
      </c>
      <c r="K349" s="245" t="s">
        <v>373</v>
      </c>
      <c r="L349" s="141" t="s">
        <v>15</v>
      </c>
      <c r="M349" s="193">
        <v>46042</v>
      </c>
      <c r="N349" s="194" t="s">
        <v>4</v>
      </c>
      <c r="O349" s="141" t="s">
        <v>15</v>
      </c>
      <c r="P349" s="117"/>
      <c r="Q349" s="407">
        <v>46038</v>
      </c>
      <c r="R349" s="40" t="s">
        <v>445</v>
      </c>
      <c r="S349" s="208"/>
      <c r="T349" s="357"/>
      <c r="U349" s="84"/>
      <c r="V349" s="84"/>
      <c r="W349" s="84"/>
      <c r="X349" s="84"/>
      <c r="Y349" s="84"/>
      <c r="Z349" s="84"/>
      <c r="AA349" s="16"/>
      <c r="AB349" s="16"/>
      <c r="AC349" s="16"/>
      <c r="AD349" s="16"/>
      <c r="AE349" s="16"/>
      <c r="AF349" s="16"/>
      <c r="AG349" s="16"/>
    </row>
    <row r="350" spans="1:33" ht="15.75" customHeight="1" x14ac:dyDescent="0.3">
      <c r="A350" s="16"/>
      <c r="B350" s="16"/>
      <c r="C350" s="130">
        <f t="shared" ca="1" si="7"/>
        <v>332</v>
      </c>
      <c r="D350" s="636"/>
      <c r="E350" s="636"/>
      <c r="F350" s="567" t="s">
        <v>459</v>
      </c>
      <c r="G350" s="219" t="s">
        <v>448</v>
      </c>
      <c r="H350" s="243"/>
      <c r="I350" s="606"/>
      <c r="J350" s="172" t="s">
        <v>313</v>
      </c>
      <c r="K350" s="245" t="s">
        <v>2599</v>
      </c>
      <c r="L350" s="141" t="s">
        <v>15</v>
      </c>
      <c r="M350" s="193">
        <v>46042</v>
      </c>
      <c r="N350" s="194" t="s">
        <v>4</v>
      </c>
      <c r="O350" s="141" t="s">
        <v>15</v>
      </c>
      <c r="P350" s="117"/>
      <c r="Q350" s="407">
        <v>46038</v>
      </c>
      <c r="R350" s="40" t="s">
        <v>445</v>
      </c>
      <c r="S350" s="208"/>
      <c r="T350" s="357"/>
      <c r="U350" s="84"/>
      <c r="V350" s="84"/>
      <c r="W350" s="84"/>
      <c r="X350" s="84"/>
      <c r="Y350" s="84"/>
      <c r="Z350" s="84"/>
      <c r="AA350" s="16"/>
      <c r="AB350" s="16"/>
      <c r="AC350" s="16"/>
      <c r="AD350" s="16"/>
      <c r="AE350" s="16"/>
      <c r="AF350" s="16"/>
      <c r="AG350" s="16"/>
    </row>
    <row r="351" spans="1:33" ht="15.75" customHeight="1" x14ac:dyDescent="0.3">
      <c r="A351" s="16"/>
      <c r="B351" s="16"/>
      <c r="C351" s="130">
        <f t="shared" ca="1" si="7"/>
        <v>333</v>
      </c>
      <c r="D351" s="636"/>
      <c r="E351" s="636"/>
      <c r="F351" s="567" t="s">
        <v>459</v>
      </c>
      <c r="G351" s="219" t="s">
        <v>455</v>
      </c>
      <c r="H351" s="243"/>
      <c r="I351" s="608"/>
      <c r="J351" s="172" t="s">
        <v>375</v>
      </c>
      <c r="K351" s="226" t="s">
        <v>371</v>
      </c>
      <c r="L351" s="141" t="s">
        <v>15</v>
      </c>
      <c r="M351" s="193">
        <v>46042</v>
      </c>
      <c r="N351" s="194" t="s">
        <v>4</v>
      </c>
      <c r="O351" s="141" t="s">
        <v>15</v>
      </c>
      <c r="P351" s="117"/>
      <c r="Q351" s="407">
        <v>46038</v>
      </c>
      <c r="R351" s="40" t="s">
        <v>445</v>
      </c>
      <c r="S351" s="208"/>
      <c r="T351" s="357"/>
      <c r="U351" s="84"/>
      <c r="V351" s="84"/>
      <c r="W351" s="84"/>
      <c r="X351" s="84"/>
      <c r="Y351" s="84"/>
      <c r="Z351" s="84"/>
      <c r="AA351" s="16"/>
      <c r="AB351" s="16"/>
      <c r="AC351" s="16"/>
      <c r="AD351" s="16"/>
      <c r="AE351" s="16"/>
      <c r="AF351" s="16"/>
      <c r="AG351" s="16"/>
    </row>
    <row r="352" spans="1:33" ht="15.75" customHeight="1" x14ac:dyDescent="0.3">
      <c r="A352" s="16"/>
      <c r="B352" s="16"/>
      <c r="C352" s="130">
        <f t="shared" ca="1" si="7"/>
        <v>334</v>
      </c>
      <c r="D352" s="636"/>
      <c r="E352" s="636"/>
      <c r="F352" s="567" t="s">
        <v>459</v>
      </c>
      <c r="G352" s="219" t="s">
        <v>448</v>
      </c>
      <c r="H352" s="243"/>
      <c r="I352" s="172" t="s">
        <v>2694</v>
      </c>
      <c r="J352" s="172" t="s">
        <v>365</v>
      </c>
      <c r="K352" s="245" t="s">
        <v>2590</v>
      </c>
      <c r="L352" s="141" t="s">
        <v>15</v>
      </c>
      <c r="M352" s="193">
        <v>46042</v>
      </c>
      <c r="N352" s="194" t="s">
        <v>4</v>
      </c>
      <c r="O352" s="141" t="s">
        <v>158</v>
      </c>
      <c r="P352" s="117" t="s">
        <v>211</v>
      </c>
      <c r="Q352" s="407">
        <v>46038</v>
      </c>
      <c r="R352" s="40" t="s">
        <v>445</v>
      </c>
      <c r="S352" s="208" t="s">
        <v>2695</v>
      </c>
      <c r="T352" s="357"/>
      <c r="U352" s="84"/>
      <c r="V352" s="84"/>
      <c r="W352" s="84"/>
      <c r="X352" s="84"/>
      <c r="Y352" s="84"/>
      <c r="Z352" s="84"/>
      <c r="AA352" s="16"/>
      <c r="AB352" s="16"/>
      <c r="AC352" s="16"/>
      <c r="AD352" s="16"/>
      <c r="AE352" s="16"/>
      <c r="AF352" s="16"/>
      <c r="AG352" s="16"/>
    </row>
    <row r="353" spans="1:33" ht="15.75" customHeight="1" x14ac:dyDescent="0.3">
      <c r="A353" s="16"/>
      <c r="B353" s="16"/>
      <c r="C353" s="130">
        <f t="shared" ca="1" si="7"/>
        <v>335</v>
      </c>
      <c r="D353" s="636"/>
      <c r="E353" s="636"/>
      <c r="F353" s="567" t="s">
        <v>459</v>
      </c>
      <c r="G353" s="219" t="s">
        <v>448</v>
      </c>
      <c r="H353" s="243"/>
      <c r="I353" s="172" t="s">
        <v>2696</v>
      </c>
      <c r="J353" s="172" t="s">
        <v>365</v>
      </c>
      <c r="K353" s="245" t="s">
        <v>2686</v>
      </c>
      <c r="L353" s="141" t="s">
        <v>15</v>
      </c>
      <c r="M353" s="193">
        <v>46042</v>
      </c>
      <c r="N353" s="194" t="s">
        <v>4</v>
      </c>
      <c r="O353" s="141" t="s">
        <v>15</v>
      </c>
      <c r="P353" s="117"/>
      <c r="Q353" s="407">
        <v>46038</v>
      </c>
      <c r="R353" s="40" t="s">
        <v>445</v>
      </c>
      <c r="S353" s="208"/>
      <c r="T353" s="357"/>
      <c r="U353" s="84"/>
      <c r="V353" s="84"/>
      <c r="W353" s="84"/>
      <c r="X353" s="84"/>
      <c r="Y353" s="84"/>
      <c r="Z353" s="84"/>
      <c r="AA353" s="16"/>
      <c r="AB353" s="16"/>
      <c r="AC353" s="16"/>
      <c r="AD353" s="16"/>
      <c r="AE353" s="16"/>
      <c r="AF353" s="16"/>
      <c r="AG353" s="16"/>
    </row>
    <row r="354" spans="1:33" ht="15.75" customHeight="1" x14ac:dyDescent="0.3">
      <c r="A354" s="15"/>
      <c r="B354" s="15"/>
      <c r="C354" s="130">
        <f t="shared" ca="1" si="7"/>
        <v>336</v>
      </c>
      <c r="D354" s="636"/>
      <c r="E354" s="636"/>
      <c r="F354" s="567" t="s">
        <v>459</v>
      </c>
      <c r="G354" s="219" t="s">
        <v>448</v>
      </c>
      <c r="H354" s="243"/>
      <c r="I354" s="172" t="s">
        <v>2697</v>
      </c>
      <c r="J354" s="172" t="s">
        <v>365</v>
      </c>
      <c r="K354" s="245" t="s">
        <v>2688</v>
      </c>
      <c r="L354" s="141" t="s">
        <v>15</v>
      </c>
      <c r="M354" s="193">
        <v>46042</v>
      </c>
      <c r="N354" s="194" t="s">
        <v>4</v>
      </c>
      <c r="O354" s="141" t="s">
        <v>158</v>
      </c>
      <c r="P354" s="117" t="s">
        <v>211</v>
      </c>
      <c r="Q354" s="407">
        <v>46038</v>
      </c>
      <c r="R354" s="40" t="s">
        <v>445</v>
      </c>
      <c r="S354" s="208" t="s">
        <v>2698</v>
      </c>
      <c r="T354" s="357"/>
      <c r="U354" s="84"/>
      <c r="V354" s="84"/>
      <c r="W354" s="84"/>
      <c r="X354" s="84"/>
      <c r="Y354" s="84"/>
      <c r="Z354" s="84"/>
      <c r="AA354" s="572"/>
      <c r="AB354" s="572"/>
      <c r="AC354" s="572"/>
      <c r="AD354" s="572"/>
      <c r="AE354" s="572"/>
      <c r="AF354" s="572"/>
      <c r="AG354" s="572"/>
    </row>
    <row r="355" spans="1:33" ht="15.75" customHeight="1" x14ac:dyDescent="0.3">
      <c r="A355" s="15"/>
      <c r="B355" s="15"/>
      <c r="C355" s="130">
        <f t="shared" ca="1" si="7"/>
        <v>337</v>
      </c>
      <c r="D355" s="636"/>
      <c r="E355" s="636"/>
      <c r="F355" s="567" t="s">
        <v>459</v>
      </c>
      <c r="G355" s="219" t="s">
        <v>448</v>
      </c>
      <c r="H355" s="243"/>
      <c r="I355" s="172" t="s">
        <v>2699</v>
      </c>
      <c r="J355" s="172" t="s">
        <v>365</v>
      </c>
      <c r="K355" s="245" t="s">
        <v>2691</v>
      </c>
      <c r="L355" s="141" t="s">
        <v>15</v>
      </c>
      <c r="M355" s="193">
        <v>46042</v>
      </c>
      <c r="N355" s="194" t="s">
        <v>4</v>
      </c>
      <c r="O355" s="141" t="s">
        <v>15</v>
      </c>
      <c r="P355" s="117"/>
      <c r="Q355" s="407">
        <v>46038</v>
      </c>
      <c r="R355" s="40" t="s">
        <v>445</v>
      </c>
      <c r="S355" s="208"/>
      <c r="T355" s="357"/>
      <c r="U355" s="84"/>
      <c r="V355" s="84"/>
      <c r="W355" s="84"/>
      <c r="X355" s="84"/>
      <c r="Y355" s="84"/>
      <c r="Z355" s="84"/>
      <c r="AA355" s="15"/>
      <c r="AB355" s="15"/>
      <c r="AC355" s="15"/>
      <c r="AD355" s="15"/>
      <c r="AE355" s="15"/>
      <c r="AF355" s="15"/>
      <c r="AG355" s="15"/>
    </row>
    <row r="356" spans="1:33" ht="15.75" customHeight="1" x14ac:dyDescent="0.3">
      <c r="A356" s="15"/>
      <c r="B356" s="15"/>
      <c r="C356" s="130">
        <f t="shared" ca="1" si="7"/>
        <v>338</v>
      </c>
      <c r="D356" s="635"/>
      <c r="E356" s="635"/>
      <c r="F356" s="567" t="s">
        <v>459</v>
      </c>
      <c r="G356" s="219" t="s">
        <v>448</v>
      </c>
      <c r="H356" s="243"/>
      <c r="I356" s="172" t="s">
        <v>2700</v>
      </c>
      <c r="J356" s="172" t="s">
        <v>365</v>
      </c>
      <c r="K356" s="245" t="s">
        <v>2693</v>
      </c>
      <c r="L356" s="141" t="s">
        <v>15</v>
      </c>
      <c r="M356" s="193">
        <v>46042</v>
      </c>
      <c r="N356" s="194" t="s">
        <v>4</v>
      </c>
      <c r="O356" s="141" t="s">
        <v>15</v>
      </c>
      <c r="P356" s="117"/>
      <c r="Q356" s="407">
        <v>46038</v>
      </c>
      <c r="R356" s="40" t="s">
        <v>445</v>
      </c>
      <c r="S356" s="208"/>
      <c r="T356" s="357"/>
      <c r="U356" s="84"/>
      <c r="V356" s="84"/>
      <c r="W356" s="84"/>
      <c r="X356" s="84"/>
      <c r="Y356" s="84"/>
      <c r="Z356" s="84"/>
      <c r="AA356" s="15"/>
      <c r="AB356" s="15"/>
      <c r="AC356" s="15"/>
      <c r="AD356" s="15"/>
      <c r="AE356" s="15"/>
      <c r="AF356" s="15"/>
      <c r="AG356" s="15"/>
    </row>
    <row r="357" spans="1:33" ht="15.75" customHeight="1" x14ac:dyDescent="0.3">
      <c r="A357" s="15"/>
      <c r="B357" s="15"/>
      <c r="C357" s="130">
        <f t="shared" ca="1" si="7"/>
        <v>339</v>
      </c>
      <c r="D357" s="658" t="s">
        <v>338</v>
      </c>
      <c r="E357" s="251" t="s">
        <v>257</v>
      </c>
      <c r="F357" s="567" t="s">
        <v>457</v>
      </c>
      <c r="G357" s="219" t="s">
        <v>448</v>
      </c>
      <c r="H357" s="243"/>
      <c r="I357" s="172"/>
      <c r="J357" s="172" t="s">
        <v>261</v>
      </c>
      <c r="K357" s="245" t="s">
        <v>2701</v>
      </c>
      <c r="L357" s="141" t="s">
        <v>15</v>
      </c>
      <c r="M357" s="193">
        <v>46042</v>
      </c>
      <c r="N357" s="194" t="s">
        <v>4</v>
      </c>
      <c r="O357" s="141" t="s">
        <v>15</v>
      </c>
      <c r="P357" s="117"/>
      <c r="Q357" s="407">
        <v>46038</v>
      </c>
      <c r="R357" s="40" t="s">
        <v>445</v>
      </c>
      <c r="S357" s="208"/>
      <c r="T357" s="357"/>
      <c r="U357" s="84"/>
      <c r="V357" s="84"/>
      <c r="W357" s="84"/>
      <c r="X357" s="84"/>
      <c r="Y357" s="84"/>
      <c r="Z357" s="84"/>
      <c r="AA357" s="15"/>
      <c r="AB357" s="15"/>
      <c r="AC357" s="15"/>
      <c r="AD357" s="15"/>
      <c r="AE357" s="15"/>
      <c r="AF357" s="15"/>
      <c r="AG357" s="15"/>
    </row>
    <row r="358" spans="1:33" ht="15.75" customHeight="1" x14ac:dyDescent="0.3">
      <c r="A358" s="15"/>
      <c r="B358" s="15"/>
      <c r="C358" s="130">
        <f t="shared" ca="1" si="7"/>
        <v>340</v>
      </c>
      <c r="D358" s="636"/>
      <c r="E358" s="665" t="s">
        <v>237</v>
      </c>
      <c r="F358" s="567" t="s">
        <v>459</v>
      </c>
      <c r="G358" s="219" t="s">
        <v>448</v>
      </c>
      <c r="H358" s="243"/>
      <c r="I358" s="213" t="s">
        <v>364</v>
      </c>
      <c r="J358" s="172" t="s">
        <v>261</v>
      </c>
      <c r="K358" s="245" t="s">
        <v>2702</v>
      </c>
      <c r="L358" s="141" t="s">
        <v>15</v>
      </c>
      <c r="M358" s="193">
        <v>46042</v>
      </c>
      <c r="N358" s="194" t="s">
        <v>4</v>
      </c>
      <c r="O358" s="141" t="s">
        <v>15</v>
      </c>
      <c r="P358" s="117"/>
      <c r="Q358" s="407">
        <v>46038</v>
      </c>
      <c r="R358" s="40" t="s">
        <v>445</v>
      </c>
      <c r="S358" s="208"/>
      <c r="T358" s="357"/>
      <c r="U358" s="84"/>
      <c r="V358" s="84"/>
      <c r="W358" s="84"/>
      <c r="X358" s="84"/>
      <c r="Y358" s="84"/>
      <c r="Z358" s="84"/>
      <c r="AA358" s="15"/>
      <c r="AB358" s="15"/>
      <c r="AC358" s="15"/>
      <c r="AD358" s="15"/>
      <c r="AE358" s="15"/>
      <c r="AF358" s="15"/>
      <c r="AG358" s="15"/>
    </row>
    <row r="359" spans="1:33" ht="15.75" customHeight="1" x14ac:dyDescent="0.3">
      <c r="A359" s="15"/>
      <c r="B359" s="15"/>
      <c r="C359" s="130">
        <f t="shared" ca="1" si="7"/>
        <v>341</v>
      </c>
      <c r="D359" s="636"/>
      <c r="E359" s="636"/>
      <c r="F359" s="567" t="s">
        <v>459</v>
      </c>
      <c r="G359" s="219" t="s">
        <v>448</v>
      </c>
      <c r="H359" s="243"/>
      <c r="I359" s="172" t="s">
        <v>2703</v>
      </c>
      <c r="J359" s="172" t="s">
        <v>365</v>
      </c>
      <c r="K359" s="245" t="s">
        <v>2590</v>
      </c>
      <c r="L359" s="141" t="s">
        <v>15</v>
      </c>
      <c r="M359" s="193">
        <v>46042</v>
      </c>
      <c r="N359" s="194" t="s">
        <v>4</v>
      </c>
      <c r="O359" s="141" t="s">
        <v>158</v>
      </c>
      <c r="P359" s="117" t="s">
        <v>211</v>
      </c>
      <c r="Q359" s="407">
        <v>46038</v>
      </c>
      <c r="R359" s="40" t="s">
        <v>445</v>
      </c>
      <c r="S359" s="208" t="s">
        <v>2704</v>
      </c>
      <c r="T359" s="357"/>
      <c r="U359" s="84"/>
      <c r="V359" s="84"/>
      <c r="W359" s="84"/>
      <c r="X359" s="84"/>
      <c r="Y359" s="84"/>
      <c r="Z359" s="84"/>
      <c r="AA359" s="15"/>
      <c r="AB359" s="15"/>
      <c r="AC359" s="15"/>
      <c r="AD359" s="15"/>
      <c r="AE359" s="15"/>
      <c r="AF359" s="15"/>
      <c r="AG359" s="15"/>
    </row>
    <row r="360" spans="1:33" ht="15.75" customHeight="1" x14ac:dyDescent="0.3">
      <c r="A360" s="15"/>
      <c r="B360" s="15"/>
      <c r="C360" s="130">
        <f t="shared" ca="1" si="7"/>
        <v>342</v>
      </c>
      <c r="D360" s="636"/>
      <c r="E360" s="636"/>
      <c r="F360" s="567" t="s">
        <v>459</v>
      </c>
      <c r="G360" s="219" t="s">
        <v>448</v>
      </c>
      <c r="H360" s="243"/>
      <c r="I360" s="172" t="s">
        <v>2705</v>
      </c>
      <c r="J360" s="172" t="s">
        <v>365</v>
      </c>
      <c r="K360" s="245" t="s">
        <v>2706</v>
      </c>
      <c r="L360" s="141" t="s">
        <v>15</v>
      </c>
      <c r="M360" s="193">
        <v>46042</v>
      </c>
      <c r="N360" s="194" t="s">
        <v>4</v>
      </c>
      <c r="O360" s="141" t="s">
        <v>15</v>
      </c>
      <c r="P360" s="117"/>
      <c r="Q360" s="407">
        <v>46038</v>
      </c>
      <c r="R360" s="40" t="s">
        <v>445</v>
      </c>
      <c r="S360" s="208"/>
      <c r="T360" s="357"/>
      <c r="U360" s="84"/>
      <c r="V360" s="84"/>
      <c r="W360" s="84"/>
      <c r="X360" s="84"/>
      <c r="Y360" s="84"/>
      <c r="Z360" s="84"/>
      <c r="AA360" s="15"/>
      <c r="AB360" s="15"/>
      <c r="AC360" s="15"/>
      <c r="AD360" s="15"/>
      <c r="AE360" s="15"/>
      <c r="AF360" s="15"/>
      <c r="AG360" s="15"/>
    </row>
    <row r="361" spans="1:33" ht="15.75" customHeight="1" x14ac:dyDescent="0.3">
      <c r="A361" s="15"/>
      <c r="B361" s="15"/>
      <c r="C361" s="130">
        <f t="shared" ca="1" si="7"/>
        <v>343</v>
      </c>
      <c r="D361" s="636"/>
      <c r="E361" s="636"/>
      <c r="F361" s="567" t="s">
        <v>459</v>
      </c>
      <c r="G361" s="219" t="s">
        <v>448</v>
      </c>
      <c r="H361" s="243"/>
      <c r="I361" s="172" t="s">
        <v>2707</v>
      </c>
      <c r="J361" s="172" t="s">
        <v>365</v>
      </c>
      <c r="K361" s="245" t="s">
        <v>2708</v>
      </c>
      <c r="L361" s="141" t="s">
        <v>15</v>
      </c>
      <c r="M361" s="193">
        <v>46042</v>
      </c>
      <c r="N361" s="194" t="s">
        <v>4</v>
      </c>
      <c r="O361" s="141" t="s">
        <v>158</v>
      </c>
      <c r="P361" s="117" t="s">
        <v>211</v>
      </c>
      <c r="Q361" s="407">
        <v>46038</v>
      </c>
      <c r="R361" s="40" t="s">
        <v>445</v>
      </c>
      <c r="S361" s="208" t="s">
        <v>2709</v>
      </c>
      <c r="T361" s="357"/>
      <c r="U361" s="84"/>
      <c r="V361" s="84"/>
      <c r="W361" s="84"/>
      <c r="X361" s="84"/>
      <c r="Y361" s="84"/>
      <c r="Z361" s="84"/>
      <c r="AA361" s="15"/>
      <c r="AB361" s="15"/>
      <c r="AC361" s="15"/>
      <c r="AD361" s="15"/>
      <c r="AE361" s="15"/>
      <c r="AF361" s="15"/>
      <c r="AG361" s="15"/>
    </row>
    <row r="362" spans="1:33" ht="15.75" customHeight="1" x14ac:dyDescent="0.3">
      <c r="A362" s="15"/>
      <c r="B362" s="15"/>
      <c r="C362" s="130">
        <f t="shared" ca="1" si="7"/>
        <v>344</v>
      </c>
      <c r="D362" s="636"/>
      <c r="E362" s="636"/>
      <c r="F362" s="567" t="s">
        <v>459</v>
      </c>
      <c r="G362" s="219" t="s">
        <v>448</v>
      </c>
      <c r="H362" s="243"/>
      <c r="I362" s="172" t="s">
        <v>2710</v>
      </c>
      <c r="J362" s="172" t="s">
        <v>365</v>
      </c>
      <c r="K362" s="245" t="s">
        <v>2711</v>
      </c>
      <c r="L362" s="141" t="s">
        <v>15</v>
      </c>
      <c r="M362" s="193">
        <v>46042</v>
      </c>
      <c r="N362" s="194" t="s">
        <v>4</v>
      </c>
      <c r="O362" s="141" t="s">
        <v>15</v>
      </c>
      <c r="P362" s="117"/>
      <c r="Q362" s="407">
        <v>46038</v>
      </c>
      <c r="R362" s="40" t="s">
        <v>445</v>
      </c>
      <c r="S362" s="208"/>
      <c r="T362" s="357"/>
      <c r="U362" s="84"/>
      <c r="V362" s="84"/>
      <c r="W362" s="84"/>
      <c r="X362" s="84"/>
      <c r="Y362" s="84"/>
      <c r="Z362" s="84"/>
      <c r="AA362" s="15"/>
      <c r="AB362" s="15"/>
      <c r="AC362" s="15"/>
      <c r="AD362" s="15"/>
      <c r="AE362" s="15"/>
      <c r="AF362" s="15"/>
      <c r="AG362" s="15"/>
    </row>
    <row r="363" spans="1:33" ht="15.75" customHeight="1" x14ac:dyDescent="0.3">
      <c r="A363" s="15"/>
      <c r="B363" s="15"/>
      <c r="C363" s="130">
        <f t="shared" ca="1" si="7"/>
        <v>345</v>
      </c>
      <c r="D363" s="636"/>
      <c r="E363" s="636"/>
      <c r="F363" s="567" t="s">
        <v>459</v>
      </c>
      <c r="G363" s="219" t="s">
        <v>448</v>
      </c>
      <c r="H363" s="243"/>
      <c r="I363" s="172" t="s">
        <v>2712</v>
      </c>
      <c r="J363" s="172" t="s">
        <v>365</v>
      </c>
      <c r="K363" s="245" t="s">
        <v>2713</v>
      </c>
      <c r="L363" s="141" t="s">
        <v>15</v>
      </c>
      <c r="M363" s="193">
        <v>46042</v>
      </c>
      <c r="N363" s="194" t="s">
        <v>4</v>
      </c>
      <c r="O363" s="141" t="s">
        <v>15</v>
      </c>
      <c r="P363" s="117"/>
      <c r="Q363" s="407">
        <v>46038</v>
      </c>
      <c r="R363" s="40" t="s">
        <v>445</v>
      </c>
      <c r="S363" s="208"/>
      <c r="T363" s="357"/>
      <c r="U363" s="84"/>
      <c r="V363" s="84"/>
      <c r="W363" s="84"/>
      <c r="X363" s="84"/>
      <c r="Y363" s="84"/>
      <c r="Z363" s="84"/>
      <c r="AA363" s="15"/>
      <c r="AB363" s="15"/>
      <c r="AC363" s="15"/>
      <c r="AD363" s="15"/>
      <c r="AE363" s="15"/>
      <c r="AF363" s="15"/>
      <c r="AG363" s="15"/>
    </row>
    <row r="364" spans="1:33" ht="15.75" customHeight="1" x14ac:dyDescent="0.3">
      <c r="A364" s="15"/>
      <c r="B364" s="15"/>
      <c r="C364" s="130">
        <f t="shared" ca="1" si="7"/>
        <v>346</v>
      </c>
      <c r="D364" s="636"/>
      <c r="E364" s="636"/>
      <c r="F364" s="567" t="s">
        <v>459</v>
      </c>
      <c r="G364" s="219" t="s">
        <v>455</v>
      </c>
      <c r="H364" s="243"/>
      <c r="I364" s="210"/>
      <c r="J364" s="172" t="s">
        <v>310</v>
      </c>
      <c r="K364" s="226" t="s">
        <v>371</v>
      </c>
      <c r="L364" s="141" t="s">
        <v>15</v>
      </c>
      <c r="M364" s="193">
        <v>46042</v>
      </c>
      <c r="N364" s="194" t="s">
        <v>4</v>
      </c>
      <c r="O364" s="141" t="s">
        <v>15</v>
      </c>
      <c r="P364" s="117"/>
      <c r="Q364" s="407">
        <v>46038</v>
      </c>
      <c r="R364" s="40" t="s">
        <v>445</v>
      </c>
      <c r="S364" s="208"/>
      <c r="T364" s="357"/>
      <c r="U364" s="84"/>
      <c r="V364" s="84"/>
      <c r="W364" s="84"/>
      <c r="X364" s="84"/>
      <c r="Y364" s="84"/>
      <c r="Z364" s="84"/>
      <c r="AA364" s="15"/>
      <c r="AB364" s="15"/>
      <c r="AC364" s="15"/>
      <c r="AD364" s="15"/>
      <c r="AE364" s="15"/>
      <c r="AF364" s="15"/>
      <c r="AG364" s="15"/>
    </row>
    <row r="365" spans="1:33" ht="15.75" customHeight="1" x14ac:dyDescent="0.3">
      <c r="A365" s="15"/>
      <c r="B365" s="15"/>
      <c r="C365" s="130">
        <f t="shared" ca="1" si="7"/>
        <v>347</v>
      </c>
      <c r="D365" s="636"/>
      <c r="E365" s="636"/>
      <c r="F365" s="567" t="s">
        <v>459</v>
      </c>
      <c r="G365" s="219" t="s">
        <v>448</v>
      </c>
      <c r="H365" s="243"/>
      <c r="I365" s="213" t="s">
        <v>372</v>
      </c>
      <c r="J365" s="172" t="s">
        <v>311</v>
      </c>
      <c r="K365" s="245" t="s">
        <v>373</v>
      </c>
      <c r="L365" s="141" t="s">
        <v>15</v>
      </c>
      <c r="M365" s="193">
        <v>46042</v>
      </c>
      <c r="N365" s="194" t="s">
        <v>4</v>
      </c>
      <c r="O365" s="141" t="s">
        <v>15</v>
      </c>
      <c r="P365" s="117"/>
      <c r="Q365" s="407">
        <v>46038</v>
      </c>
      <c r="R365" s="40" t="s">
        <v>445</v>
      </c>
      <c r="S365" s="208"/>
      <c r="T365" s="357"/>
      <c r="U365" s="84"/>
      <c r="V365" s="84"/>
      <c r="W365" s="84"/>
      <c r="X365" s="84"/>
      <c r="Y365" s="84"/>
      <c r="Z365" s="84"/>
      <c r="AA365" s="15"/>
      <c r="AB365" s="15"/>
      <c r="AC365" s="15"/>
      <c r="AD365" s="15"/>
      <c r="AE365" s="15"/>
      <c r="AF365" s="15"/>
      <c r="AG365" s="15"/>
    </row>
    <row r="366" spans="1:33" ht="15.75" customHeight="1" x14ac:dyDescent="0.3">
      <c r="A366" s="15"/>
      <c r="B366" s="15"/>
      <c r="C366" s="130">
        <f t="shared" ca="1" si="7"/>
        <v>348</v>
      </c>
      <c r="D366" s="636"/>
      <c r="E366" s="636"/>
      <c r="F366" s="567" t="s">
        <v>459</v>
      </c>
      <c r="G366" s="219" t="s">
        <v>448</v>
      </c>
      <c r="H366" s="243"/>
      <c r="I366" s="569"/>
      <c r="J366" s="172" t="s">
        <v>313</v>
      </c>
      <c r="K366" s="245" t="s">
        <v>2599</v>
      </c>
      <c r="L366" s="141" t="s">
        <v>15</v>
      </c>
      <c r="M366" s="193">
        <v>46042</v>
      </c>
      <c r="N366" s="194" t="s">
        <v>4</v>
      </c>
      <c r="O366" s="141" t="s">
        <v>15</v>
      </c>
      <c r="P366" s="117"/>
      <c r="Q366" s="407">
        <v>46038</v>
      </c>
      <c r="R366" s="40" t="s">
        <v>445</v>
      </c>
      <c r="S366" s="208"/>
      <c r="T366" s="357"/>
      <c r="U366" s="84"/>
      <c r="V366" s="84"/>
      <c r="W366" s="84"/>
      <c r="X366" s="84"/>
      <c r="Y366" s="84"/>
      <c r="Z366" s="84"/>
      <c r="AA366" s="15"/>
      <c r="AB366" s="15"/>
      <c r="AC366" s="15"/>
      <c r="AD366" s="15"/>
      <c r="AE366" s="15"/>
      <c r="AF366" s="15"/>
      <c r="AG366" s="15"/>
    </row>
    <row r="367" spans="1:33" ht="15.75" customHeight="1" x14ac:dyDescent="0.3">
      <c r="A367" s="15"/>
      <c r="B367" s="15"/>
      <c r="C367" s="130">
        <f t="shared" ca="1" si="7"/>
        <v>349</v>
      </c>
      <c r="D367" s="636"/>
      <c r="E367" s="636"/>
      <c r="F367" s="567" t="s">
        <v>459</v>
      </c>
      <c r="G367" s="219" t="s">
        <v>455</v>
      </c>
      <c r="H367" s="243"/>
      <c r="I367" s="210"/>
      <c r="J367" s="172" t="s">
        <v>375</v>
      </c>
      <c r="K367" s="226" t="s">
        <v>371</v>
      </c>
      <c r="L367" s="141" t="s">
        <v>15</v>
      </c>
      <c r="M367" s="193">
        <v>46042</v>
      </c>
      <c r="N367" s="194" t="s">
        <v>4</v>
      </c>
      <c r="O367" s="141" t="s">
        <v>15</v>
      </c>
      <c r="P367" s="117"/>
      <c r="Q367" s="407">
        <v>46038</v>
      </c>
      <c r="R367" s="40" t="s">
        <v>445</v>
      </c>
      <c r="S367" s="208"/>
      <c r="T367" s="357"/>
      <c r="U367" s="84"/>
      <c r="V367" s="84"/>
      <c r="W367" s="84"/>
      <c r="X367" s="84"/>
      <c r="Y367" s="84"/>
      <c r="Z367" s="84"/>
      <c r="AA367" s="15"/>
      <c r="AB367" s="15"/>
      <c r="AC367" s="15"/>
      <c r="AD367" s="15"/>
      <c r="AE367" s="15"/>
      <c r="AF367" s="15"/>
      <c r="AG367" s="15"/>
    </row>
    <row r="368" spans="1:33" ht="15.75" customHeight="1" x14ac:dyDescent="0.3">
      <c r="A368" s="15"/>
      <c r="B368" s="15"/>
      <c r="C368" s="130">
        <f t="shared" ca="1" si="7"/>
        <v>350</v>
      </c>
      <c r="D368" s="636"/>
      <c r="E368" s="636"/>
      <c r="F368" s="567" t="s">
        <v>459</v>
      </c>
      <c r="G368" s="219" t="s">
        <v>448</v>
      </c>
      <c r="H368" s="243"/>
      <c r="I368" s="172" t="s">
        <v>2714</v>
      </c>
      <c r="J368" s="172" t="s">
        <v>365</v>
      </c>
      <c r="K368" s="245" t="s">
        <v>2590</v>
      </c>
      <c r="L368" s="141" t="s">
        <v>15</v>
      </c>
      <c r="M368" s="193">
        <v>46042</v>
      </c>
      <c r="N368" s="194" t="s">
        <v>4</v>
      </c>
      <c r="O368" s="141" t="s">
        <v>158</v>
      </c>
      <c r="P368" s="117" t="s">
        <v>211</v>
      </c>
      <c r="Q368" s="407">
        <v>46038</v>
      </c>
      <c r="R368" s="40" t="s">
        <v>445</v>
      </c>
      <c r="S368" s="208" t="s">
        <v>2715</v>
      </c>
      <c r="T368" s="357"/>
      <c r="U368" s="84"/>
      <c r="V368" s="84"/>
      <c r="W368" s="84"/>
      <c r="X368" s="84"/>
      <c r="Y368" s="84"/>
      <c r="Z368" s="84"/>
      <c r="AA368" s="15"/>
      <c r="AB368" s="15"/>
      <c r="AC368" s="15"/>
      <c r="AD368" s="15"/>
      <c r="AE368" s="15"/>
      <c r="AF368" s="15"/>
      <c r="AG368" s="15"/>
    </row>
    <row r="369" spans="1:33" ht="15.75" customHeight="1" x14ac:dyDescent="0.3">
      <c r="A369" s="15"/>
      <c r="B369" s="15"/>
      <c r="C369" s="130">
        <f t="shared" ca="1" si="7"/>
        <v>351</v>
      </c>
      <c r="D369" s="636"/>
      <c r="E369" s="636"/>
      <c r="F369" s="567" t="s">
        <v>459</v>
      </c>
      <c r="G369" s="219" t="s">
        <v>448</v>
      </c>
      <c r="H369" s="243"/>
      <c r="I369" s="172" t="s">
        <v>2716</v>
      </c>
      <c r="J369" s="172" t="s">
        <v>365</v>
      </c>
      <c r="K369" s="245" t="s">
        <v>2706</v>
      </c>
      <c r="L369" s="141" t="s">
        <v>15</v>
      </c>
      <c r="M369" s="193">
        <v>46042</v>
      </c>
      <c r="N369" s="194" t="s">
        <v>4</v>
      </c>
      <c r="O369" s="141" t="s">
        <v>15</v>
      </c>
      <c r="P369" s="117"/>
      <c r="Q369" s="407">
        <v>46038</v>
      </c>
      <c r="R369" s="40" t="s">
        <v>445</v>
      </c>
      <c r="S369" s="208"/>
      <c r="T369" s="357"/>
      <c r="U369" s="84"/>
      <c r="V369" s="84"/>
      <c r="W369" s="84"/>
      <c r="X369" s="84"/>
      <c r="Y369" s="84"/>
      <c r="Z369" s="84"/>
      <c r="AA369" s="15"/>
      <c r="AB369" s="15"/>
      <c r="AC369" s="15"/>
      <c r="AD369" s="15"/>
      <c r="AE369" s="15"/>
      <c r="AF369" s="15"/>
      <c r="AG369" s="15"/>
    </row>
    <row r="370" spans="1:33" ht="15.75" customHeight="1" x14ac:dyDescent="0.3">
      <c r="A370" s="15"/>
      <c r="B370" s="15"/>
      <c r="C370" s="130">
        <f t="shared" ca="1" si="7"/>
        <v>352</v>
      </c>
      <c r="D370" s="636"/>
      <c r="E370" s="636"/>
      <c r="F370" s="567" t="s">
        <v>459</v>
      </c>
      <c r="G370" s="219" t="s">
        <v>448</v>
      </c>
      <c r="H370" s="243"/>
      <c r="I370" s="172" t="s">
        <v>2717</v>
      </c>
      <c r="J370" s="172" t="s">
        <v>365</v>
      </c>
      <c r="K370" s="245" t="s">
        <v>2708</v>
      </c>
      <c r="L370" s="141" t="s">
        <v>15</v>
      </c>
      <c r="M370" s="193">
        <v>46042</v>
      </c>
      <c r="N370" s="194" t="s">
        <v>4</v>
      </c>
      <c r="O370" s="141" t="s">
        <v>158</v>
      </c>
      <c r="P370" s="117" t="s">
        <v>211</v>
      </c>
      <c r="Q370" s="407">
        <v>46038</v>
      </c>
      <c r="R370" s="40" t="s">
        <v>445</v>
      </c>
      <c r="S370" s="208" t="s">
        <v>2718</v>
      </c>
      <c r="T370" s="357"/>
      <c r="U370" s="84"/>
      <c r="V370" s="84"/>
      <c r="W370" s="84"/>
      <c r="X370" s="84"/>
      <c r="Y370" s="84"/>
      <c r="Z370" s="84"/>
      <c r="AA370" s="15"/>
      <c r="AB370" s="15"/>
      <c r="AC370" s="15"/>
      <c r="AD370" s="15"/>
      <c r="AE370" s="15"/>
      <c r="AF370" s="15"/>
      <c r="AG370" s="15"/>
    </row>
    <row r="371" spans="1:33" ht="15.75" customHeight="1" x14ac:dyDescent="0.3">
      <c r="A371" s="15"/>
      <c r="B371" s="15"/>
      <c r="C371" s="130">
        <f t="shared" ca="1" si="7"/>
        <v>353</v>
      </c>
      <c r="D371" s="636"/>
      <c r="E371" s="636"/>
      <c r="F371" s="567" t="s">
        <v>459</v>
      </c>
      <c r="G371" s="219" t="s">
        <v>448</v>
      </c>
      <c r="H371" s="243"/>
      <c r="I371" s="172" t="s">
        <v>2719</v>
      </c>
      <c r="J371" s="172" t="s">
        <v>365</v>
      </c>
      <c r="K371" s="245" t="s">
        <v>2711</v>
      </c>
      <c r="L371" s="141" t="s">
        <v>15</v>
      </c>
      <c r="M371" s="193">
        <v>46042</v>
      </c>
      <c r="N371" s="194" t="s">
        <v>4</v>
      </c>
      <c r="O371" s="141" t="s">
        <v>15</v>
      </c>
      <c r="P371" s="117"/>
      <c r="Q371" s="407">
        <v>46038</v>
      </c>
      <c r="R371" s="40" t="s">
        <v>445</v>
      </c>
      <c r="S371" s="208"/>
      <c r="T371" s="357"/>
      <c r="U371" s="84"/>
      <c r="V371" s="84"/>
      <c r="W371" s="84"/>
      <c r="X371" s="84"/>
      <c r="Y371" s="84"/>
      <c r="Z371" s="84"/>
      <c r="AA371" s="15"/>
      <c r="AB371" s="15"/>
      <c r="AC371" s="15"/>
      <c r="AD371" s="15"/>
      <c r="AE371" s="15"/>
      <c r="AF371" s="15"/>
      <c r="AG371" s="15"/>
    </row>
    <row r="372" spans="1:33" ht="15.75" customHeight="1" x14ac:dyDescent="0.3">
      <c r="A372" s="15"/>
      <c r="B372" s="15"/>
      <c r="C372" s="130">
        <f t="shared" ca="1" si="7"/>
        <v>354</v>
      </c>
      <c r="D372" s="635"/>
      <c r="E372" s="635"/>
      <c r="F372" s="567" t="s">
        <v>459</v>
      </c>
      <c r="G372" s="219" t="s">
        <v>448</v>
      </c>
      <c r="H372" s="243"/>
      <c r="I372" s="172" t="s">
        <v>2720</v>
      </c>
      <c r="J372" s="172" t="s">
        <v>365</v>
      </c>
      <c r="K372" s="245" t="s">
        <v>2713</v>
      </c>
      <c r="L372" s="141" t="s">
        <v>15</v>
      </c>
      <c r="M372" s="193">
        <v>46042</v>
      </c>
      <c r="N372" s="194" t="s">
        <v>4</v>
      </c>
      <c r="O372" s="141" t="s">
        <v>15</v>
      </c>
      <c r="P372" s="117"/>
      <c r="Q372" s="407">
        <v>46038</v>
      </c>
      <c r="R372" s="40" t="s">
        <v>445</v>
      </c>
      <c r="S372" s="208"/>
      <c r="T372" s="357"/>
      <c r="U372" s="84"/>
      <c r="V372" s="84"/>
      <c r="W372" s="84"/>
      <c r="X372" s="84"/>
      <c r="Y372" s="84"/>
      <c r="Z372" s="84"/>
      <c r="AA372" s="15"/>
      <c r="AB372" s="15"/>
      <c r="AC372" s="15"/>
      <c r="AD372" s="15"/>
      <c r="AE372" s="15"/>
      <c r="AF372" s="15"/>
      <c r="AG372" s="15"/>
    </row>
    <row r="373" spans="1:33" ht="15.75" customHeight="1" x14ac:dyDescent="0.3">
      <c r="A373" s="15"/>
      <c r="B373" s="15"/>
      <c r="C373" s="130">
        <f t="shared" ca="1" si="7"/>
        <v>355</v>
      </c>
      <c r="D373" s="658" t="s">
        <v>339</v>
      </c>
      <c r="E373" s="251" t="s">
        <v>257</v>
      </c>
      <c r="F373" s="567" t="s">
        <v>457</v>
      </c>
      <c r="G373" s="219" t="s">
        <v>448</v>
      </c>
      <c r="H373" s="243"/>
      <c r="I373" s="172"/>
      <c r="J373" s="172" t="s">
        <v>261</v>
      </c>
      <c r="K373" s="245" t="s">
        <v>2721</v>
      </c>
      <c r="L373" s="141" t="s">
        <v>15</v>
      </c>
      <c r="M373" s="193">
        <v>46042</v>
      </c>
      <c r="N373" s="194" t="s">
        <v>4</v>
      </c>
      <c r="O373" s="141" t="s">
        <v>15</v>
      </c>
      <c r="P373" s="117"/>
      <c r="Q373" s="407">
        <v>46038</v>
      </c>
      <c r="R373" s="40" t="s">
        <v>445</v>
      </c>
      <c r="S373" s="208"/>
      <c r="T373" s="357"/>
      <c r="U373" s="84"/>
      <c r="V373" s="84"/>
      <c r="W373" s="84"/>
      <c r="X373" s="84"/>
      <c r="Y373" s="84"/>
      <c r="Z373" s="84"/>
      <c r="AA373" s="15"/>
      <c r="AB373" s="15"/>
      <c r="AC373" s="15"/>
      <c r="AD373" s="15"/>
      <c r="AE373" s="15"/>
      <c r="AF373" s="15"/>
      <c r="AG373" s="15"/>
    </row>
    <row r="374" spans="1:33" ht="15.75" customHeight="1" x14ac:dyDescent="0.3">
      <c r="A374" s="15"/>
      <c r="B374" s="15"/>
      <c r="C374" s="130">
        <f t="shared" ca="1" si="7"/>
        <v>356</v>
      </c>
      <c r="D374" s="636"/>
      <c r="E374" s="665" t="s">
        <v>237</v>
      </c>
      <c r="F374" s="567" t="s">
        <v>459</v>
      </c>
      <c r="G374" s="219" t="s">
        <v>448</v>
      </c>
      <c r="H374" s="243"/>
      <c r="I374" s="213" t="s">
        <v>364</v>
      </c>
      <c r="J374" s="172" t="s">
        <v>365</v>
      </c>
      <c r="K374" s="245" t="s">
        <v>2722</v>
      </c>
      <c r="L374" s="141" t="s">
        <v>15</v>
      </c>
      <c r="M374" s="193">
        <v>46042</v>
      </c>
      <c r="N374" s="194" t="s">
        <v>4</v>
      </c>
      <c r="O374" s="141" t="s">
        <v>15</v>
      </c>
      <c r="P374" s="117"/>
      <c r="Q374" s="407">
        <v>46038</v>
      </c>
      <c r="R374" s="40" t="s">
        <v>445</v>
      </c>
      <c r="S374" s="208"/>
      <c r="T374" s="357"/>
      <c r="U374" s="84"/>
      <c r="V374" s="84"/>
      <c r="W374" s="84"/>
      <c r="X374" s="84"/>
      <c r="Y374" s="84"/>
      <c r="Z374" s="84"/>
      <c r="AA374" s="15"/>
      <c r="AB374" s="15"/>
      <c r="AC374" s="15"/>
      <c r="AD374" s="15"/>
      <c r="AE374" s="15"/>
      <c r="AF374" s="15"/>
      <c r="AG374" s="15"/>
    </row>
    <row r="375" spans="1:33" ht="15.75" customHeight="1" x14ac:dyDescent="0.3">
      <c r="A375" s="15"/>
      <c r="B375" s="15"/>
      <c r="C375" s="130">
        <f t="shared" ca="1" si="7"/>
        <v>357</v>
      </c>
      <c r="D375" s="636"/>
      <c r="E375" s="636"/>
      <c r="F375" s="567" t="s">
        <v>459</v>
      </c>
      <c r="G375" s="219" t="s">
        <v>448</v>
      </c>
      <c r="H375" s="243"/>
      <c r="I375" s="172" t="s">
        <v>2723</v>
      </c>
      <c r="J375" s="172" t="s">
        <v>365</v>
      </c>
      <c r="K375" s="245" t="s">
        <v>2590</v>
      </c>
      <c r="L375" s="141" t="s">
        <v>15</v>
      </c>
      <c r="M375" s="193">
        <v>46042</v>
      </c>
      <c r="N375" s="194" t="s">
        <v>4</v>
      </c>
      <c r="O375" s="141" t="s">
        <v>158</v>
      </c>
      <c r="P375" s="117" t="s">
        <v>211</v>
      </c>
      <c r="Q375" s="407">
        <v>46038</v>
      </c>
      <c r="R375" s="40" t="s">
        <v>445</v>
      </c>
      <c r="S375" s="208" t="s">
        <v>2724</v>
      </c>
      <c r="T375" s="357"/>
      <c r="U375" s="84"/>
      <c r="V375" s="84"/>
      <c r="W375" s="84"/>
      <c r="X375" s="84"/>
      <c r="Y375" s="84"/>
      <c r="Z375" s="84"/>
      <c r="AA375" s="15"/>
      <c r="AB375" s="15"/>
      <c r="AC375" s="15"/>
      <c r="AD375" s="15"/>
      <c r="AE375" s="15"/>
      <c r="AF375" s="15"/>
      <c r="AG375" s="15"/>
    </row>
    <row r="376" spans="1:33" ht="15.75" customHeight="1" x14ac:dyDescent="0.3">
      <c r="A376" s="15"/>
      <c r="B376" s="15"/>
      <c r="C376" s="130">
        <f t="shared" ca="1" si="7"/>
        <v>358</v>
      </c>
      <c r="D376" s="636"/>
      <c r="E376" s="636"/>
      <c r="F376" s="567" t="s">
        <v>459</v>
      </c>
      <c r="G376" s="219" t="s">
        <v>448</v>
      </c>
      <c r="H376" s="243"/>
      <c r="I376" s="172" t="s">
        <v>2725</v>
      </c>
      <c r="J376" s="172" t="s">
        <v>365</v>
      </c>
      <c r="K376" s="245" t="s">
        <v>2726</v>
      </c>
      <c r="L376" s="141" t="s">
        <v>15</v>
      </c>
      <c r="M376" s="193">
        <v>46042</v>
      </c>
      <c r="N376" s="194" t="s">
        <v>4</v>
      </c>
      <c r="O376" s="141" t="s">
        <v>15</v>
      </c>
      <c r="P376" s="117"/>
      <c r="Q376" s="407">
        <v>46038</v>
      </c>
      <c r="R376" s="40" t="s">
        <v>445</v>
      </c>
      <c r="S376" s="208"/>
      <c r="T376" s="357"/>
      <c r="U376" s="84"/>
      <c r="V376" s="84"/>
      <c r="W376" s="84"/>
      <c r="X376" s="84"/>
      <c r="Y376" s="84"/>
      <c r="Z376" s="84"/>
      <c r="AA376" s="15"/>
      <c r="AB376" s="15"/>
      <c r="AC376" s="15"/>
      <c r="AD376" s="15"/>
      <c r="AE376" s="15"/>
      <c r="AF376" s="15"/>
      <c r="AG376" s="15"/>
    </row>
    <row r="377" spans="1:33" ht="15.75" customHeight="1" x14ac:dyDescent="0.3">
      <c r="A377" s="15"/>
      <c r="B377" s="15"/>
      <c r="C377" s="130">
        <f t="shared" ca="1" si="7"/>
        <v>359</v>
      </c>
      <c r="D377" s="636"/>
      <c r="E377" s="636"/>
      <c r="F377" s="567" t="s">
        <v>459</v>
      </c>
      <c r="G377" s="219" t="s">
        <v>448</v>
      </c>
      <c r="H377" s="243"/>
      <c r="I377" s="172" t="s">
        <v>2727</v>
      </c>
      <c r="J377" s="172" t="s">
        <v>365</v>
      </c>
      <c r="K377" s="245" t="s">
        <v>2728</v>
      </c>
      <c r="L377" s="141" t="s">
        <v>15</v>
      </c>
      <c r="M377" s="193">
        <v>46042</v>
      </c>
      <c r="N377" s="194" t="s">
        <v>4</v>
      </c>
      <c r="O377" s="141" t="s">
        <v>158</v>
      </c>
      <c r="P377" s="117" t="s">
        <v>211</v>
      </c>
      <c r="Q377" s="407">
        <v>46038</v>
      </c>
      <c r="R377" s="40" t="s">
        <v>445</v>
      </c>
      <c r="S377" s="208" t="s">
        <v>2729</v>
      </c>
      <c r="T377" s="357"/>
      <c r="U377" s="84"/>
      <c r="V377" s="84"/>
      <c r="W377" s="84"/>
      <c r="X377" s="84"/>
      <c r="Y377" s="84"/>
      <c r="Z377" s="84"/>
      <c r="AA377" s="15"/>
      <c r="AB377" s="15"/>
      <c r="AC377" s="15"/>
      <c r="AD377" s="15"/>
      <c r="AE377" s="15"/>
      <c r="AF377" s="15"/>
      <c r="AG377" s="15"/>
    </row>
    <row r="378" spans="1:33" ht="15.75" customHeight="1" x14ac:dyDescent="0.3">
      <c r="A378" s="15"/>
      <c r="B378" s="15"/>
      <c r="C378" s="130">
        <f t="shared" ca="1" si="7"/>
        <v>360</v>
      </c>
      <c r="D378" s="636"/>
      <c r="E378" s="636"/>
      <c r="F378" s="567" t="s">
        <v>459</v>
      </c>
      <c r="G378" s="219" t="s">
        <v>448</v>
      </c>
      <c r="H378" s="243"/>
      <c r="I378" s="172" t="s">
        <v>2730</v>
      </c>
      <c r="J378" s="172" t="s">
        <v>365</v>
      </c>
      <c r="K378" s="245" t="s">
        <v>2731</v>
      </c>
      <c r="L378" s="141" t="s">
        <v>15</v>
      </c>
      <c r="M378" s="193">
        <v>46042</v>
      </c>
      <c r="N378" s="194" t="s">
        <v>4</v>
      </c>
      <c r="O378" s="141" t="s">
        <v>15</v>
      </c>
      <c r="P378" s="117"/>
      <c r="Q378" s="407">
        <v>46038</v>
      </c>
      <c r="R378" s="40" t="s">
        <v>445</v>
      </c>
      <c r="S378" s="208"/>
      <c r="T378" s="357"/>
      <c r="U378" s="84"/>
      <c r="V378" s="84"/>
      <c r="W378" s="84"/>
      <c r="X378" s="84"/>
      <c r="Y378" s="84"/>
      <c r="Z378" s="84"/>
      <c r="AA378" s="15"/>
      <c r="AB378" s="15"/>
      <c r="AC378" s="15"/>
      <c r="AD378" s="15"/>
      <c r="AE378" s="15"/>
      <c r="AF378" s="15"/>
      <c r="AG378" s="15"/>
    </row>
    <row r="379" spans="1:33" ht="15.75" customHeight="1" x14ac:dyDescent="0.3">
      <c r="A379" s="15"/>
      <c r="B379" s="15"/>
      <c r="C379" s="130">
        <f t="shared" ca="1" si="7"/>
        <v>361</v>
      </c>
      <c r="D379" s="636"/>
      <c r="E379" s="636"/>
      <c r="F379" s="567" t="s">
        <v>459</v>
      </c>
      <c r="G379" s="219" t="s">
        <v>448</v>
      </c>
      <c r="H379" s="243"/>
      <c r="I379" s="172" t="s">
        <v>2732</v>
      </c>
      <c r="J379" s="172" t="s">
        <v>365</v>
      </c>
      <c r="K379" s="245" t="s">
        <v>2733</v>
      </c>
      <c r="L379" s="141" t="s">
        <v>15</v>
      </c>
      <c r="M379" s="193">
        <v>46042</v>
      </c>
      <c r="N379" s="194" t="s">
        <v>4</v>
      </c>
      <c r="O379" s="141" t="s">
        <v>15</v>
      </c>
      <c r="P379" s="117"/>
      <c r="Q379" s="407">
        <v>46038</v>
      </c>
      <c r="R379" s="40" t="s">
        <v>445</v>
      </c>
      <c r="S379" s="208"/>
      <c r="T379" s="357"/>
      <c r="U379" s="84"/>
      <c r="V379" s="84"/>
      <c r="W379" s="84"/>
      <c r="X379" s="84"/>
      <c r="Y379" s="84"/>
      <c r="Z379" s="84"/>
      <c r="AA379" s="15"/>
      <c r="AB379" s="15"/>
      <c r="AC379" s="15"/>
      <c r="AD379" s="15"/>
      <c r="AE379" s="15"/>
      <c r="AF379" s="15"/>
      <c r="AG379" s="15"/>
    </row>
    <row r="380" spans="1:33" ht="15.75" customHeight="1" x14ac:dyDescent="0.3">
      <c r="A380" s="15"/>
      <c r="B380" s="15"/>
      <c r="C380" s="130">
        <f t="shared" ca="1" si="7"/>
        <v>362</v>
      </c>
      <c r="D380" s="636"/>
      <c r="E380" s="636"/>
      <c r="F380" s="567" t="s">
        <v>459</v>
      </c>
      <c r="G380" s="219" t="s">
        <v>455</v>
      </c>
      <c r="H380" s="243"/>
      <c r="I380" s="210"/>
      <c r="J380" s="172" t="s">
        <v>310</v>
      </c>
      <c r="K380" s="226" t="s">
        <v>371</v>
      </c>
      <c r="L380" s="141" t="s">
        <v>15</v>
      </c>
      <c r="M380" s="193">
        <v>46042</v>
      </c>
      <c r="N380" s="194" t="s">
        <v>4</v>
      </c>
      <c r="O380" s="141" t="s">
        <v>15</v>
      </c>
      <c r="P380" s="117"/>
      <c r="Q380" s="407">
        <v>46038</v>
      </c>
      <c r="R380" s="40" t="s">
        <v>445</v>
      </c>
      <c r="S380" s="208"/>
      <c r="T380" s="357"/>
      <c r="U380" s="84"/>
      <c r="V380" s="84"/>
      <c r="W380" s="84"/>
      <c r="X380" s="84"/>
      <c r="Y380" s="84"/>
      <c r="Z380" s="84"/>
      <c r="AA380" s="15"/>
      <c r="AB380" s="15"/>
      <c r="AC380" s="15"/>
      <c r="AD380" s="15"/>
      <c r="AE380" s="15"/>
      <c r="AF380" s="15"/>
      <c r="AG380" s="15"/>
    </row>
    <row r="381" spans="1:33" ht="15.75" customHeight="1" x14ac:dyDescent="0.3">
      <c r="A381" s="15"/>
      <c r="B381" s="15"/>
      <c r="C381" s="130">
        <f t="shared" ca="1" si="7"/>
        <v>363</v>
      </c>
      <c r="D381" s="636"/>
      <c r="E381" s="636"/>
      <c r="F381" s="567" t="s">
        <v>459</v>
      </c>
      <c r="G381" s="219" t="s">
        <v>448</v>
      </c>
      <c r="H381" s="243"/>
      <c r="I381" s="657" t="s">
        <v>372</v>
      </c>
      <c r="J381" s="172" t="s">
        <v>311</v>
      </c>
      <c r="K381" s="245" t="s">
        <v>373</v>
      </c>
      <c r="L381" s="141" t="s">
        <v>15</v>
      </c>
      <c r="M381" s="193">
        <v>46042</v>
      </c>
      <c r="N381" s="194" t="s">
        <v>4</v>
      </c>
      <c r="O381" s="141" t="s">
        <v>15</v>
      </c>
      <c r="P381" s="117"/>
      <c r="Q381" s="407">
        <v>46038</v>
      </c>
      <c r="R381" s="40" t="s">
        <v>445</v>
      </c>
      <c r="S381" s="208"/>
      <c r="T381" s="357"/>
      <c r="U381" s="84"/>
      <c r="V381" s="84"/>
      <c r="W381" s="84"/>
      <c r="X381" s="84"/>
      <c r="Y381" s="84"/>
      <c r="Z381" s="84"/>
      <c r="AA381" s="15"/>
      <c r="AB381" s="15"/>
      <c r="AC381" s="15"/>
      <c r="AD381" s="15"/>
      <c r="AE381" s="15"/>
      <c r="AF381" s="15"/>
      <c r="AG381" s="15"/>
    </row>
    <row r="382" spans="1:33" ht="15.75" customHeight="1" x14ac:dyDescent="0.3">
      <c r="A382" s="15"/>
      <c r="B382" s="15"/>
      <c r="C382" s="130">
        <f t="shared" ca="1" si="7"/>
        <v>364</v>
      </c>
      <c r="D382" s="636"/>
      <c r="E382" s="636"/>
      <c r="F382" s="567" t="s">
        <v>459</v>
      </c>
      <c r="G382" s="219" t="s">
        <v>448</v>
      </c>
      <c r="H382" s="243"/>
      <c r="I382" s="606"/>
      <c r="J382" s="172" t="s">
        <v>313</v>
      </c>
      <c r="K382" s="245" t="s">
        <v>2599</v>
      </c>
      <c r="L382" s="141" t="s">
        <v>15</v>
      </c>
      <c r="M382" s="193">
        <v>46042</v>
      </c>
      <c r="N382" s="194" t="s">
        <v>4</v>
      </c>
      <c r="O382" s="141" t="s">
        <v>15</v>
      </c>
      <c r="P382" s="117"/>
      <c r="Q382" s="407">
        <v>46038</v>
      </c>
      <c r="R382" s="40" t="s">
        <v>445</v>
      </c>
      <c r="S382" s="208"/>
      <c r="T382" s="357"/>
      <c r="U382" s="84"/>
      <c r="V382" s="84"/>
      <c r="W382" s="84"/>
      <c r="X382" s="84"/>
      <c r="Y382" s="84"/>
      <c r="Z382" s="84"/>
      <c r="AA382" s="15"/>
      <c r="AB382" s="15"/>
      <c r="AC382" s="15"/>
      <c r="AD382" s="15"/>
      <c r="AE382" s="15"/>
      <c r="AF382" s="15"/>
      <c r="AG382" s="15"/>
    </row>
    <row r="383" spans="1:33" ht="15.75" customHeight="1" x14ac:dyDescent="0.3">
      <c r="A383" s="15"/>
      <c r="B383" s="15"/>
      <c r="C383" s="130">
        <f t="shared" ca="1" si="7"/>
        <v>365</v>
      </c>
      <c r="D383" s="636"/>
      <c r="E383" s="636"/>
      <c r="F383" s="567" t="s">
        <v>459</v>
      </c>
      <c r="G383" s="219" t="s">
        <v>455</v>
      </c>
      <c r="H383" s="243"/>
      <c r="I383" s="608"/>
      <c r="J383" s="172" t="s">
        <v>375</v>
      </c>
      <c r="K383" s="226" t="s">
        <v>371</v>
      </c>
      <c r="L383" s="141" t="s">
        <v>15</v>
      </c>
      <c r="M383" s="193">
        <v>46042</v>
      </c>
      <c r="N383" s="194" t="s">
        <v>4</v>
      </c>
      <c r="O383" s="141" t="s">
        <v>15</v>
      </c>
      <c r="P383" s="117"/>
      <c r="Q383" s="407">
        <v>46038</v>
      </c>
      <c r="R383" s="40" t="s">
        <v>445</v>
      </c>
      <c r="S383" s="208"/>
      <c r="T383" s="357"/>
      <c r="U383" s="84"/>
      <c r="V383" s="84"/>
      <c r="W383" s="84"/>
      <c r="X383" s="84"/>
      <c r="Y383" s="84"/>
      <c r="Z383" s="84"/>
      <c r="AA383" s="15"/>
      <c r="AB383" s="15"/>
      <c r="AC383" s="15"/>
      <c r="AD383" s="15"/>
      <c r="AE383" s="15"/>
      <c r="AF383" s="15"/>
      <c r="AG383" s="15"/>
    </row>
    <row r="384" spans="1:33" ht="15.75" customHeight="1" x14ac:dyDescent="0.3">
      <c r="A384" s="15"/>
      <c r="B384" s="15"/>
      <c r="C384" s="130">
        <f t="shared" ca="1" si="7"/>
        <v>366</v>
      </c>
      <c r="D384" s="636"/>
      <c r="E384" s="636"/>
      <c r="F384" s="567" t="s">
        <v>459</v>
      </c>
      <c r="G384" s="219" t="s">
        <v>448</v>
      </c>
      <c r="H384" s="243"/>
      <c r="I384" s="172" t="s">
        <v>2734</v>
      </c>
      <c r="J384" s="172" t="s">
        <v>365</v>
      </c>
      <c r="K384" s="245" t="s">
        <v>2590</v>
      </c>
      <c r="L384" s="141" t="s">
        <v>15</v>
      </c>
      <c r="M384" s="193">
        <v>46042</v>
      </c>
      <c r="N384" s="194" t="s">
        <v>4</v>
      </c>
      <c r="O384" s="141" t="s">
        <v>158</v>
      </c>
      <c r="P384" s="117" t="s">
        <v>211</v>
      </c>
      <c r="Q384" s="407">
        <v>46038</v>
      </c>
      <c r="R384" s="40" t="s">
        <v>445</v>
      </c>
      <c r="S384" s="208" t="s">
        <v>2735</v>
      </c>
      <c r="T384" s="357"/>
      <c r="U384" s="84"/>
      <c r="V384" s="84"/>
      <c r="W384" s="84"/>
      <c r="X384" s="84"/>
      <c r="Y384" s="84"/>
      <c r="Z384" s="84"/>
      <c r="AA384" s="15"/>
      <c r="AB384" s="15"/>
      <c r="AC384" s="15"/>
      <c r="AD384" s="15"/>
      <c r="AE384" s="15"/>
      <c r="AF384" s="15"/>
      <c r="AG384" s="15"/>
    </row>
    <row r="385" spans="1:33" ht="15.75" customHeight="1" x14ac:dyDescent="0.3">
      <c r="A385" s="15"/>
      <c r="B385" s="15"/>
      <c r="C385" s="130">
        <f t="shared" ca="1" si="7"/>
        <v>367</v>
      </c>
      <c r="D385" s="636"/>
      <c r="E385" s="636"/>
      <c r="F385" s="567" t="s">
        <v>459</v>
      </c>
      <c r="G385" s="219" t="s">
        <v>448</v>
      </c>
      <c r="H385" s="243"/>
      <c r="I385" s="172" t="s">
        <v>2736</v>
      </c>
      <c r="J385" s="172" t="s">
        <v>365</v>
      </c>
      <c r="K385" s="245" t="s">
        <v>2726</v>
      </c>
      <c r="L385" s="141" t="s">
        <v>15</v>
      </c>
      <c r="M385" s="193">
        <v>46042</v>
      </c>
      <c r="N385" s="194" t="s">
        <v>4</v>
      </c>
      <c r="O385" s="141" t="s">
        <v>15</v>
      </c>
      <c r="P385" s="117"/>
      <c r="Q385" s="407">
        <v>46038</v>
      </c>
      <c r="R385" s="40" t="s">
        <v>445</v>
      </c>
      <c r="S385" s="208"/>
      <c r="T385" s="357"/>
      <c r="U385" s="84"/>
      <c r="V385" s="84"/>
      <c r="W385" s="84"/>
      <c r="X385" s="84"/>
      <c r="Y385" s="84"/>
      <c r="Z385" s="84"/>
      <c r="AA385" s="15"/>
      <c r="AB385" s="15"/>
      <c r="AC385" s="15"/>
      <c r="AD385" s="15"/>
      <c r="AE385" s="15"/>
      <c r="AF385" s="15"/>
      <c r="AG385" s="15"/>
    </row>
    <row r="386" spans="1:33" ht="15.75" customHeight="1" x14ac:dyDescent="0.3">
      <c r="A386" s="15"/>
      <c r="B386" s="15"/>
      <c r="C386" s="130">
        <f t="shared" ca="1" si="7"/>
        <v>368</v>
      </c>
      <c r="D386" s="636"/>
      <c r="E386" s="636"/>
      <c r="F386" s="567" t="s">
        <v>459</v>
      </c>
      <c r="G386" s="219" t="s">
        <v>448</v>
      </c>
      <c r="H386" s="243"/>
      <c r="I386" s="172" t="s">
        <v>2737</v>
      </c>
      <c r="J386" s="172" t="s">
        <v>365</v>
      </c>
      <c r="K386" s="245" t="s">
        <v>2728</v>
      </c>
      <c r="L386" s="141" t="s">
        <v>15</v>
      </c>
      <c r="M386" s="193">
        <v>46042</v>
      </c>
      <c r="N386" s="194" t="s">
        <v>4</v>
      </c>
      <c r="O386" s="141" t="s">
        <v>158</v>
      </c>
      <c r="P386" s="117" t="s">
        <v>211</v>
      </c>
      <c r="Q386" s="407">
        <v>46038</v>
      </c>
      <c r="R386" s="40" t="s">
        <v>445</v>
      </c>
      <c r="S386" s="208" t="s">
        <v>2738</v>
      </c>
      <c r="T386" s="357"/>
      <c r="U386" s="84"/>
      <c r="V386" s="84"/>
      <c r="W386" s="84"/>
      <c r="X386" s="84"/>
      <c r="Y386" s="84"/>
      <c r="Z386" s="84"/>
      <c r="AA386" s="15"/>
      <c r="AB386" s="15"/>
      <c r="AC386" s="15"/>
      <c r="AD386" s="15"/>
      <c r="AE386" s="15"/>
      <c r="AF386" s="15"/>
      <c r="AG386" s="15"/>
    </row>
    <row r="387" spans="1:33" ht="15.75" customHeight="1" x14ac:dyDescent="0.3">
      <c r="A387" s="15"/>
      <c r="B387" s="15"/>
      <c r="C387" s="130">
        <f t="shared" ca="1" si="7"/>
        <v>369</v>
      </c>
      <c r="D387" s="636"/>
      <c r="E387" s="636"/>
      <c r="F387" s="567" t="s">
        <v>459</v>
      </c>
      <c r="G387" s="219" t="s">
        <v>448</v>
      </c>
      <c r="H387" s="243"/>
      <c r="I387" s="172" t="s">
        <v>2739</v>
      </c>
      <c r="J387" s="172" t="s">
        <v>365</v>
      </c>
      <c r="K387" s="245" t="s">
        <v>2731</v>
      </c>
      <c r="L387" s="141" t="s">
        <v>15</v>
      </c>
      <c r="M387" s="193">
        <v>46042</v>
      </c>
      <c r="N387" s="194" t="s">
        <v>4</v>
      </c>
      <c r="O387" s="141" t="s">
        <v>15</v>
      </c>
      <c r="P387" s="117"/>
      <c r="Q387" s="407">
        <v>46038</v>
      </c>
      <c r="R387" s="40" t="s">
        <v>445</v>
      </c>
      <c r="S387" s="208"/>
      <c r="T387" s="357"/>
      <c r="U387" s="84"/>
      <c r="V387" s="84"/>
      <c r="W387" s="84"/>
      <c r="X387" s="84"/>
      <c r="Y387" s="84"/>
      <c r="Z387" s="84"/>
      <c r="AA387" s="15"/>
      <c r="AB387" s="15"/>
      <c r="AC387" s="15"/>
      <c r="AD387" s="15"/>
      <c r="AE387" s="15"/>
      <c r="AF387" s="15"/>
      <c r="AG387" s="15"/>
    </row>
    <row r="388" spans="1:33" ht="15.75" customHeight="1" x14ac:dyDescent="0.3">
      <c r="A388" s="15"/>
      <c r="B388" s="15"/>
      <c r="C388" s="130">
        <f t="shared" ca="1" si="7"/>
        <v>370</v>
      </c>
      <c r="D388" s="635"/>
      <c r="E388" s="635"/>
      <c r="F388" s="567" t="s">
        <v>459</v>
      </c>
      <c r="G388" s="219" t="s">
        <v>448</v>
      </c>
      <c r="H388" s="243"/>
      <c r="I388" s="172" t="s">
        <v>2740</v>
      </c>
      <c r="J388" s="172" t="s">
        <v>365</v>
      </c>
      <c r="K388" s="245" t="s">
        <v>2733</v>
      </c>
      <c r="L388" s="141" t="s">
        <v>15</v>
      </c>
      <c r="M388" s="193">
        <v>46042</v>
      </c>
      <c r="N388" s="194" t="s">
        <v>4</v>
      </c>
      <c r="O388" s="141" t="s">
        <v>15</v>
      </c>
      <c r="P388" s="117"/>
      <c r="Q388" s="407">
        <v>46038</v>
      </c>
      <c r="R388" s="40" t="s">
        <v>445</v>
      </c>
      <c r="S388" s="208"/>
      <c r="T388" s="357"/>
      <c r="U388" s="84"/>
      <c r="V388" s="84"/>
      <c r="W388" s="84"/>
      <c r="X388" s="84"/>
      <c r="Y388" s="84"/>
      <c r="Z388" s="84"/>
      <c r="AA388" s="15"/>
      <c r="AB388" s="15"/>
      <c r="AC388" s="15"/>
      <c r="AD388" s="15"/>
      <c r="AE388" s="15"/>
      <c r="AF388" s="15"/>
      <c r="AG388" s="15"/>
    </row>
    <row r="389" spans="1:33" ht="15.75" customHeight="1" x14ac:dyDescent="0.3">
      <c r="A389" s="15"/>
      <c r="B389" s="15"/>
      <c r="C389" s="130">
        <f t="shared" ca="1" si="7"/>
        <v>371</v>
      </c>
      <c r="D389" s="658" t="s">
        <v>340</v>
      </c>
      <c r="E389" s="251" t="s">
        <v>257</v>
      </c>
      <c r="F389" s="567" t="s">
        <v>457</v>
      </c>
      <c r="G389" s="219" t="s">
        <v>448</v>
      </c>
      <c r="H389" s="243"/>
      <c r="I389" s="172"/>
      <c r="J389" s="172" t="s">
        <v>261</v>
      </c>
      <c r="K389" s="245" t="s">
        <v>2741</v>
      </c>
      <c r="L389" s="141" t="s">
        <v>15</v>
      </c>
      <c r="M389" s="193">
        <v>46042</v>
      </c>
      <c r="N389" s="194" t="s">
        <v>4</v>
      </c>
      <c r="O389" s="141" t="s">
        <v>15</v>
      </c>
      <c r="P389" s="117"/>
      <c r="Q389" s="407">
        <v>46038</v>
      </c>
      <c r="R389" s="40" t="s">
        <v>445</v>
      </c>
      <c r="S389" s="208"/>
      <c r="T389" s="357"/>
      <c r="U389" s="84"/>
      <c r="V389" s="84"/>
      <c r="W389" s="84"/>
      <c r="X389" s="84"/>
      <c r="Y389" s="84"/>
      <c r="Z389" s="84"/>
      <c r="AA389" s="15"/>
      <c r="AB389" s="15"/>
      <c r="AC389" s="15"/>
      <c r="AD389" s="15"/>
      <c r="AE389" s="15"/>
      <c r="AF389" s="15"/>
      <c r="AG389" s="15"/>
    </row>
    <row r="390" spans="1:33" ht="15.75" customHeight="1" x14ac:dyDescent="0.3">
      <c r="A390" s="15"/>
      <c r="B390" s="15"/>
      <c r="C390" s="130">
        <f t="shared" ca="1" si="7"/>
        <v>372</v>
      </c>
      <c r="D390" s="636"/>
      <c r="E390" s="665" t="s">
        <v>237</v>
      </c>
      <c r="F390" s="567" t="s">
        <v>459</v>
      </c>
      <c r="G390" s="219" t="s">
        <v>448</v>
      </c>
      <c r="H390" s="243"/>
      <c r="I390" s="213" t="s">
        <v>364</v>
      </c>
      <c r="J390" s="172" t="s">
        <v>365</v>
      </c>
      <c r="K390" s="245" t="s">
        <v>2742</v>
      </c>
      <c r="L390" s="141" t="s">
        <v>15</v>
      </c>
      <c r="M390" s="193">
        <v>46042</v>
      </c>
      <c r="N390" s="194" t="s">
        <v>4</v>
      </c>
      <c r="O390" s="141" t="s">
        <v>15</v>
      </c>
      <c r="P390" s="117"/>
      <c r="Q390" s="407">
        <v>46038</v>
      </c>
      <c r="R390" s="40" t="s">
        <v>445</v>
      </c>
      <c r="S390" s="208"/>
      <c r="T390" s="357"/>
      <c r="U390" s="84"/>
      <c r="V390" s="84"/>
      <c r="W390" s="84"/>
      <c r="X390" s="84"/>
      <c r="Y390" s="84"/>
      <c r="Z390" s="84"/>
      <c r="AA390" s="15"/>
      <c r="AB390" s="15"/>
      <c r="AC390" s="15"/>
      <c r="AD390" s="15"/>
      <c r="AE390" s="15"/>
      <c r="AF390" s="15"/>
      <c r="AG390" s="15"/>
    </row>
    <row r="391" spans="1:33" ht="15.75" customHeight="1" x14ac:dyDescent="0.3">
      <c r="A391" s="15"/>
      <c r="B391" s="15"/>
      <c r="C391" s="130">
        <f t="shared" ca="1" si="7"/>
        <v>373</v>
      </c>
      <c r="D391" s="636"/>
      <c r="E391" s="636"/>
      <c r="F391" s="567" t="s">
        <v>459</v>
      </c>
      <c r="G391" s="219" t="s">
        <v>448</v>
      </c>
      <c r="H391" s="243"/>
      <c r="I391" s="172" t="s">
        <v>2743</v>
      </c>
      <c r="J391" s="172" t="s">
        <v>365</v>
      </c>
      <c r="K391" s="245" t="s">
        <v>2590</v>
      </c>
      <c r="L391" s="141" t="s">
        <v>15</v>
      </c>
      <c r="M391" s="193">
        <v>46042</v>
      </c>
      <c r="N391" s="194" t="s">
        <v>4</v>
      </c>
      <c r="O391" s="141" t="s">
        <v>158</v>
      </c>
      <c r="P391" s="117" t="s">
        <v>211</v>
      </c>
      <c r="Q391" s="407">
        <v>46038</v>
      </c>
      <c r="R391" s="40" t="s">
        <v>445</v>
      </c>
      <c r="S391" s="208" t="s">
        <v>2744</v>
      </c>
      <c r="T391" s="357"/>
      <c r="U391" s="84"/>
      <c r="V391" s="84"/>
      <c r="W391" s="84"/>
      <c r="X391" s="84"/>
      <c r="Y391" s="84"/>
      <c r="Z391" s="84"/>
      <c r="AA391" s="15"/>
      <c r="AB391" s="15"/>
      <c r="AC391" s="15"/>
      <c r="AD391" s="15"/>
      <c r="AE391" s="15"/>
      <c r="AF391" s="15"/>
      <c r="AG391" s="15"/>
    </row>
    <row r="392" spans="1:33" ht="15.75" customHeight="1" x14ac:dyDescent="0.3">
      <c r="A392" s="15"/>
      <c r="B392" s="15"/>
      <c r="C392" s="130">
        <f t="shared" ca="1" si="7"/>
        <v>374</v>
      </c>
      <c r="D392" s="636"/>
      <c r="E392" s="636"/>
      <c r="F392" s="567" t="s">
        <v>459</v>
      </c>
      <c r="G392" s="219" t="s">
        <v>448</v>
      </c>
      <c r="H392" s="243"/>
      <c r="I392" s="172" t="s">
        <v>2745</v>
      </c>
      <c r="J392" s="172" t="s">
        <v>365</v>
      </c>
      <c r="K392" s="245" t="s">
        <v>2746</v>
      </c>
      <c r="L392" s="141" t="s">
        <v>15</v>
      </c>
      <c r="M392" s="193">
        <v>46042</v>
      </c>
      <c r="N392" s="194" t="s">
        <v>4</v>
      </c>
      <c r="O392" s="141" t="s">
        <v>15</v>
      </c>
      <c r="P392" s="117"/>
      <c r="Q392" s="407">
        <v>46038</v>
      </c>
      <c r="R392" s="40" t="s">
        <v>445</v>
      </c>
      <c r="S392" s="208"/>
      <c r="T392" s="357"/>
      <c r="U392" s="84"/>
      <c r="V392" s="84"/>
      <c r="W392" s="84"/>
      <c r="X392" s="84"/>
      <c r="Y392" s="84"/>
      <c r="Z392" s="84"/>
      <c r="AA392" s="15"/>
      <c r="AB392" s="15"/>
      <c r="AC392" s="15"/>
      <c r="AD392" s="15"/>
      <c r="AE392" s="15"/>
      <c r="AF392" s="15"/>
      <c r="AG392" s="15"/>
    </row>
    <row r="393" spans="1:33" ht="15.75" customHeight="1" x14ac:dyDescent="0.3">
      <c r="A393" s="15"/>
      <c r="B393" s="15"/>
      <c r="C393" s="130">
        <f t="shared" ca="1" si="7"/>
        <v>375</v>
      </c>
      <c r="D393" s="636"/>
      <c r="E393" s="636"/>
      <c r="F393" s="567" t="s">
        <v>459</v>
      </c>
      <c r="G393" s="219" t="s">
        <v>448</v>
      </c>
      <c r="H393" s="243"/>
      <c r="I393" s="172" t="s">
        <v>2747</v>
      </c>
      <c r="J393" s="172" t="s">
        <v>365</v>
      </c>
      <c r="K393" s="245" t="s">
        <v>2748</v>
      </c>
      <c r="L393" s="141" t="s">
        <v>15</v>
      </c>
      <c r="M393" s="193">
        <v>46042</v>
      </c>
      <c r="N393" s="194" t="s">
        <v>4</v>
      </c>
      <c r="O393" s="141" t="s">
        <v>158</v>
      </c>
      <c r="P393" s="117" t="s">
        <v>211</v>
      </c>
      <c r="Q393" s="407">
        <v>46038</v>
      </c>
      <c r="R393" s="40" t="s">
        <v>445</v>
      </c>
      <c r="S393" s="208" t="s">
        <v>2749</v>
      </c>
      <c r="T393" s="357"/>
      <c r="U393" s="84"/>
      <c r="V393" s="84"/>
      <c r="W393" s="84"/>
      <c r="X393" s="84"/>
      <c r="Y393" s="84"/>
      <c r="Z393" s="84"/>
      <c r="AA393" s="15"/>
      <c r="AB393" s="15"/>
      <c r="AC393" s="15"/>
      <c r="AD393" s="15"/>
      <c r="AE393" s="15"/>
      <c r="AF393" s="15"/>
      <c r="AG393" s="15"/>
    </row>
    <row r="394" spans="1:33" ht="15.75" customHeight="1" x14ac:dyDescent="0.3">
      <c r="A394" s="15"/>
      <c r="B394" s="15"/>
      <c r="C394" s="130">
        <f t="shared" ca="1" si="7"/>
        <v>376</v>
      </c>
      <c r="D394" s="636"/>
      <c r="E394" s="636"/>
      <c r="F394" s="567" t="s">
        <v>459</v>
      </c>
      <c r="G394" s="219" t="s">
        <v>448</v>
      </c>
      <c r="H394" s="243"/>
      <c r="I394" s="172" t="s">
        <v>2750</v>
      </c>
      <c r="J394" s="172" t="s">
        <v>365</v>
      </c>
      <c r="K394" s="245" t="s">
        <v>2751</v>
      </c>
      <c r="L394" s="141" t="s">
        <v>15</v>
      </c>
      <c r="M394" s="193">
        <v>46042</v>
      </c>
      <c r="N394" s="194" t="s">
        <v>4</v>
      </c>
      <c r="O394" s="141" t="s">
        <v>15</v>
      </c>
      <c r="P394" s="117"/>
      <c r="Q394" s="407">
        <v>46038</v>
      </c>
      <c r="R394" s="40" t="s">
        <v>445</v>
      </c>
      <c r="S394" s="208"/>
      <c r="T394" s="357"/>
      <c r="U394" s="84"/>
      <c r="V394" s="84"/>
      <c r="W394" s="84"/>
      <c r="X394" s="84"/>
      <c r="Y394" s="84"/>
      <c r="Z394" s="84"/>
      <c r="AA394" s="15"/>
      <c r="AB394" s="15"/>
      <c r="AC394" s="15"/>
      <c r="AD394" s="15"/>
      <c r="AE394" s="15"/>
      <c r="AF394" s="15"/>
      <c r="AG394" s="15"/>
    </row>
    <row r="395" spans="1:33" ht="15.75" customHeight="1" x14ac:dyDescent="0.3">
      <c r="A395" s="15"/>
      <c r="B395" s="15"/>
      <c r="C395" s="130">
        <f t="shared" ca="1" si="7"/>
        <v>377</v>
      </c>
      <c r="D395" s="636"/>
      <c r="E395" s="636"/>
      <c r="F395" s="567" t="s">
        <v>459</v>
      </c>
      <c r="G395" s="219" t="s">
        <v>448</v>
      </c>
      <c r="H395" s="243"/>
      <c r="I395" s="172" t="s">
        <v>2752</v>
      </c>
      <c r="J395" s="172" t="s">
        <v>365</v>
      </c>
      <c r="K395" s="245" t="s">
        <v>2753</v>
      </c>
      <c r="L395" s="141" t="s">
        <v>15</v>
      </c>
      <c r="M395" s="193">
        <v>46042</v>
      </c>
      <c r="N395" s="194" t="s">
        <v>4</v>
      </c>
      <c r="O395" s="141" t="s">
        <v>15</v>
      </c>
      <c r="P395" s="117"/>
      <c r="Q395" s="407">
        <v>46038</v>
      </c>
      <c r="R395" s="40" t="s">
        <v>445</v>
      </c>
      <c r="S395" s="208"/>
      <c r="T395" s="357"/>
      <c r="U395" s="84"/>
      <c r="V395" s="84"/>
      <c r="W395" s="84"/>
      <c r="X395" s="84"/>
      <c r="Y395" s="84"/>
      <c r="Z395" s="84"/>
      <c r="AA395" s="15"/>
      <c r="AB395" s="15"/>
      <c r="AC395" s="15"/>
      <c r="AD395" s="15"/>
      <c r="AE395" s="15"/>
      <c r="AF395" s="15"/>
      <c r="AG395" s="15"/>
    </row>
    <row r="396" spans="1:33" ht="15.75" customHeight="1" x14ac:dyDescent="0.3">
      <c r="A396" s="15"/>
      <c r="B396" s="15"/>
      <c r="C396" s="130">
        <f t="shared" ca="1" si="7"/>
        <v>378</v>
      </c>
      <c r="D396" s="636"/>
      <c r="E396" s="636"/>
      <c r="F396" s="567" t="s">
        <v>459</v>
      </c>
      <c r="G396" s="219" t="s">
        <v>455</v>
      </c>
      <c r="H396" s="243"/>
      <c r="I396" s="210"/>
      <c r="J396" s="172" t="s">
        <v>310</v>
      </c>
      <c r="K396" s="226" t="s">
        <v>371</v>
      </c>
      <c r="L396" s="141" t="s">
        <v>15</v>
      </c>
      <c r="M396" s="193">
        <v>46042</v>
      </c>
      <c r="N396" s="194" t="s">
        <v>4</v>
      </c>
      <c r="O396" s="141" t="s">
        <v>15</v>
      </c>
      <c r="P396" s="117"/>
      <c r="Q396" s="407">
        <v>46038</v>
      </c>
      <c r="R396" s="40" t="s">
        <v>445</v>
      </c>
      <c r="S396" s="208"/>
      <c r="T396" s="357"/>
      <c r="U396" s="84"/>
      <c r="V396" s="84"/>
      <c r="W396" s="84"/>
      <c r="X396" s="84"/>
      <c r="Y396" s="84"/>
      <c r="Z396" s="84"/>
      <c r="AA396" s="15"/>
      <c r="AB396" s="15"/>
      <c r="AC396" s="15"/>
      <c r="AD396" s="15"/>
      <c r="AE396" s="15"/>
      <c r="AF396" s="15"/>
      <c r="AG396" s="15"/>
    </row>
    <row r="397" spans="1:33" ht="15.75" customHeight="1" x14ac:dyDescent="0.3">
      <c r="A397" s="15"/>
      <c r="B397" s="15"/>
      <c r="C397" s="130">
        <f t="shared" ca="1" si="7"/>
        <v>379</v>
      </c>
      <c r="D397" s="636"/>
      <c r="E397" s="636"/>
      <c r="F397" s="567" t="s">
        <v>459</v>
      </c>
      <c r="G397" s="219" t="s">
        <v>448</v>
      </c>
      <c r="H397" s="243"/>
      <c r="I397" s="657" t="s">
        <v>372</v>
      </c>
      <c r="J397" s="172" t="s">
        <v>311</v>
      </c>
      <c r="K397" s="245" t="s">
        <v>373</v>
      </c>
      <c r="L397" s="141" t="s">
        <v>15</v>
      </c>
      <c r="M397" s="193">
        <v>46042</v>
      </c>
      <c r="N397" s="194" t="s">
        <v>4</v>
      </c>
      <c r="O397" s="141" t="s">
        <v>15</v>
      </c>
      <c r="P397" s="117"/>
      <c r="Q397" s="407">
        <v>46038</v>
      </c>
      <c r="R397" s="40" t="s">
        <v>445</v>
      </c>
      <c r="S397" s="208"/>
      <c r="T397" s="357"/>
      <c r="U397" s="84"/>
      <c r="V397" s="84"/>
      <c r="W397" s="84"/>
      <c r="X397" s="84"/>
      <c r="Y397" s="84"/>
      <c r="Z397" s="84"/>
      <c r="AA397" s="15"/>
      <c r="AB397" s="15"/>
      <c r="AC397" s="15"/>
      <c r="AD397" s="15"/>
      <c r="AE397" s="15"/>
      <c r="AF397" s="15"/>
      <c r="AG397" s="15"/>
    </row>
    <row r="398" spans="1:33" ht="15.75" customHeight="1" x14ac:dyDescent="0.3">
      <c r="A398" s="15"/>
      <c r="B398" s="15"/>
      <c r="C398" s="130">
        <f t="shared" ca="1" si="7"/>
        <v>380</v>
      </c>
      <c r="D398" s="636"/>
      <c r="E398" s="636"/>
      <c r="F398" s="567" t="s">
        <v>459</v>
      </c>
      <c r="G398" s="219" t="s">
        <v>448</v>
      </c>
      <c r="H398" s="243"/>
      <c r="I398" s="606"/>
      <c r="J398" s="172" t="s">
        <v>313</v>
      </c>
      <c r="K398" s="245" t="s">
        <v>2599</v>
      </c>
      <c r="L398" s="141" t="s">
        <v>15</v>
      </c>
      <c r="M398" s="193">
        <v>46042</v>
      </c>
      <c r="N398" s="194" t="s">
        <v>4</v>
      </c>
      <c r="O398" s="141" t="s">
        <v>15</v>
      </c>
      <c r="P398" s="117"/>
      <c r="Q398" s="407">
        <v>46038</v>
      </c>
      <c r="R398" s="40" t="s">
        <v>445</v>
      </c>
      <c r="S398" s="208"/>
      <c r="T398" s="357"/>
      <c r="U398" s="84"/>
      <c r="V398" s="84"/>
      <c r="W398" s="84"/>
      <c r="X398" s="84"/>
      <c r="Y398" s="84"/>
      <c r="Z398" s="84"/>
      <c r="AA398" s="15"/>
      <c r="AB398" s="15"/>
      <c r="AC398" s="15"/>
      <c r="AD398" s="15"/>
      <c r="AE398" s="15"/>
      <c r="AF398" s="15"/>
      <c r="AG398" s="15"/>
    </row>
    <row r="399" spans="1:33" ht="15.75" customHeight="1" x14ac:dyDescent="0.3">
      <c r="A399" s="15"/>
      <c r="B399" s="15"/>
      <c r="C399" s="130">
        <f t="shared" ca="1" si="7"/>
        <v>381</v>
      </c>
      <c r="D399" s="636"/>
      <c r="E399" s="636"/>
      <c r="F399" s="567" t="s">
        <v>459</v>
      </c>
      <c r="G399" s="219" t="s">
        <v>455</v>
      </c>
      <c r="H399" s="243"/>
      <c r="I399" s="608"/>
      <c r="J399" s="172" t="s">
        <v>375</v>
      </c>
      <c r="K399" s="226" t="s">
        <v>371</v>
      </c>
      <c r="L399" s="141" t="s">
        <v>15</v>
      </c>
      <c r="M399" s="193">
        <v>46042</v>
      </c>
      <c r="N399" s="194" t="s">
        <v>4</v>
      </c>
      <c r="O399" s="141" t="s">
        <v>15</v>
      </c>
      <c r="P399" s="117"/>
      <c r="Q399" s="407">
        <v>46038</v>
      </c>
      <c r="R399" s="40" t="s">
        <v>445</v>
      </c>
      <c r="S399" s="208"/>
      <c r="T399" s="357"/>
      <c r="U399" s="84"/>
      <c r="V399" s="84"/>
      <c r="W399" s="84"/>
      <c r="X399" s="84"/>
      <c r="Y399" s="84"/>
      <c r="Z399" s="84"/>
      <c r="AA399" s="15"/>
      <c r="AB399" s="15"/>
      <c r="AC399" s="15"/>
      <c r="AD399" s="15"/>
      <c r="AE399" s="15"/>
      <c r="AF399" s="15"/>
      <c r="AG399" s="15"/>
    </row>
    <row r="400" spans="1:33" ht="15.75" customHeight="1" x14ac:dyDescent="0.3">
      <c r="A400" s="15"/>
      <c r="B400" s="15"/>
      <c r="C400" s="130">
        <f t="shared" ca="1" si="7"/>
        <v>382</v>
      </c>
      <c r="D400" s="636"/>
      <c r="E400" s="636"/>
      <c r="F400" s="567" t="s">
        <v>459</v>
      </c>
      <c r="G400" s="219" t="s">
        <v>448</v>
      </c>
      <c r="H400" s="243"/>
      <c r="I400" s="172" t="s">
        <v>2754</v>
      </c>
      <c r="J400" s="172" t="s">
        <v>365</v>
      </c>
      <c r="K400" s="245" t="s">
        <v>2590</v>
      </c>
      <c r="L400" s="141" t="s">
        <v>15</v>
      </c>
      <c r="M400" s="193">
        <v>46042</v>
      </c>
      <c r="N400" s="194" t="s">
        <v>4</v>
      </c>
      <c r="O400" s="141" t="s">
        <v>158</v>
      </c>
      <c r="P400" s="117" t="s">
        <v>211</v>
      </c>
      <c r="Q400" s="407">
        <v>46038</v>
      </c>
      <c r="R400" s="40" t="s">
        <v>445</v>
      </c>
      <c r="S400" s="208" t="s">
        <v>2755</v>
      </c>
      <c r="T400" s="357"/>
      <c r="U400" s="84"/>
      <c r="V400" s="84"/>
      <c r="W400" s="84"/>
      <c r="X400" s="84"/>
      <c r="Y400" s="84"/>
      <c r="Z400" s="84"/>
      <c r="AA400" s="15"/>
      <c r="AB400" s="15"/>
      <c r="AC400" s="15"/>
      <c r="AD400" s="15"/>
      <c r="AE400" s="15"/>
      <c r="AF400" s="15"/>
      <c r="AG400" s="15"/>
    </row>
    <row r="401" spans="1:33" ht="15.75" customHeight="1" x14ac:dyDescent="0.3">
      <c r="A401" s="15"/>
      <c r="B401" s="15"/>
      <c r="C401" s="130">
        <f t="shared" ca="1" si="7"/>
        <v>383</v>
      </c>
      <c r="D401" s="636"/>
      <c r="E401" s="636"/>
      <c r="F401" s="567" t="s">
        <v>459</v>
      </c>
      <c r="G401" s="219" t="s">
        <v>448</v>
      </c>
      <c r="H401" s="243"/>
      <c r="I401" s="172" t="s">
        <v>2756</v>
      </c>
      <c r="J401" s="172" t="s">
        <v>365</v>
      </c>
      <c r="K401" s="245" t="s">
        <v>2746</v>
      </c>
      <c r="L401" s="141" t="s">
        <v>15</v>
      </c>
      <c r="M401" s="193">
        <v>46042</v>
      </c>
      <c r="N401" s="194" t="s">
        <v>4</v>
      </c>
      <c r="O401" s="141" t="s">
        <v>15</v>
      </c>
      <c r="P401" s="117"/>
      <c r="Q401" s="407">
        <v>46038</v>
      </c>
      <c r="R401" s="40" t="s">
        <v>445</v>
      </c>
      <c r="S401" s="208"/>
      <c r="T401" s="357"/>
      <c r="U401" s="84"/>
      <c r="V401" s="84"/>
      <c r="W401" s="84"/>
      <c r="X401" s="84"/>
      <c r="Y401" s="84"/>
      <c r="Z401" s="84"/>
      <c r="AA401" s="15"/>
      <c r="AB401" s="15"/>
      <c r="AC401" s="15"/>
      <c r="AD401" s="15"/>
      <c r="AE401" s="15"/>
      <c r="AF401" s="15"/>
      <c r="AG401" s="15"/>
    </row>
    <row r="402" spans="1:33" ht="15.75" customHeight="1" x14ac:dyDescent="0.3">
      <c r="A402" s="16"/>
      <c r="B402" s="16"/>
      <c r="C402" s="130">
        <f t="shared" ca="1" si="7"/>
        <v>384</v>
      </c>
      <c r="D402" s="636"/>
      <c r="E402" s="636"/>
      <c r="F402" s="567" t="s">
        <v>459</v>
      </c>
      <c r="G402" s="219" t="s">
        <v>448</v>
      </c>
      <c r="H402" s="243"/>
      <c r="I402" s="172" t="s">
        <v>2757</v>
      </c>
      <c r="J402" s="172" t="s">
        <v>365</v>
      </c>
      <c r="K402" s="245" t="s">
        <v>2748</v>
      </c>
      <c r="L402" s="141" t="s">
        <v>15</v>
      </c>
      <c r="M402" s="193">
        <v>46042</v>
      </c>
      <c r="N402" s="194" t="s">
        <v>4</v>
      </c>
      <c r="O402" s="141" t="s">
        <v>158</v>
      </c>
      <c r="P402" s="117" t="s">
        <v>211</v>
      </c>
      <c r="Q402" s="407">
        <v>46038</v>
      </c>
      <c r="R402" s="40" t="s">
        <v>445</v>
      </c>
      <c r="S402" s="208" t="s">
        <v>2758</v>
      </c>
      <c r="T402" s="357"/>
      <c r="U402" s="84"/>
      <c r="V402" s="84"/>
      <c r="W402" s="84"/>
      <c r="X402" s="84"/>
      <c r="Y402" s="84"/>
      <c r="Z402" s="84"/>
      <c r="AA402" s="297"/>
      <c r="AB402" s="297"/>
      <c r="AC402" s="297"/>
      <c r="AD402" s="297"/>
      <c r="AE402" s="297"/>
      <c r="AF402" s="297"/>
      <c r="AG402" s="297"/>
    </row>
    <row r="403" spans="1:33" ht="15.75" customHeight="1" x14ac:dyDescent="0.3">
      <c r="A403" s="16"/>
      <c r="B403" s="16"/>
      <c r="C403" s="130">
        <f t="shared" ca="1" si="7"/>
        <v>385</v>
      </c>
      <c r="D403" s="636"/>
      <c r="E403" s="636"/>
      <c r="F403" s="567" t="s">
        <v>459</v>
      </c>
      <c r="G403" s="219" t="s">
        <v>448</v>
      </c>
      <c r="H403" s="243"/>
      <c r="I403" s="172" t="s">
        <v>2759</v>
      </c>
      <c r="J403" s="172" t="s">
        <v>365</v>
      </c>
      <c r="K403" s="245" t="s">
        <v>2751</v>
      </c>
      <c r="L403" s="141" t="s">
        <v>15</v>
      </c>
      <c r="M403" s="193">
        <v>46042</v>
      </c>
      <c r="N403" s="194" t="s">
        <v>4</v>
      </c>
      <c r="O403" s="141" t="s">
        <v>15</v>
      </c>
      <c r="P403" s="117"/>
      <c r="Q403" s="407">
        <v>46038</v>
      </c>
      <c r="R403" s="40" t="s">
        <v>445</v>
      </c>
      <c r="S403" s="208"/>
      <c r="T403" s="357"/>
      <c r="U403" s="84"/>
      <c r="V403" s="84"/>
      <c r="W403" s="84"/>
      <c r="X403" s="84"/>
      <c r="Y403" s="84"/>
      <c r="Z403" s="84"/>
      <c r="AA403" s="16"/>
      <c r="AB403" s="16"/>
      <c r="AC403" s="16"/>
      <c r="AD403" s="16"/>
      <c r="AE403" s="16"/>
      <c r="AF403" s="16"/>
      <c r="AG403" s="16"/>
    </row>
    <row r="404" spans="1:33" ht="15.75" customHeight="1" x14ac:dyDescent="0.3">
      <c r="A404" s="16"/>
      <c r="B404" s="16"/>
      <c r="C404" s="130">
        <f t="shared" ca="1" si="7"/>
        <v>386</v>
      </c>
      <c r="D404" s="635"/>
      <c r="E404" s="635"/>
      <c r="F404" s="567" t="s">
        <v>459</v>
      </c>
      <c r="G404" s="219" t="s">
        <v>448</v>
      </c>
      <c r="H404" s="243"/>
      <c r="I404" s="172" t="s">
        <v>2760</v>
      </c>
      <c r="J404" s="172" t="s">
        <v>365</v>
      </c>
      <c r="K404" s="245" t="s">
        <v>2753</v>
      </c>
      <c r="L404" s="141" t="s">
        <v>15</v>
      </c>
      <c r="M404" s="193">
        <v>46042</v>
      </c>
      <c r="N404" s="194" t="s">
        <v>4</v>
      </c>
      <c r="O404" s="141" t="s">
        <v>15</v>
      </c>
      <c r="P404" s="117"/>
      <c r="Q404" s="407">
        <v>46038</v>
      </c>
      <c r="R404" s="40" t="s">
        <v>445</v>
      </c>
      <c r="S404" s="208"/>
      <c r="T404" s="357"/>
      <c r="U404" s="84"/>
      <c r="V404" s="84"/>
      <c r="W404" s="84"/>
      <c r="X404" s="84"/>
      <c r="Y404" s="84"/>
      <c r="Z404" s="84"/>
      <c r="AA404" s="16"/>
      <c r="AB404" s="16"/>
      <c r="AC404" s="16"/>
      <c r="AD404" s="16"/>
      <c r="AE404" s="16"/>
      <c r="AF404" s="16"/>
      <c r="AG404" s="16"/>
    </row>
    <row r="405" spans="1:33" ht="15.75" customHeight="1" x14ac:dyDescent="0.3">
      <c r="A405" s="16"/>
      <c r="B405" s="16"/>
      <c r="C405" s="130">
        <f t="shared" ca="1" si="7"/>
        <v>387</v>
      </c>
      <c r="D405" s="658" t="s">
        <v>341</v>
      </c>
      <c r="E405" s="251" t="s">
        <v>257</v>
      </c>
      <c r="F405" s="567" t="s">
        <v>457</v>
      </c>
      <c r="G405" s="219" t="s">
        <v>448</v>
      </c>
      <c r="H405" s="243"/>
      <c r="I405" s="172"/>
      <c r="J405" s="172" t="s">
        <v>261</v>
      </c>
      <c r="K405" s="245" t="s">
        <v>2761</v>
      </c>
      <c r="L405" s="141" t="s">
        <v>15</v>
      </c>
      <c r="M405" s="193">
        <v>46042</v>
      </c>
      <c r="N405" s="194" t="s">
        <v>4</v>
      </c>
      <c r="O405" s="141" t="s">
        <v>15</v>
      </c>
      <c r="P405" s="117"/>
      <c r="Q405" s="407">
        <v>46038</v>
      </c>
      <c r="R405" s="40" t="s">
        <v>445</v>
      </c>
      <c r="S405" s="208"/>
      <c r="T405" s="357"/>
      <c r="U405" s="84"/>
      <c r="V405" s="84"/>
      <c r="W405" s="84"/>
      <c r="X405" s="84"/>
      <c r="Y405" s="84"/>
      <c r="Z405" s="84"/>
      <c r="AA405" s="16"/>
      <c r="AB405" s="16"/>
      <c r="AC405" s="16"/>
      <c r="AD405" s="16"/>
      <c r="AE405" s="16"/>
      <c r="AF405" s="16"/>
      <c r="AG405" s="16"/>
    </row>
    <row r="406" spans="1:33" ht="15.75" customHeight="1" x14ac:dyDescent="0.3">
      <c r="A406" s="16"/>
      <c r="B406" s="16"/>
      <c r="C406" s="130">
        <f t="shared" ca="1" si="7"/>
        <v>388</v>
      </c>
      <c r="D406" s="636"/>
      <c r="E406" s="665" t="s">
        <v>237</v>
      </c>
      <c r="F406" s="567" t="s">
        <v>459</v>
      </c>
      <c r="G406" s="219" t="s">
        <v>448</v>
      </c>
      <c r="H406" s="243"/>
      <c r="I406" s="213" t="s">
        <v>364</v>
      </c>
      <c r="J406" s="172" t="s">
        <v>365</v>
      </c>
      <c r="K406" s="245" t="s">
        <v>2762</v>
      </c>
      <c r="L406" s="141" t="s">
        <v>15</v>
      </c>
      <c r="M406" s="193">
        <v>46042</v>
      </c>
      <c r="N406" s="194" t="s">
        <v>4</v>
      </c>
      <c r="O406" s="141" t="s">
        <v>15</v>
      </c>
      <c r="P406" s="117"/>
      <c r="Q406" s="407">
        <v>46038</v>
      </c>
      <c r="R406" s="40" t="s">
        <v>445</v>
      </c>
      <c r="S406" s="208"/>
      <c r="T406" s="357"/>
      <c r="U406" s="84"/>
      <c r="V406" s="84"/>
      <c r="W406" s="84"/>
      <c r="X406" s="84"/>
      <c r="Y406" s="84"/>
      <c r="Z406" s="84"/>
      <c r="AA406" s="16"/>
      <c r="AB406" s="16"/>
      <c r="AC406" s="16"/>
      <c r="AD406" s="16"/>
      <c r="AE406" s="16"/>
      <c r="AF406" s="16"/>
      <c r="AG406" s="16"/>
    </row>
    <row r="407" spans="1:33" ht="15.75" customHeight="1" x14ac:dyDescent="0.3">
      <c r="A407" s="16"/>
      <c r="B407" s="16"/>
      <c r="C407" s="130">
        <f t="shared" ca="1" si="7"/>
        <v>389</v>
      </c>
      <c r="D407" s="636"/>
      <c r="E407" s="636"/>
      <c r="F407" s="567" t="s">
        <v>459</v>
      </c>
      <c r="G407" s="219" t="s">
        <v>448</v>
      </c>
      <c r="H407" s="243"/>
      <c r="I407" s="172" t="s">
        <v>2763</v>
      </c>
      <c r="J407" s="172" t="s">
        <v>365</v>
      </c>
      <c r="K407" s="245" t="s">
        <v>2590</v>
      </c>
      <c r="L407" s="141" t="s">
        <v>15</v>
      </c>
      <c r="M407" s="193">
        <v>46042</v>
      </c>
      <c r="N407" s="194" t="s">
        <v>4</v>
      </c>
      <c r="O407" s="141" t="s">
        <v>158</v>
      </c>
      <c r="P407" s="117" t="s">
        <v>211</v>
      </c>
      <c r="Q407" s="407">
        <v>46038</v>
      </c>
      <c r="R407" s="40" t="s">
        <v>445</v>
      </c>
      <c r="S407" s="208" t="s">
        <v>2764</v>
      </c>
      <c r="T407" s="357"/>
      <c r="U407" s="84"/>
      <c r="V407" s="84"/>
      <c r="W407" s="84"/>
      <c r="X407" s="84"/>
      <c r="Y407" s="84"/>
      <c r="Z407" s="84"/>
      <c r="AA407" s="16"/>
      <c r="AB407" s="16"/>
      <c r="AC407" s="16"/>
      <c r="AD407" s="16"/>
      <c r="AE407" s="16"/>
      <c r="AF407" s="16"/>
      <c r="AG407" s="16"/>
    </row>
    <row r="408" spans="1:33" ht="15.75" customHeight="1" x14ac:dyDescent="0.3">
      <c r="A408" s="16"/>
      <c r="B408" s="16"/>
      <c r="C408" s="130">
        <f t="shared" ca="1" si="7"/>
        <v>390</v>
      </c>
      <c r="D408" s="636"/>
      <c r="E408" s="636"/>
      <c r="F408" s="567" t="s">
        <v>459</v>
      </c>
      <c r="G408" s="219" t="s">
        <v>448</v>
      </c>
      <c r="H408" s="243"/>
      <c r="I408" s="172" t="s">
        <v>2765</v>
      </c>
      <c r="J408" s="172" t="s">
        <v>365</v>
      </c>
      <c r="K408" s="245" t="s">
        <v>2766</v>
      </c>
      <c r="L408" s="141" t="s">
        <v>15</v>
      </c>
      <c r="M408" s="193">
        <v>46042</v>
      </c>
      <c r="N408" s="194" t="s">
        <v>4</v>
      </c>
      <c r="O408" s="141" t="s">
        <v>15</v>
      </c>
      <c r="P408" s="117"/>
      <c r="Q408" s="407">
        <v>46038</v>
      </c>
      <c r="R408" s="40" t="s">
        <v>445</v>
      </c>
      <c r="S408" s="208"/>
      <c r="T408" s="357"/>
      <c r="U408" s="84"/>
      <c r="V408" s="84"/>
      <c r="W408" s="84"/>
      <c r="X408" s="84"/>
      <c r="Y408" s="84"/>
      <c r="Z408" s="84"/>
      <c r="AA408" s="16"/>
      <c r="AB408" s="16"/>
      <c r="AC408" s="16"/>
      <c r="AD408" s="16"/>
      <c r="AE408" s="16"/>
      <c r="AF408" s="16"/>
      <c r="AG408" s="16"/>
    </row>
    <row r="409" spans="1:33" ht="15.75" customHeight="1" x14ac:dyDescent="0.3">
      <c r="A409" s="16"/>
      <c r="B409" s="16"/>
      <c r="C409" s="130">
        <f t="shared" ca="1" si="7"/>
        <v>391</v>
      </c>
      <c r="D409" s="636"/>
      <c r="E409" s="636"/>
      <c r="F409" s="567" t="s">
        <v>459</v>
      </c>
      <c r="G409" s="219" t="s">
        <v>448</v>
      </c>
      <c r="H409" s="243"/>
      <c r="I409" s="172" t="s">
        <v>2767</v>
      </c>
      <c r="J409" s="172" t="s">
        <v>365</v>
      </c>
      <c r="K409" s="245" t="s">
        <v>2768</v>
      </c>
      <c r="L409" s="141" t="s">
        <v>15</v>
      </c>
      <c r="M409" s="193">
        <v>46042</v>
      </c>
      <c r="N409" s="194" t="s">
        <v>4</v>
      </c>
      <c r="O409" s="141" t="s">
        <v>158</v>
      </c>
      <c r="P409" s="117" t="s">
        <v>211</v>
      </c>
      <c r="Q409" s="407">
        <v>46038</v>
      </c>
      <c r="R409" s="40" t="s">
        <v>445</v>
      </c>
      <c r="S409" s="208" t="s">
        <v>2769</v>
      </c>
      <c r="T409" s="357"/>
      <c r="U409" s="84"/>
      <c r="V409" s="84"/>
      <c r="W409" s="84"/>
      <c r="X409" s="84"/>
      <c r="Y409" s="84"/>
      <c r="Z409" s="84"/>
      <c r="AA409" s="16"/>
      <c r="AB409" s="16"/>
      <c r="AC409" s="16"/>
      <c r="AD409" s="16"/>
      <c r="AE409" s="16"/>
      <c r="AF409" s="16"/>
      <c r="AG409" s="16"/>
    </row>
    <row r="410" spans="1:33" ht="15.75" customHeight="1" x14ac:dyDescent="0.3">
      <c r="A410" s="16"/>
      <c r="B410" s="16"/>
      <c r="C410" s="130">
        <f t="shared" ca="1" si="7"/>
        <v>392</v>
      </c>
      <c r="D410" s="636"/>
      <c r="E410" s="636"/>
      <c r="F410" s="567" t="s">
        <v>459</v>
      </c>
      <c r="G410" s="219" t="s">
        <v>448</v>
      </c>
      <c r="H410" s="243"/>
      <c r="I410" s="172" t="s">
        <v>2770</v>
      </c>
      <c r="J410" s="172" t="s">
        <v>365</v>
      </c>
      <c r="K410" s="245" t="s">
        <v>2771</v>
      </c>
      <c r="L410" s="141" t="s">
        <v>15</v>
      </c>
      <c r="M410" s="193">
        <v>46042</v>
      </c>
      <c r="N410" s="194" t="s">
        <v>4</v>
      </c>
      <c r="O410" s="141" t="s">
        <v>15</v>
      </c>
      <c r="P410" s="117"/>
      <c r="Q410" s="407">
        <v>46038</v>
      </c>
      <c r="R410" s="40" t="s">
        <v>445</v>
      </c>
      <c r="S410" s="208"/>
      <c r="T410" s="357"/>
      <c r="U410" s="84"/>
      <c r="V410" s="84"/>
      <c r="W410" s="84"/>
      <c r="X410" s="84"/>
      <c r="Y410" s="84"/>
      <c r="Z410" s="84"/>
      <c r="AA410" s="16"/>
      <c r="AB410" s="16"/>
      <c r="AC410" s="16"/>
      <c r="AD410" s="16"/>
      <c r="AE410" s="16"/>
      <c r="AF410" s="16"/>
      <c r="AG410" s="16"/>
    </row>
    <row r="411" spans="1:33" ht="15.75" customHeight="1" x14ac:dyDescent="0.3">
      <c r="A411" s="16"/>
      <c r="B411" s="16"/>
      <c r="C411" s="130">
        <f t="shared" ca="1" si="7"/>
        <v>393</v>
      </c>
      <c r="D411" s="636"/>
      <c r="E411" s="636"/>
      <c r="F411" s="567" t="s">
        <v>459</v>
      </c>
      <c r="G411" s="219" t="s">
        <v>448</v>
      </c>
      <c r="H411" s="243"/>
      <c r="I411" s="172" t="s">
        <v>2772</v>
      </c>
      <c r="J411" s="172" t="s">
        <v>365</v>
      </c>
      <c r="K411" s="245" t="s">
        <v>2773</v>
      </c>
      <c r="L411" s="141" t="s">
        <v>15</v>
      </c>
      <c r="M411" s="193">
        <v>46042</v>
      </c>
      <c r="N411" s="194" t="s">
        <v>4</v>
      </c>
      <c r="O411" s="141" t="s">
        <v>15</v>
      </c>
      <c r="P411" s="117"/>
      <c r="Q411" s="407">
        <v>46038</v>
      </c>
      <c r="R411" s="40" t="s">
        <v>445</v>
      </c>
      <c r="S411" s="208"/>
      <c r="T411" s="357"/>
      <c r="U411" s="84"/>
      <c r="V411" s="84"/>
      <c r="W411" s="84"/>
      <c r="X411" s="84"/>
      <c r="Y411" s="84"/>
      <c r="Z411" s="84"/>
      <c r="AA411" s="16"/>
      <c r="AB411" s="16"/>
      <c r="AC411" s="16"/>
      <c r="AD411" s="16"/>
      <c r="AE411" s="16"/>
      <c r="AF411" s="16"/>
      <c r="AG411" s="16"/>
    </row>
    <row r="412" spans="1:33" ht="15.75" customHeight="1" x14ac:dyDescent="0.3">
      <c r="A412" s="16"/>
      <c r="B412" s="16"/>
      <c r="C412" s="130">
        <f t="shared" ca="1" si="7"/>
        <v>394</v>
      </c>
      <c r="D412" s="636"/>
      <c r="E412" s="636"/>
      <c r="F412" s="567" t="s">
        <v>459</v>
      </c>
      <c r="G412" s="219" t="s">
        <v>455</v>
      </c>
      <c r="H412" s="243"/>
      <c r="I412" s="210"/>
      <c r="J412" s="172" t="s">
        <v>310</v>
      </c>
      <c r="K412" s="226" t="s">
        <v>371</v>
      </c>
      <c r="L412" s="141" t="s">
        <v>15</v>
      </c>
      <c r="M412" s="193">
        <v>46042</v>
      </c>
      <c r="N412" s="194" t="s">
        <v>4</v>
      </c>
      <c r="O412" s="141" t="s">
        <v>15</v>
      </c>
      <c r="P412" s="117"/>
      <c r="Q412" s="407">
        <v>46038</v>
      </c>
      <c r="R412" s="40" t="s">
        <v>445</v>
      </c>
      <c r="S412" s="208"/>
      <c r="T412" s="357"/>
      <c r="U412" s="84"/>
      <c r="V412" s="84"/>
      <c r="W412" s="84"/>
      <c r="X412" s="84"/>
      <c r="Y412" s="84"/>
      <c r="Z412" s="84"/>
      <c r="AA412" s="16"/>
      <c r="AB412" s="16"/>
      <c r="AC412" s="16"/>
      <c r="AD412" s="16"/>
      <c r="AE412" s="16"/>
      <c r="AF412" s="16"/>
      <c r="AG412" s="16"/>
    </row>
    <row r="413" spans="1:33" ht="15.75" customHeight="1" x14ac:dyDescent="0.3">
      <c r="A413" s="16"/>
      <c r="B413" s="16"/>
      <c r="C413" s="130">
        <f t="shared" ca="1" si="7"/>
        <v>395</v>
      </c>
      <c r="D413" s="636"/>
      <c r="E413" s="636"/>
      <c r="F413" s="567" t="s">
        <v>459</v>
      </c>
      <c r="G413" s="219" t="s">
        <v>448</v>
      </c>
      <c r="H413" s="243"/>
      <c r="I413" s="213" t="s">
        <v>372</v>
      </c>
      <c r="J413" s="172" t="s">
        <v>311</v>
      </c>
      <c r="K413" s="245" t="s">
        <v>373</v>
      </c>
      <c r="L413" s="141" t="s">
        <v>15</v>
      </c>
      <c r="M413" s="193">
        <v>46042</v>
      </c>
      <c r="N413" s="194" t="s">
        <v>4</v>
      </c>
      <c r="O413" s="141" t="s">
        <v>15</v>
      </c>
      <c r="P413" s="117"/>
      <c r="Q413" s="407">
        <v>46038</v>
      </c>
      <c r="R413" s="40" t="s">
        <v>445</v>
      </c>
      <c r="S413" s="208"/>
      <c r="T413" s="357"/>
      <c r="U413" s="84"/>
      <c r="V413" s="84"/>
      <c r="W413" s="84"/>
      <c r="X413" s="84"/>
      <c r="Y413" s="84"/>
      <c r="Z413" s="84"/>
      <c r="AA413" s="16"/>
      <c r="AB413" s="16"/>
      <c r="AC413" s="16"/>
      <c r="AD413" s="16"/>
      <c r="AE413" s="16"/>
      <c r="AF413" s="16"/>
      <c r="AG413" s="16"/>
    </row>
    <row r="414" spans="1:33" ht="15.75" customHeight="1" x14ac:dyDescent="0.3">
      <c r="A414" s="16"/>
      <c r="B414" s="16"/>
      <c r="C414" s="130">
        <f t="shared" ca="1" si="7"/>
        <v>396</v>
      </c>
      <c r="D414" s="636"/>
      <c r="E414" s="636"/>
      <c r="F414" s="567" t="s">
        <v>459</v>
      </c>
      <c r="G414" s="219" t="s">
        <v>448</v>
      </c>
      <c r="H414" s="243"/>
      <c r="I414" s="569"/>
      <c r="J414" s="172" t="s">
        <v>313</v>
      </c>
      <c r="K414" s="245" t="s">
        <v>2599</v>
      </c>
      <c r="L414" s="141" t="s">
        <v>15</v>
      </c>
      <c r="M414" s="193">
        <v>46042</v>
      </c>
      <c r="N414" s="194" t="s">
        <v>4</v>
      </c>
      <c r="O414" s="141" t="s">
        <v>15</v>
      </c>
      <c r="P414" s="117"/>
      <c r="Q414" s="407">
        <v>46038</v>
      </c>
      <c r="R414" s="40" t="s">
        <v>445</v>
      </c>
      <c r="S414" s="208"/>
      <c r="T414" s="357"/>
      <c r="U414" s="84"/>
      <c r="V414" s="84"/>
      <c r="W414" s="84"/>
      <c r="X414" s="84"/>
      <c r="Y414" s="84"/>
      <c r="Z414" s="84"/>
      <c r="AA414" s="16"/>
      <c r="AB414" s="16"/>
      <c r="AC414" s="16"/>
      <c r="AD414" s="16"/>
      <c r="AE414" s="16"/>
      <c r="AF414" s="16"/>
      <c r="AG414" s="16"/>
    </row>
    <row r="415" spans="1:33" ht="15.75" customHeight="1" x14ac:dyDescent="0.3">
      <c r="A415" s="16"/>
      <c r="B415" s="16"/>
      <c r="C415" s="130">
        <f t="shared" ca="1" si="7"/>
        <v>397</v>
      </c>
      <c r="D415" s="636"/>
      <c r="E415" s="636"/>
      <c r="F415" s="567" t="s">
        <v>459</v>
      </c>
      <c r="G415" s="219" t="s">
        <v>455</v>
      </c>
      <c r="H415" s="243"/>
      <c r="I415" s="210"/>
      <c r="J415" s="172" t="s">
        <v>375</v>
      </c>
      <c r="K415" s="226" t="s">
        <v>371</v>
      </c>
      <c r="L415" s="141" t="s">
        <v>15</v>
      </c>
      <c r="M415" s="193">
        <v>46042</v>
      </c>
      <c r="N415" s="194" t="s">
        <v>4</v>
      </c>
      <c r="O415" s="141" t="s">
        <v>15</v>
      </c>
      <c r="P415" s="117"/>
      <c r="Q415" s="407">
        <v>46038</v>
      </c>
      <c r="R415" s="40" t="s">
        <v>445</v>
      </c>
      <c r="S415" s="208"/>
      <c r="T415" s="357"/>
      <c r="U415" s="84"/>
      <c r="V415" s="84"/>
      <c r="W415" s="84"/>
      <c r="X415" s="84"/>
      <c r="Y415" s="84"/>
      <c r="Z415" s="84"/>
      <c r="AA415" s="16"/>
      <c r="AB415" s="16"/>
      <c r="AC415" s="16"/>
      <c r="AD415" s="16"/>
      <c r="AE415" s="16"/>
      <c r="AF415" s="16"/>
      <c r="AG415" s="16"/>
    </row>
    <row r="416" spans="1:33" ht="15.75" customHeight="1" x14ac:dyDescent="0.3">
      <c r="A416" s="16"/>
      <c r="B416" s="16"/>
      <c r="C416" s="130">
        <f t="shared" ca="1" si="7"/>
        <v>398</v>
      </c>
      <c r="D416" s="636"/>
      <c r="E416" s="636"/>
      <c r="F416" s="567" t="s">
        <v>459</v>
      </c>
      <c r="G416" s="219" t="s">
        <v>448</v>
      </c>
      <c r="H416" s="243"/>
      <c r="I416" s="172" t="s">
        <v>2774</v>
      </c>
      <c r="J416" s="172" t="s">
        <v>365</v>
      </c>
      <c r="K416" s="245" t="s">
        <v>2590</v>
      </c>
      <c r="L416" s="141" t="s">
        <v>15</v>
      </c>
      <c r="M416" s="193">
        <v>46042</v>
      </c>
      <c r="N416" s="194" t="s">
        <v>4</v>
      </c>
      <c r="O416" s="141" t="s">
        <v>158</v>
      </c>
      <c r="P416" s="117" t="s">
        <v>211</v>
      </c>
      <c r="Q416" s="407">
        <v>46038</v>
      </c>
      <c r="R416" s="40" t="s">
        <v>445</v>
      </c>
      <c r="S416" s="208" t="s">
        <v>2775</v>
      </c>
      <c r="T416" s="357"/>
      <c r="U416" s="84"/>
      <c r="V416" s="84"/>
      <c r="W416" s="84"/>
      <c r="X416" s="84"/>
      <c r="Y416" s="84"/>
      <c r="Z416" s="84"/>
      <c r="AA416" s="16"/>
      <c r="AB416" s="16"/>
      <c r="AC416" s="16"/>
      <c r="AD416" s="16"/>
      <c r="AE416" s="16"/>
      <c r="AF416" s="16"/>
      <c r="AG416" s="16"/>
    </row>
    <row r="417" spans="1:33" ht="15.75" customHeight="1" x14ac:dyDescent="0.3">
      <c r="A417" s="16"/>
      <c r="B417" s="16"/>
      <c r="C417" s="130">
        <f t="shared" ca="1" si="7"/>
        <v>399</v>
      </c>
      <c r="D417" s="636"/>
      <c r="E417" s="636"/>
      <c r="F417" s="567" t="s">
        <v>459</v>
      </c>
      <c r="G417" s="219" t="s">
        <v>448</v>
      </c>
      <c r="H417" s="243"/>
      <c r="I417" s="172" t="s">
        <v>2776</v>
      </c>
      <c r="J417" s="172" t="s">
        <v>365</v>
      </c>
      <c r="K417" s="245" t="s">
        <v>2766</v>
      </c>
      <c r="L417" s="141" t="s">
        <v>15</v>
      </c>
      <c r="M417" s="193">
        <v>46042</v>
      </c>
      <c r="N417" s="194" t="s">
        <v>4</v>
      </c>
      <c r="O417" s="141" t="s">
        <v>15</v>
      </c>
      <c r="P417" s="117"/>
      <c r="Q417" s="407">
        <v>46038</v>
      </c>
      <c r="R417" s="40" t="s">
        <v>445</v>
      </c>
      <c r="S417" s="208"/>
      <c r="T417" s="357"/>
      <c r="U417" s="84"/>
      <c r="V417" s="84"/>
      <c r="W417" s="84"/>
      <c r="X417" s="84"/>
      <c r="Y417" s="84"/>
      <c r="Z417" s="84"/>
      <c r="AA417" s="16"/>
      <c r="AB417" s="16"/>
      <c r="AC417" s="16"/>
      <c r="AD417" s="16"/>
      <c r="AE417" s="16"/>
      <c r="AF417" s="16"/>
      <c r="AG417" s="16"/>
    </row>
    <row r="418" spans="1:33" ht="15.75" customHeight="1" x14ac:dyDescent="0.3">
      <c r="A418" s="16"/>
      <c r="B418" s="16"/>
      <c r="C418" s="130">
        <f t="shared" ca="1" si="7"/>
        <v>400</v>
      </c>
      <c r="D418" s="636"/>
      <c r="E418" s="636"/>
      <c r="F418" s="567" t="s">
        <v>459</v>
      </c>
      <c r="G418" s="219" t="s">
        <v>448</v>
      </c>
      <c r="H418" s="243"/>
      <c r="I418" s="172" t="s">
        <v>2777</v>
      </c>
      <c r="J418" s="172" t="s">
        <v>365</v>
      </c>
      <c r="K418" s="245" t="s">
        <v>2768</v>
      </c>
      <c r="L418" s="141" t="s">
        <v>15</v>
      </c>
      <c r="M418" s="193">
        <v>46042</v>
      </c>
      <c r="N418" s="194" t="s">
        <v>4</v>
      </c>
      <c r="O418" s="141" t="s">
        <v>158</v>
      </c>
      <c r="P418" s="117" t="s">
        <v>211</v>
      </c>
      <c r="Q418" s="407">
        <v>46038</v>
      </c>
      <c r="R418" s="40" t="s">
        <v>445</v>
      </c>
      <c r="S418" s="208" t="s">
        <v>2778</v>
      </c>
      <c r="T418" s="357"/>
      <c r="U418" s="84"/>
      <c r="V418" s="84"/>
      <c r="W418" s="84"/>
      <c r="X418" s="84"/>
      <c r="Y418" s="84"/>
      <c r="Z418" s="84"/>
      <c r="AA418" s="16"/>
      <c r="AB418" s="16"/>
      <c r="AC418" s="16"/>
      <c r="AD418" s="16"/>
      <c r="AE418" s="16"/>
      <c r="AF418" s="16"/>
      <c r="AG418" s="16"/>
    </row>
    <row r="419" spans="1:33" ht="15.75" customHeight="1" x14ac:dyDescent="0.3">
      <c r="A419" s="16"/>
      <c r="B419" s="16"/>
      <c r="C419" s="130">
        <f t="shared" ca="1" si="7"/>
        <v>401</v>
      </c>
      <c r="D419" s="636"/>
      <c r="E419" s="636"/>
      <c r="F419" s="567" t="s">
        <v>459</v>
      </c>
      <c r="G419" s="219" t="s">
        <v>448</v>
      </c>
      <c r="H419" s="243"/>
      <c r="I419" s="172" t="s">
        <v>2779</v>
      </c>
      <c r="J419" s="172" t="s">
        <v>365</v>
      </c>
      <c r="K419" s="245" t="s">
        <v>2771</v>
      </c>
      <c r="L419" s="141" t="s">
        <v>15</v>
      </c>
      <c r="M419" s="193">
        <v>46042</v>
      </c>
      <c r="N419" s="194" t="s">
        <v>4</v>
      </c>
      <c r="O419" s="141" t="s">
        <v>15</v>
      </c>
      <c r="P419" s="117"/>
      <c r="Q419" s="407">
        <v>46038</v>
      </c>
      <c r="R419" s="40" t="s">
        <v>445</v>
      </c>
      <c r="S419" s="208"/>
      <c r="T419" s="357"/>
      <c r="U419" s="84"/>
      <c r="V419" s="84"/>
      <c r="W419" s="84"/>
      <c r="X419" s="84"/>
      <c r="Y419" s="84"/>
      <c r="Z419" s="84"/>
      <c r="AA419" s="16"/>
      <c r="AB419" s="16"/>
      <c r="AC419" s="16"/>
      <c r="AD419" s="16"/>
      <c r="AE419" s="16"/>
      <c r="AF419" s="16"/>
      <c r="AG419" s="16"/>
    </row>
    <row r="420" spans="1:33" ht="15.75" customHeight="1" x14ac:dyDescent="0.3">
      <c r="A420" s="16"/>
      <c r="B420" s="16"/>
      <c r="C420" s="130">
        <f t="shared" ca="1" si="7"/>
        <v>402</v>
      </c>
      <c r="D420" s="635"/>
      <c r="E420" s="635"/>
      <c r="F420" s="567" t="s">
        <v>459</v>
      </c>
      <c r="G420" s="219" t="s">
        <v>448</v>
      </c>
      <c r="H420" s="243"/>
      <c r="I420" s="172" t="s">
        <v>2780</v>
      </c>
      <c r="J420" s="172" t="s">
        <v>365</v>
      </c>
      <c r="K420" s="245" t="s">
        <v>2773</v>
      </c>
      <c r="L420" s="141" t="s">
        <v>15</v>
      </c>
      <c r="M420" s="193">
        <v>46042</v>
      </c>
      <c r="N420" s="194" t="s">
        <v>4</v>
      </c>
      <c r="O420" s="141" t="s">
        <v>15</v>
      </c>
      <c r="P420" s="117"/>
      <c r="Q420" s="407">
        <v>46038</v>
      </c>
      <c r="R420" s="40" t="s">
        <v>445</v>
      </c>
      <c r="S420" s="208"/>
      <c r="T420" s="357"/>
      <c r="U420" s="84"/>
      <c r="V420" s="84"/>
      <c r="W420" s="84"/>
      <c r="X420" s="84"/>
      <c r="Y420" s="84"/>
      <c r="Z420" s="84"/>
      <c r="AA420" s="16"/>
      <c r="AB420" s="16"/>
      <c r="AC420" s="16"/>
      <c r="AD420" s="16"/>
      <c r="AE420" s="16"/>
      <c r="AF420" s="16"/>
      <c r="AG420" s="16"/>
    </row>
    <row r="421" spans="1:33" ht="15.75" customHeight="1" x14ac:dyDescent="0.3">
      <c r="A421" s="16"/>
      <c r="B421" s="16"/>
      <c r="C421" s="130">
        <f t="shared" ca="1" si="7"/>
        <v>403</v>
      </c>
      <c r="D421" s="658" t="s">
        <v>342</v>
      </c>
      <c r="E421" s="251" t="s">
        <v>257</v>
      </c>
      <c r="F421" s="567" t="s">
        <v>457</v>
      </c>
      <c r="G421" s="219" t="s">
        <v>448</v>
      </c>
      <c r="H421" s="243"/>
      <c r="I421" s="172"/>
      <c r="J421" s="172" t="s">
        <v>261</v>
      </c>
      <c r="K421" s="245" t="s">
        <v>2781</v>
      </c>
      <c r="L421" s="141" t="s">
        <v>15</v>
      </c>
      <c r="M421" s="193">
        <v>46042</v>
      </c>
      <c r="N421" s="194" t="s">
        <v>4</v>
      </c>
      <c r="O421" s="141" t="s">
        <v>15</v>
      </c>
      <c r="P421" s="117"/>
      <c r="Q421" s="407">
        <v>46038</v>
      </c>
      <c r="R421" s="40" t="s">
        <v>445</v>
      </c>
      <c r="S421" s="208"/>
      <c r="T421" s="357"/>
      <c r="U421" s="84"/>
      <c r="V421" s="84"/>
      <c r="W421" s="84"/>
      <c r="X421" s="84"/>
      <c r="Y421" s="84"/>
      <c r="Z421" s="84"/>
      <c r="AA421" s="16"/>
      <c r="AB421" s="16"/>
      <c r="AC421" s="16"/>
      <c r="AD421" s="16"/>
      <c r="AE421" s="16"/>
      <c r="AF421" s="16"/>
      <c r="AG421" s="16"/>
    </row>
    <row r="422" spans="1:33" ht="15.75" customHeight="1" x14ac:dyDescent="0.3">
      <c r="A422" s="16"/>
      <c r="B422" s="16"/>
      <c r="C422" s="130">
        <f t="shared" ca="1" si="7"/>
        <v>404</v>
      </c>
      <c r="D422" s="636"/>
      <c r="E422" s="665" t="s">
        <v>237</v>
      </c>
      <c r="F422" s="567" t="s">
        <v>459</v>
      </c>
      <c r="G422" s="219" t="s">
        <v>448</v>
      </c>
      <c r="H422" s="243"/>
      <c r="I422" s="213" t="s">
        <v>364</v>
      </c>
      <c r="J422" s="172" t="s">
        <v>365</v>
      </c>
      <c r="K422" s="245" t="s">
        <v>2782</v>
      </c>
      <c r="L422" s="141" t="s">
        <v>15</v>
      </c>
      <c r="M422" s="193">
        <v>46042</v>
      </c>
      <c r="N422" s="194" t="s">
        <v>4</v>
      </c>
      <c r="O422" s="141" t="s">
        <v>15</v>
      </c>
      <c r="P422" s="117"/>
      <c r="Q422" s="407">
        <v>46038</v>
      </c>
      <c r="R422" s="40" t="s">
        <v>445</v>
      </c>
      <c r="S422" s="208"/>
      <c r="T422" s="357"/>
      <c r="U422" s="84"/>
      <c r="V422" s="84"/>
      <c r="W422" s="84"/>
      <c r="X422" s="84"/>
      <c r="Y422" s="84"/>
      <c r="Z422" s="84"/>
      <c r="AA422" s="16"/>
      <c r="AB422" s="16"/>
      <c r="AC422" s="16"/>
      <c r="AD422" s="16"/>
      <c r="AE422" s="16"/>
      <c r="AF422" s="16"/>
      <c r="AG422" s="16"/>
    </row>
    <row r="423" spans="1:33" ht="15.75" customHeight="1" x14ac:dyDescent="0.3">
      <c r="A423" s="16"/>
      <c r="B423" s="16"/>
      <c r="C423" s="130">
        <f t="shared" ca="1" si="7"/>
        <v>405</v>
      </c>
      <c r="D423" s="636"/>
      <c r="E423" s="636"/>
      <c r="F423" s="567" t="s">
        <v>459</v>
      </c>
      <c r="G423" s="219" t="s">
        <v>448</v>
      </c>
      <c r="H423" s="243"/>
      <c r="I423" s="172" t="s">
        <v>2783</v>
      </c>
      <c r="J423" s="172" t="s">
        <v>365</v>
      </c>
      <c r="K423" s="245" t="s">
        <v>2590</v>
      </c>
      <c r="L423" s="141" t="s">
        <v>15</v>
      </c>
      <c r="M423" s="193">
        <v>46042</v>
      </c>
      <c r="N423" s="194" t="s">
        <v>4</v>
      </c>
      <c r="O423" s="141" t="s">
        <v>158</v>
      </c>
      <c r="P423" s="117" t="s">
        <v>211</v>
      </c>
      <c r="Q423" s="407">
        <v>46038</v>
      </c>
      <c r="R423" s="40" t="s">
        <v>445</v>
      </c>
      <c r="S423" s="208" t="s">
        <v>2784</v>
      </c>
      <c r="T423" s="357"/>
      <c r="U423" s="84"/>
      <c r="V423" s="84"/>
      <c r="W423" s="84"/>
      <c r="X423" s="84"/>
      <c r="Y423" s="84"/>
      <c r="Z423" s="84"/>
      <c r="AA423" s="16"/>
      <c r="AB423" s="16"/>
      <c r="AC423" s="16"/>
      <c r="AD423" s="16"/>
      <c r="AE423" s="16"/>
      <c r="AF423" s="16"/>
      <c r="AG423" s="16"/>
    </row>
    <row r="424" spans="1:33" ht="15.75" customHeight="1" x14ac:dyDescent="0.3">
      <c r="A424" s="16"/>
      <c r="B424" s="16"/>
      <c r="C424" s="130">
        <f t="shared" ca="1" si="7"/>
        <v>406</v>
      </c>
      <c r="D424" s="636"/>
      <c r="E424" s="636"/>
      <c r="F424" s="567" t="s">
        <v>459</v>
      </c>
      <c r="G424" s="219" t="s">
        <v>448</v>
      </c>
      <c r="H424" s="243"/>
      <c r="I424" s="172" t="s">
        <v>2785</v>
      </c>
      <c r="J424" s="172" t="s">
        <v>365</v>
      </c>
      <c r="K424" s="245" t="s">
        <v>2786</v>
      </c>
      <c r="L424" s="141" t="s">
        <v>15</v>
      </c>
      <c r="M424" s="193">
        <v>46042</v>
      </c>
      <c r="N424" s="194" t="s">
        <v>4</v>
      </c>
      <c r="O424" s="141" t="s">
        <v>15</v>
      </c>
      <c r="P424" s="117"/>
      <c r="Q424" s="407">
        <v>46038</v>
      </c>
      <c r="R424" s="40" t="s">
        <v>445</v>
      </c>
      <c r="S424" s="208"/>
      <c r="T424" s="357"/>
      <c r="U424" s="84"/>
      <c r="V424" s="84"/>
      <c r="W424" s="84"/>
      <c r="X424" s="84"/>
      <c r="Y424" s="84"/>
      <c r="Z424" s="84"/>
      <c r="AA424" s="16"/>
      <c r="AB424" s="16"/>
      <c r="AC424" s="16"/>
      <c r="AD424" s="16"/>
      <c r="AE424" s="16"/>
      <c r="AF424" s="16"/>
      <c r="AG424" s="16"/>
    </row>
    <row r="425" spans="1:33" ht="15.75" customHeight="1" x14ac:dyDescent="0.3">
      <c r="A425" s="16"/>
      <c r="B425" s="16"/>
      <c r="C425" s="130">
        <f t="shared" ca="1" si="7"/>
        <v>407</v>
      </c>
      <c r="D425" s="636"/>
      <c r="E425" s="636"/>
      <c r="F425" s="567" t="s">
        <v>459</v>
      </c>
      <c r="G425" s="219" t="s">
        <v>448</v>
      </c>
      <c r="H425" s="243"/>
      <c r="I425" s="172" t="s">
        <v>2787</v>
      </c>
      <c r="J425" s="172" t="s">
        <v>365</v>
      </c>
      <c r="K425" s="245" t="s">
        <v>2788</v>
      </c>
      <c r="L425" s="141" t="s">
        <v>15</v>
      </c>
      <c r="M425" s="193">
        <v>46042</v>
      </c>
      <c r="N425" s="194" t="s">
        <v>4</v>
      </c>
      <c r="O425" s="141" t="s">
        <v>158</v>
      </c>
      <c r="P425" s="117" t="s">
        <v>211</v>
      </c>
      <c r="Q425" s="407">
        <v>46038</v>
      </c>
      <c r="R425" s="40" t="s">
        <v>445</v>
      </c>
      <c r="S425" s="208" t="s">
        <v>2789</v>
      </c>
      <c r="T425" s="357"/>
      <c r="U425" s="84"/>
      <c r="V425" s="84"/>
      <c r="W425" s="84"/>
      <c r="X425" s="84"/>
      <c r="Y425" s="84"/>
      <c r="Z425" s="84"/>
      <c r="AA425" s="16"/>
      <c r="AB425" s="16"/>
      <c r="AC425" s="16"/>
      <c r="AD425" s="16"/>
      <c r="AE425" s="16"/>
      <c r="AF425" s="16"/>
      <c r="AG425" s="16"/>
    </row>
    <row r="426" spans="1:33" ht="15.75" customHeight="1" x14ac:dyDescent="0.3">
      <c r="A426" s="16"/>
      <c r="B426" s="16"/>
      <c r="C426" s="130">
        <f t="shared" ca="1" si="7"/>
        <v>408</v>
      </c>
      <c r="D426" s="636"/>
      <c r="E426" s="636"/>
      <c r="F426" s="567" t="s">
        <v>459</v>
      </c>
      <c r="G426" s="219" t="s">
        <v>448</v>
      </c>
      <c r="H426" s="243"/>
      <c r="I426" s="172" t="s">
        <v>2790</v>
      </c>
      <c r="J426" s="172" t="s">
        <v>365</v>
      </c>
      <c r="K426" s="245" t="s">
        <v>2791</v>
      </c>
      <c r="L426" s="141" t="s">
        <v>15</v>
      </c>
      <c r="M426" s="193">
        <v>46042</v>
      </c>
      <c r="N426" s="194" t="s">
        <v>4</v>
      </c>
      <c r="O426" s="141" t="s">
        <v>15</v>
      </c>
      <c r="P426" s="117"/>
      <c r="Q426" s="407">
        <v>46038</v>
      </c>
      <c r="R426" s="40" t="s">
        <v>445</v>
      </c>
      <c r="S426" s="208"/>
      <c r="T426" s="357"/>
      <c r="U426" s="84"/>
      <c r="V426" s="84"/>
      <c r="W426" s="84"/>
      <c r="X426" s="84"/>
      <c r="Y426" s="84"/>
      <c r="Z426" s="84"/>
      <c r="AA426" s="16"/>
      <c r="AB426" s="16"/>
      <c r="AC426" s="16"/>
      <c r="AD426" s="16"/>
      <c r="AE426" s="16"/>
      <c r="AF426" s="16"/>
      <c r="AG426" s="16"/>
    </row>
    <row r="427" spans="1:33" ht="15.75" customHeight="1" x14ac:dyDescent="0.3">
      <c r="A427" s="16"/>
      <c r="B427" s="16"/>
      <c r="C427" s="130">
        <f t="shared" ca="1" si="7"/>
        <v>409</v>
      </c>
      <c r="D427" s="636"/>
      <c r="E427" s="636"/>
      <c r="F427" s="567" t="s">
        <v>459</v>
      </c>
      <c r="G427" s="219" t="s">
        <v>448</v>
      </c>
      <c r="H427" s="243"/>
      <c r="I427" s="172" t="s">
        <v>2792</v>
      </c>
      <c r="J427" s="172" t="s">
        <v>365</v>
      </c>
      <c r="K427" s="245" t="s">
        <v>2793</v>
      </c>
      <c r="L427" s="141" t="s">
        <v>15</v>
      </c>
      <c r="M427" s="193">
        <v>46042</v>
      </c>
      <c r="N427" s="194" t="s">
        <v>4</v>
      </c>
      <c r="O427" s="141" t="s">
        <v>15</v>
      </c>
      <c r="P427" s="117"/>
      <c r="Q427" s="407">
        <v>46038</v>
      </c>
      <c r="R427" s="40" t="s">
        <v>445</v>
      </c>
      <c r="S427" s="208"/>
      <c r="T427" s="357"/>
      <c r="U427" s="84"/>
      <c r="V427" s="84"/>
      <c r="W427" s="84"/>
      <c r="X427" s="84"/>
      <c r="Y427" s="84"/>
      <c r="Z427" s="84"/>
      <c r="AA427" s="16"/>
      <c r="AB427" s="16"/>
      <c r="AC427" s="16"/>
      <c r="AD427" s="16"/>
      <c r="AE427" s="16"/>
      <c r="AF427" s="16"/>
      <c r="AG427" s="16"/>
    </row>
    <row r="428" spans="1:33" ht="15.75" customHeight="1" x14ac:dyDescent="0.3">
      <c r="A428" s="16"/>
      <c r="B428" s="16"/>
      <c r="C428" s="130">
        <f t="shared" ca="1" si="7"/>
        <v>410</v>
      </c>
      <c r="D428" s="636"/>
      <c r="E428" s="636"/>
      <c r="F428" s="567" t="s">
        <v>459</v>
      </c>
      <c r="G428" s="219" t="s">
        <v>455</v>
      </c>
      <c r="H428" s="243"/>
      <c r="I428" s="210"/>
      <c r="J428" s="172" t="s">
        <v>310</v>
      </c>
      <c r="K428" s="226" t="s">
        <v>371</v>
      </c>
      <c r="L428" s="141" t="s">
        <v>15</v>
      </c>
      <c r="M428" s="193">
        <v>46042</v>
      </c>
      <c r="N428" s="194" t="s">
        <v>4</v>
      </c>
      <c r="O428" s="141" t="s">
        <v>15</v>
      </c>
      <c r="P428" s="117"/>
      <c r="Q428" s="407">
        <v>46038</v>
      </c>
      <c r="R428" s="40" t="s">
        <v>445</v>
      </c>
      <c r="S428" s="208"/>
      <c r="T428" s="357"/>
      <c r="U428" s="84"/>
      <c r="V428" s="84"/>
      <c r="W428" s="84"/>
      <c r="X428" s="84"/>
      <c r="Y428" s="84"/>
      <c r="Z428" s="84"/>
      <c r="AA428" s="16"/>
      <c r="AB428" s="16"/>
      <c r="AC428" s="16"/>
      <c r="AD428" s="16"/>
      <c r="AE428" s="16"/>
      <c r="AF428" s="16"/>
      <c r="AG428" s="16"/>
    </row>
    <row r="429" spans="1:33" ht="15.75" customHeight="1" x14ac:dyDescent="0.3">
      <c r="A429" s="16"/>
      <c r="B429" s="16"/>
      <c r="C429" s="130">
        <f t="shared" ca="1" si="7"/>
        <v>411</v>
      </c>
      <c r="D429" s="636"/>
      <c r="E429" s="636"/>
      <c r="F429" s="567" t="s">
        <v>459</v>
      </c>
      <c r="G429" s="219" t="s">
        <v>448</v>
      </c>
      <c r="H429" s="243"/>
      <c r="I429" s="657" t="s">
        <v>372</v>
      </c>
      <c r="J429" s="172" t="s">
        <v>311</v>
      </c>
      <c r="K429" s="245" t="s">
        <v>373</v>
      </c>
      <c r="L429" s="141" t="s">
        <v>15</v>
      </c>
      <c r="M429" s="193">
        <v>46042</v>
      </c>
      <c r="N429" s="194" t="s">
        <v>4</v>
      </c>
      <c r="O429" s="141" t="s">
        <v>15</v>
      </c>
      <c r="P429" s="117"/>
      <c r="Q429" s="407">
        <v>46038</v>
      </c>
      <c r="R429" s="40" t="s">
        <v>445</v>
      </c>
      <c r="S429" s="208"/>
      <c r="T429" s="357"/>
      <c r="U429" s="84"/>
      <c r="V429" s="84"/>
      <c r="W429" s="84"/>
      <c r="X429" s="84"/>
      <c r="Y429" s="84"/>
      <c r="Z429" s="84"/>
      <c r="AA429" s="16"/>
      <c r="AB429" s="16"/>
      <c r="AC429" s="16"/>
      <c r="AD429" s="16"/>
      <c r="AE429" s="16"/>
      <c r="AF429" s="16"/>
      <c r="AG429" s="16"/>
    </row>
    <row r="430" spans="1:33" ht="15.75" customHeight="1" x14ac:dyDescent="0.3">
      <c r="A430" s="16"/>
      <c r="B430" s="16"/>
      <c r="C430" s="130">
        <f t="shared" ca="1" si="7"/>
        <v>412</v>
      </c>
      <c r="D430" s="636"/>
      <c r="E430" s="636"/>
      <c r="F430" s="567" t="s">
        <v>459</v>
      </c>
      <c r="G430" s="219" t="s">
        <v>448</v>
      </c>
      <c r="H430" s="243"/>
      <c r="I430" s="606"/>
      <c r="J430" s="172" t="s">
        <v>313</v>
      </c>
      <c r="K430" s="245" t="s">
        <v>2599</v>
      </c>
      <c r="L430" s="141" t="s">
        <v>15</v>
      </c>
      <c r="M430" s="193">
        <v>46042</v>
      </c>
      <c r="N430" s="194" t="s">
        <v>4</v>
      </c>
      <c r="O430" s="141" t="s">
        <v>15</v>
      </c>
      <c r="P430" s="117"/>
      <c r="Q430" s="407">
        <v>46038</v>
      </c>
      <c r="R430" s="40" t="s">
        <v>445</v>
      </c>
      <c r="S430" s="208"/>
      <c r="T430" s="357"/>
      <c r="U430" s="84"/>
      <c r="V430" s="84"/>
      <c r="W430" s="84"/>
      <c r="X430" s="84"/>
      <c r="Y430" s="84"/>
      <c r="Z430" s="84"/>
      <c r="AA430" s="297"/>
      <c r="AB430" s="297"/>
      <c r="AC430" s="297"/>
      <c r="AD430" s="297"/>
      <c r="AE430" s="297"/>
      <c r="AF430" s="297"/>
      <c r="AG430" s="297"/>
    </row>
    <row r="431" spans="1:33" ht="15.75" customHeight="1" x14ac:dyDescent="0.3">
      <c r="A431" s="16"/>
      <c r="B431" s="16"/>
      <c r="C431" s="130">
        <f t="shared" ca="1" si="7"/>
        <v>413</v>
      </c>
      <c r="D431" s="636"/>
      <c r="E431" s="636"/>
      <c r="F431" s="567" t="s">
        <v>459</v>
      </c>
      <c r="G431" s="219" t="s">
        <v>455</v>
      </c>
      <c r="H431" s="243"/>
      <c r="I431" s="608"/>
      <c r="J431" s="172" t="s">
        <v>375</v>
      </c>
      <c r="K431" s="226" t="s">
        <v>371</v>
      </c>
      <c r="L431" s="141" t="s">
        <v>15</v>
      </c>
      <c r="M431" s="193">
        <v>46042</v>
      </c>
      <c r="N431" s="194" t="s">
        <v>4</v>
      </c>
      <c r="O431" s="141" t="s">
        <v>15</v>
      </c>
      <c r="P431" s="117"/>
      <c r="Q431" s="407">
        <v>46038</v>
      </c>
      <c r="R431" s="40" t="s">
        <v>445</v>
      </c>
      <c r="S431" s="208"/>
      <c r="T431" s="357"/>
      <c r="U431" s="84"/>
      <c r="V431" s="84"/>
      <c r="W431" s="84"/>
      <c r="X431" s="84"/>
      <c r="Y431" s="84"/>
      <c r="Z431" s="84"/>
      <c r="AA431" s="16"/>
      <c r="AB431" s="16"/>
      <c r="AC431" s="16"/>
      <c r="AD431" s="16"/>
      <c r="AE431" s="16"/>
      <c r="AF431" s="16"/>
      <c r="AG431" s="16"/>
    </row>
    <row r="432" spans="1:33" ht="15.75" customHeight="1" x14ac:dyDescent="0.3">
      <c r="A432" s="16"/>
      <c r="B432" s="16"/>
      <c r="C432" s="130">
        <f t="shared" ca="1" si="7"/>
        <v>414</v>
      </c>
      <c r="D432" s="636"/>
      <c r="E432" s="636"/>
      <c r="F432" s="567" t="s">
        <v>459</v>
      </c>
      <c r="G432" s="219" t="s">
        <v>448</v>
      </c>
      <c r="H432" s="243"/>
      <c r="I432" s="172" t="s">
        <v>2794</v>
      </c>
      <c r="J432" s="172" t="s">
        <v>365</v>
      </c>
      <c r="K432" s="245" t="s">
        <v>2590</v>
      </c>
      <c r="L432" s="141" t="s">
        <v>15</v>
      </c>
      <c r="M432" s="193">
        <v>46042</v>
      </c>
      <c r="N432" s="194" t="s">
        <v>4</v>
      </c>
      <c r="O432" s="141" t="s">
        <v>158</v>
      </c>
      <c r="P432" s="117" t="s">
        <v>211</v>
      </c>
      <c r="Q432" s="407">
        <v>46038</v>
      </c>
      <c r="R432" s="40" t="s">
        <v>445</v>
      </c>
      <c r="S432" s="208" t="s">
        <v>2795</v>
      </c>
      <c r="T432" s="357"/>
      <c r="U432" s="84"/>
      <c r="V432" s="84"/>
      <c r="W432" s="84"/>
      <c r="X432" s="84"/>
      <c r="Y432" s="84"/>
      <c r="Z432" s="84"/>
      <c r="AA432" s="16"/>
      <c r="AB432" s="16"/>
      <c r="AC432" s="16"/>
      <c r="AD432" s="16"/>
      <c r="AE432" s="16"/>
      <c r="AF432" s="16"/>
      <c r="AG432" s="16"/>
    </row>
    <row r="433" spans="1:33" ht="15.75" customHeight="1" x14ac:dyDescent="0.3">
      <c r="A433" s="16"/>
      <c r="B433" s="16"/>
      <c r="C433" s="130">
        <f t="shared" ca="1" si="7"/>
        <v>415</v>
      </c>
      <c r="D433" s="636"/>
      <c r="E433" s="636"/>
      <c r="F433" s="567" t="s">
        <v>459</v>
      </c>
      <c r="G433" s="219" t="s">
        <v>448</v>
      </c>
      <c r="H433" s="243"/>
      <c r="I433" s="172" t="s">
        <v>2796</v>
      </c>
      <c r="J433" s="172" t="s">
        <v>365</v>
      </c>
      <c r="K433" s="245" t="s">
        <v>2786</v>
      </c>
      <c r="L433" s="141" t="s">
        <v>15</v>
      </c>
      <c r="M433" s="193">
        <v>46042</v>
      </c>
      <c r="N433" s="194" t="s">
        <v>4</v>
      </c>
      <c r="O433" s="141" t="s">
        <v>15</v>
      </c>
      <c r="P433" s="117"/>
      <c r="Q433" s="407">
        <v>46038</v>
      </c>
      <c r="R433" s="40" t="s">
        <v>445</v>
      </c>
      <c r="S433" s="208"/>
      <c r="T433" s="357"/>
      <c r="U433" s="84"/>
      <c r="V433" s="84"/>
      <c r="W433" s="84"/>
      <c r="X433" s="84"/>
      <c r="Y433" s="84"/>
      <c r="Z433" s="84"/>
      <c r="AA433" s="16"/>
      <c r="AB433" s="16"/>
      <c r="AC433" s="16"/>
      <c r="AD433" s="16"/>
      <c r="AE433" s="16"/>
      <c r="AF433" s="16"/>
      <c r="AG433" s="16"/>
    </row>
    <row r="434" spans="1:33" ht="15.75" customHeight="1" x14ac:dyDescent="0.3">
      <c r="A434" s="16"/>
      <c r="B434" s="16"/>
      <c r="C434" s="130">
        <f t="shared" ca="1" si="7"/>
        <v>416</v>
      </c>
      <c r="D434" s="636"/>
      <c r="E434" s="636"/>
      <c r="F434" s="567" t="s">
        <v>459</v>
      </c>
      <c r="G434" s="219" t="s">
        <v>448</v>
      </c>
      <c r="H434" s="243"/>
      <c r="I434" s="172" t="s">
        <v>2797</v>
      </c>
      <c r="J434" s="172" t="s">
        <v>365</v>
      </c>
      <c r="K434" s="245" t="s">
        <v>2788</v>
      </c>
      <c r="L434" s="141" t="s">
        <v>15</v>
      </c>
      <c r="M434" s="193">
        <v>46042</v>
      </c>
      <c r="N434" s="194" t="s">
        <v>4</v>
      </c>
      <c r="O434" s="141" t="s">
        <v>158</v>
      </c>
      <c r="P434" s="117" t="s">
        <v>211</v>
      </c>
      <c r="Q434" s="407">
        <v>46038</v>
      </c>
      <c r="R434" s="40" t="s">
        <v>445</v>
      </c>
      <c r="S434" s="208" t="s">
        <v>2798</v>
      </c>
      <c r="T434" s="357"/>
      <c r="U434" s="84"/>
      <c r="V434" s="84"/>
      <c r="W434" s="84"/>
      <c r="X434" s="84"/>
      <c r="Y434" s="84"/>
      <c r="Z434" s="84"/>
      <c r="AA434" s="16"/>
      <c r="AB434" s="16"/>
      <c r="AC434" s="16"/>
      <c r="AD434" s="16"/>
      <c r="AE434" s="16"/>
      <c r="AF434" s="16"/>
      <c r="AG434" s="16"/>
    </row>
    <row r="435" spans="1:33" ht="15.75" customHeight="1" x14ac:dyDescent="0.3">
      <c r="A435" s="16"/>
      <c r="B435" s="16"/>
      <c r="C435" s="130">
        <f t="shared" ca="1" si="7"/>
        <v>417</v>
      </c>
      <c r="D435" s="636"/>
      <c r="E435" s="636"/>
      <c r="F435" s="567" t="s">
        <v>459</v>
      </c>
      <c r="G435" s="219" t="s">
        <v>448</v>
      </c>
      <c r="H435" s="243"/>
      <c r="I435" s="172" t="s">
        <v>2799</v>
      </c>
      <c r="J435" s="172" t="s">
        <v>365</v>
      </c>
      <c r="K435" s="245" t="s">
        <v>2791</v>
      </c>
      <c r="L435" s="141" t="s">
        <v>15</v>
      </c>
      <c r="M435" s="193">
        <v>46042</v>
      </c>
      <c r="N435" s="194" t="s">
        <v>4</v>
      </c>
      <c r="O435" s="141" t="s">
        <v>15</v>
      </c>
      <c r="P435" s="117"/>
      <c r="Q435" s="407">
        <v>46038</v>
      </c>
      <c r="R435" s="40" t="s">
        <v>445</v>
      </c>
      <c r="S435" s="208"/>
      <c r="T435" s="357"/>
      <c r="U435" s="84"/>
      <c r="V435" s="84"/>
      <c r="W435" s="84"/>
      <c r="X435" s="84"/>
      <c r="Y435" s="84"/>
      <c r="Z435" s="84"/>
      <c r="AA435" s="16"/>
      <c r="AB435" s="16"/>
      <c r="AC435" s="16"/>
      <c r="AD435" s="16"/>
      <c r="AE435" s="16"/>
      <c r="AF435" s="16"/>
      <c r="AG435" s="16"/>
    </row>
    <row r="436" spans="1:33" ht="15.75" customHeight="1" x14ac:dyDescent="0.3">
      <c r="A436" s="16"/>
      <c r="B436" s="16"/>
      <c r="C436" s="130">
        <f t="shared" ca="1" si="7"/>
        <v>418</v>
      </c>
      <c r="D436" s="635"/>
      <c r="E436" s="635"/>
      <c r="F436" s="567" t="s">
        <v>459</v>
      </c>
      <c r="G436" s="219" t="s">
        <v>448</v>
      </c>
      <c r="H436" s="243"/>
      <c r="I436" s="172" t="s">
        <v>2800</v>
      </c>
      <c r="J436" s="172" t="s">
        <v>365</v>
      </c>
      <c r="K436" s="245" t="s">
        <v>2793</v>
      </c>
      <c r="L436" s="141" t="s">
        <v>15</v>
      </c>
      <c r="M436" s="193">
        <v>46042</v>
      </c>
      <c r="N436" s="194" t="s">
        <v>4</v>
      </c>
      <c r="O436" s="141" t="s">
        <v>15</v>
      </c>
      <c r="P436" s="117"/>
      <c r="Q436" s="407">
        <v>46038</v>
      </c>
      <c r="R436" s="40" t="s">
        <v>445</v>
      </c>
      <c r="S436" s="208"/>
      <c r="T436" s="357"/>
      <c r="U436" s="84"/>
      <c r="V436" s="84"/>
      <c r="W436" s="84"/>
      <c r="X436" s="84"/>
      <c r="Y436" s="84"/>
      <c r="Z436" s="84"/>
      <c r="AA436" s="16"/>
      <c r="AB436" s="16"/>
      <c r="AC436" s="16"/>
      <c r="AD436" s="16"/>
      <c r="AE436" s="16"/>
      <c r="AF436" s="16"/>
      <c r="AG436" s="16"/>
    </row>
    <row r="437" spans="1:33" ht="15.75" customHeight="1" x14ac:dyDescent="0.3">
      <c r="A437" s="16"/>
      <c r="B437" s="16"/>
      <c r="C437" s="130">
        <f t="shared" ca="1" si="7"/>
        <v>419</v>
      </c>
      <c r="D437" s="658" t="s">
        <v>343</v>
      </c>
      <c r="E437" s="251" t="s">
        <v>257</v>
      </c>
      <c r="F437" s="567" t="s">
        <v>457</v>
      </c>
      <c r="G437" s="219" t="s">
        <v>448</v>
      </c>
      <c r="H437" s="243"/>
      <c r="I437" s="172"/>
      <c r="J437" s="172" t="s">
        <v>261</v>
      </c>
      <c r="K437" s="245" t="s">
        <v>2801</v>
      </c>
      <c r="L437" s="141" t="s">
        <v>15</v>
      </c>
      <c r="M437" s="193">
        <v>46042</v>
      </c>
      <c r="N437" s="194" t="s">
        <v>4</v>
      </c>
      <c r="O437" s="141" t="s">
        <v>15</v>
      </c>
      <c r="P437" s="117"/>
      <c r="Q437" s="407">
        <v>46038</v>
      </c>
      <c r="R437" s="40" t="s">
        <v>445</v>
      </c>
      <c r="S437" s="208"/>
      <c r="T437" s="357"/>
      <c r="U437" s="84"/>
      <c r="V437" s="84"/>
      <c r="W437" s="84"/>
      <c r="X437" s="84"/>
      <c r="Y437" s="84"/>
      <c r="Z437" s="84"/>
      <c r="AA437" s="16"/>
      <c r="AB437" s="16"/>
      <c r="AC437" s="16"/>
      <c r="AD437" s="16"/>
      <c r="AE437" s="16"/>
      <c r="AF437" s="16"/>
      <c r="AG437" s="16"/>
    </row>
    <row r="438" spans="1:33" ht="15.75" customHeight="1" x14ac:dyDescent="0.3">
      <c r="A438" s="16"/>
      <c r="B438" s="16"/>
      <c r="C438" s="130"/>
      <c r="D438" s="636"/>
      <c r="E438" s="251"/>
      <c r="F438" s="567" t="s">
        <v>459</v>
      </c>
      <c r="G438" s="219" t="s">
        <v>448</v>
      </c>
      <c r="H438" s="243"/>
      <c r="I438" s="213" t="s">
        <v>364</v>
      </c>
      <c r="J438" s="172" t="s">
        <v>365</v>
      </c>
      <c r="K438" s="245" t="s">
        <v>2802</v>
      </c>
      <c r="L438" s="141" t="s">
        <v>15</v>
      </c>
      <c r="M438" s="193">
        <v>46042</v>
      </c>
      <c r="N438" s="194" t="s">
        <v>4</v>
      </c>
      <c r="O438" s="141" t="s">
        <v>15</v>
      </c>
      <c r="P438" s="117"/>
      <c r="Q438" s="407">
        <v>46038</v>
      </c>
      <c r="R438" s="40" t="s">
        <v>445</v>
      </c>
      <c r="S438" s="208"/>
      <c r="T438" s="357"/>
      <c r="U438" s="84"/>
      <c r="V438" s="84"/>
      <c r="W438" s="84"/>
      <c r="X438" s="84"/>
      <c r="Y438" s="84"/>
      <c r="Z438" s="84"/>
      <c r="AA438" s="16"/>
      <c r="AB438" s="16"/>
      <c r="AC438" s="16"/>
      <c r="AD438" s="16"/>
      <c r="AE438" s="16"/>
      <c r="AF438" s="16"/>
      <c r="AG438" s="16"/>
    </row>
    <row r="439" spans="1:33" ht="15.75" customHeight="1" x14ac:dyDescent="0.3">
      <c r="A439" s="16"/>
      <c r="B439" s="16"/>
      <c r="C439" s="130">
        <f t="shared" ref="C439:C693" ca="1" si="8">1+COUNT(INDIRECT("A1:"&amp;(ADDRESS(ROW()-1,COLUMN()))))</f>
        <v>420</v>
      </c>
      <c r="D439" s="636"/>
      <c r="E439" s="665"/>
      <c r="F439" s="567" t="s">
        <v>459</v>
      </c>
      <c r="G439" s="219" t="s">
        <v>448</v>
      </c>
      <c r="H439" s="213"/>
      <c r="I439" s="172" t="s">
        <v>2803</v>
      </c>
      <c r="J439" s="172" t="s">
        <v>365</v>
      </c>
      <c r="K439" s="245" t="s">
        <v>2590</v>
      </c>
      <c r="L439" s="141" t="s">
        <v>15</v>
      </c>
      <c r="M439" s="193">
        <v>46042</v>
      </c>
      <c r="N439" s="194" t="s">
        <v>4</v>
      </c>
      <c r="O439" s="141" t="s">
        <v>158</v>
      </c>
      <c r="P439" s="117" t="s">
        <v>211</v>
      </c>
      <c r="Q439" s="407">
        <v>46038</v>
      </c>
      <c r="R439" s="40" t="s">
        <v>445</v>
      </c>
      <c r="S439" s="208" t="s">
        <v>2804</v>
      </c>
      <c r="T439" s="357"/>
      <c r="U439" s="84"/>
      <c r="V439" s="84"/>
      <c r="W439" s="84"/>
      <c r="X439" s="84"/>
      <c r="Y439" s="84"/>
      <c r="Z439" s="84"/>
      <c r="AA439" s="16"/>
      <c r="AB439" s="16"/>
      <c r="AC439" s="16"/>
      <c r="AD439" s="16"/>
      <c r="AE439" s="16"/>
      <c r="AF439" s="16"/>
      <c r="AG439" s="16"/>
    </row>
    <row r="440" spans="1:33" ht="15.75" customHeight="1" x14ac:dyDescent="0.3">
      <c r="A440" s="16"/>
      <c r="B440" s="16"/>
      <c r="C440" s="130">
        <f t="shared" ca="1" si="8"/>
        <v>421</v>
      </c>
      <c r="D440" s="636"/>
      <c r="E440" s="636"/>
      <c r="F440" s="567" t="s">
        <v>459</v>
      </c>
      <c r="G440" s="219" t="s">
        <v>448</v>
      </c>
      <c r="H440" s="243"/>
      <c r="I440" s="172" t="s">
        <v>2805</v>
      </c>
      <c r="J440" s="172" t="s">
        <v>365</v>
      </c>
      <c r="K440" s="245" t="s">
        <v>2806</v>
      </c>
      <c r="L440" s="141" t="s">
        <v>15</v>
      </c>
      <c r="M440" s="193">
        <v>46042</v>
      </c>
      <c r="N440" s="194" t="s">
        <v>4</v>
      </c>
      <c r="O440" s="141" t="s">
        <v>15</v>
      </c>
      <c r="P440" s="117"/>
      <c r="Q440" s="407">
        <v>46038</v>
      </c>
      <c r="R440" s="40" t="s">
        <v>445</v>
      </c>
      <c r="S440" s="208"/>
      <c r="T440" s="357"/>
      <c r="U440" s="84"/>
      <c r="V440" s="84"/>
      <c r="W440" s="84"/>
      <c r="X440" s="84"/>
      <c r="Y440" s="84"/>
      <c r="Z440" s="84"/>
      <c r="AA440" s="16"/>
      <c r="AB440" s="16"/>
      <c r="AC440" s="16"/>
      <c r="AD440" s="16"/>
      <c r="AE440" s="16"/>
      <c r="AF440" s="16"/>
      <c r="AG440" s="16"/>
    </row>
    <row r="441" spans="1:33" ht="15.75" customHeight="1" x14ac:dyDescent="0.3">
      <c r="A441" s="16"/>
      <c r="B441" s="16"/>
      <c r="C441" s="130">
        <f t="shared" ca="1" si="8"/>
        <v>422</v>
      </c>
      <c r="D441" s="636"/>
      <c r="E441" s="636"/>
      <c r="F441" s="567" t="s">
        <v>459</v>
      </c>
      <c r="G441" s="219" t="s">
        <v>448</v>
      </c>
      <c r="H441" s="243"/>
      <c r="I441" s="172" t="s">
        <v>2807</v>
      </c>
      <c r="J441" s="172" t="s">
        <v>365</v>
      </c>
      <c r="K441" s="245" t="s">
        <v>2808</v>
      </c>
      <c r="L441" s="141" t="s">
        <v>15</v>
      </c>
      <c r="M441" s="193">
        <v>46042</v>
      </c>
      <c r="N441" s="194" t="s">
        <v>4</v>
      </c>
      <c r="O441" s="141" t="s">
        <v>158</v>
      </c>
      <c r="P441" s="117" t="s">
        <v>211</v>
      </c>
      <c r="Q441" s="407">
        <v>46038</v>
      </c>
      <c r="R441" s="40" t="s">
        <v>445</v>
      </c>
      <c r="S441" s="208" t="s">
        <v>2809</v>
      </c>
      <c r="T441" s="357"/>
      <c r="U441" s="84"/>
      <c r="V441" s="84"/>
      <c r="W441" s="84"/>
      <c r="X441" s="84"/>
      <c r="Y441" s="84"/>
      <c r="Z441" s="84"/>
      <c r="AA441" s="16"/>
      <c r="AB441" s="16"/>
      <c r="AC441" s="16"/>
      <c r="AD441" s="16"/>
      <c r="AE441" s="16"/>
      <c r="AF441" s="16"/>
      <c r="AG441" s="16"/>
    </row>
    <row r="442" spans="1:33" ht="15.75" customHeight="1" x14ac:dyDescent="0.3">
      <c r="A442" s="16"/>
      <c r="B442" s="16"/>
      <c r="C442" s="130">
        <f t="shared" ca="1" si="8"/>
        <v>423</v>
      </c>
      <c r="D442" s="636"/>
      <c r="E442" s="636"/>
      <c r="F442" s="567" t="s">
        <v>459</v>
      </c>
      <c r="G442" s="219" t="s">
        <v>448</v>
      </c>
      <c r="H442" s="243"/>
      <c r="I442" s="172" t="s">
        <v>2810</v>
      </c>
      <c r="J442" s="172" t="s">
        <v>365</v>
      </c>
      <c r="K442" s="245" t="s">
        <v>2811</v>
      </c>
      <c r="L442" s="141" t="s">
        <v>15</v>
      </c>
      <c r="M442" s="193">
        <v>46042</v>
      </c>
      <c r="N442" s="194" t="s">
        <v>4</v>
      </c>
      <c r="O442" s="141" t="s">
        <v>15</v>
      </c>
      <c r="P442" s="117"/>
      <c r="Q442" s="407">
        <v>46038</v>
      </c>
      <c r="R442" s="40" t="s">
        <v>445</v>
      </c>
      <c r="S442" s="208"/>
      <c r="T442" s="357"/>
      <c r="U442" s="84"/>
      <c r="V442" s="84"/>
      <c r="W442" s="84"/>
      <c r="X442" s="84"/>
      <c r="Y442" s="84"/>
      <c r="Z442" s="84"/>
      <c r="AA442" s="16"/>
      <c r="AB442" s="16"/>
      <c r="AC442" s="16"/>
      <c r="AD442" s="16"/>
      <c r="AE442" s="16"/>
      <c r="AF442" s="16"/>
      <c r="AG442" s="16"/>
    </row>
    <row r="443" spans="1:33" ht="15.75" customHeight="1" x14ac:dyDescent="0.3">
      <c r="A443" s="16"/>
      <c r="B443" s="16"/>
      <c r="C443" s="130">
        <f t="shared" ca="1" si="8"/>
        <v>424</v>
      </c>
      <c r="D443" s="636"/>
      <c r="E443" s="636"/>
      <c r="F443" s="567" t="s">
        <v>459</v>
      </c>
      <c r="G443" s="219" t="s">
        <v>448</v>
      </c>
      <c r="H443" s="243"/>
      <c r="I443" s="172" t="s">
        <v>2812</v>
      </c>
      <c r="J443" s="172" t="s">
        <v>365</v>
      </c>
      <c r="K443" s="245" t="s">
        <v>2813</v>
      </c>
      <c r="L443" s="141" t="s">
        <v>15</v>
      </c>
      <c r="M443" s="193">
        <v>46042</v>
      </c>
      <c r="N443" s="194" t="s">
        <v>4</v>
      </c>
      <c r="O443" s="141" t="s">
        <v>15</v>
      </c>
      <c r="P443" s="117"/>
      <c r="Q443" s="407">
        <v>46038</v>
      </c>
      <c r="R443" s="40" t="s">
        <v>445</v>
      </c>
      <c r="S443" s="208"/>
      <c r="T443" s="357"/>
      <c r="U443" s="84"/>
      <c r="V443" s="84"/>
      <c r="W443" s="84"/>
      <c r="X443" s="84"/>
      <c r="Y443" s="84"/>
      <c r="Z443" s="84"/>
      <c r="AA443" s="16"/>
      <c r="AB443" s="16"/>
      <c r="AC443" s="16"/>
      <c r="AD443" s="16"/>
      <c r="AE443" s="16"/>
      <c r="AF443" s="16"/>
      <c r="AG443" s="16"/>
    </row>
    <row r="444" spans="1:33" ht="15.75" customHeight="1" x14ac:dyDescent="0.3">
      <c r="A444" s="16"/>
      <c r="B444" s="16"/>
      <c r="C444" s="130">
        <f t="shared" ca="1" si="8"/>
        <v>425</v>
      </c>
      <c r="D444" s="636"/>
      <c r="E444" s="636"/>
      <c r="F444" s="567" t="s">
        <v>459</v>
      </c>
      <c r="G444" s="219" t="s">
        <v>455</v>
      </c>
      <c r="H444" s="243"/>
      <c r="I444" s="210"/>
      <c r="J444" s="172" t="s">
        <v>310</v>
      </c>
      <c r="K444" s="226" t="s">
        <v>371</v>
      </c>
      <c r="L444" s="141" t="s">
        <v>15</v>
      </c>
      <c r="M444" s="193">
        <v>46042</v>
      </c>
      <c r="N444" s="194" t="s">
        <v>4</v>
      </c>
      <c r="O444" s="141" t="s">
        <v>15</v>
      </c>
      <c r="P444" s="117"/>
      <c r="Q444" s="407">
        <v>46038</v>
      </c>
      <c r="R444" s="40" t="s">
        <v>445</v>
      </c>
      <c r="S444" s="208"/>
      <c r="T444" s="357"/>
      <c r="U444" s="84"/>
      <c r="V444" s="84"/>
      <c r="W444" s="84"/>
      <c r="X444" s="84"/>
      <c r="Y444" s="84"/>
      <c r="Z444" s="84"/>
      <c r="AA444" s="16"/>
      <c r="AB444" s="16"/>
      <c r="AC444" s="16"/>
      <c r="AD444" s="16"/>
      <c r="AE444" s="16"/>
      <c r="AF444" s="16"/>
      <c r="AG444" s="16"/>
    </row>
    <row r="445" spans="1:33" ht="15.75" customHeight="1" x14ac:dyDescent="0.3">
      <c r="A445" s="16"/>
      <c r="B445" s="16"/>
      <c r="C445" s="130">
        <f t="shared" ca="1" si="8"/>
        <v>426</v>
      </c>
      <c r="D445" s="636"/>
      <c r="E445" s="636"/>
      <c r="F445" s="567" t="s">
        <v>459</v>
      </c>
      <c r="G445" s="219" t="s">
        <v>448</v>
      </c>
      <c r="H445" s="243"/>
      <c r="I445" s="657" t="s">
        <v>372</v>
      </c>
      <c r="J445" s="172" t="s">
        <v>311</v>
      </c>
      <c r="K445" s="245" t="s">
        <v>373</v>
      </c>
      <c r="L445" s="141" t="s">
        <v>15</v>
      </c>
      <c r="M445" s="193">
        <v>46042</v>
      </c>
      <c r="N445" s="194" t="s">
        <v>4</v>
      </c>
      <c r="O445" s="141" t="s">
        <v>15</v>
      </c>
      <c r="P445" s="117"/>
      <c r="Q445" s="407">
        <v>46038</v>
      </c>
      <c r="R445" s="40" t="s">
        <v>445</v>
      </c>
      <c r="S445" s="208"/>
      <c r="T445" s="357"/>
      <c r="U445" s="84"/>
      <c r="V445" s="84"/>
      <c r="W445" s="84"/>
      <c r="X445" s="84"/>
      <c r="Y445" s="84"/>
      <c r="Z445" s="84"/>
      <c r="AA445" s="16"/>
      <c r="AB445" s="16"/>
      <c r="AC445" s="16"/>
      <c r="AD445" s="16"/>
      <c r="AE445" s="16"/>
      <c r="AF445" s="16"/>
      <c r="AG445" s="16"/>
    </row>
    <row r="446" spans="1:33" ht="15.75" customHeight="1" x14ac:dyDescent="0.3">
      <c r="A446" s="16"/>
      <c r="B446" s="16"/>
      <c r="C446" s="130">
        <f t="shared" ca="1" si="8"/>
        <v>427</v>
      </c>
      <c r="D446" s="636"/>
      <c r="E446" s="636"/>
      <c r="F446" s="567" t="s">
        <v>459</v>
      </c>
      <c r="G446" s="219" t="s">
        <v>448</v>
      </c>
      <c r="H446" s="243"/>
      <c r="I446" s="606"/>
      <c r="J446" s="172" t="s">
        <v>313</v>
      </c>
      <c r="K446" s="245" t="s">
        <v>2599</v>
      </c>
      <c r="L446" s="141" t="s">
        <v>15</v>
      </c>
      <c r="M446" s="193">
        <v>46042</v>
      </c>
      <c r="N446" s="194" t="s">
        <v>4</v>
      </c>
      <c r="O446" s="141" t="s">
        <v>15</v>
      </c>
      <c r="P446" s="117"/>
      <c r="Q446" s="407">
        <v>46038</v>
      </c>
      <c r="R446" s="40" t="s">
        <v>445</v>
      </c>
      <c r="S446" s="208"/>
      <c r="T446" s="357"/>
      <c r="U446" s="84"/>
      <c r="V446" s="84"/>
      <c r="W446" s="84"/>
      <c r="X446" s="84"/>
      <c r="Y446" s="84"/>
      <c r="Z446" s="84"/>
      <c r="AA446" s="16"/>
      <c r="AB446" s="16"/>
      <c r="AC446" s="16"/>
      <c r="AD446" s="16"/>
      <c r="AE446" s="16"/>
      <c r="AF446" s="16"/>
      <c r="AG446" s="16"/>
    </row>
    <row r="447" spans="1:33" ht="15.75" customHeight="1" x14ac:dyDescent="0.3">
      <c r="A447" s="16"/>
      <c r="B447" s="16"/>
      <c r="C447" s="130">
        <f t="shared" ca="1" si="8"/>
        <v>428</v>
      </c>
      <c r="D447" s="636"/>
      <c r="E447" s="636"/>
      <c r="F447" s="567" t="s">
        <v>459</v>
      </c>
      <c r="G447" s="219" t="s">
        <v>455</v>
      </c>
      <c r="H447" s="243"/>
      <c r="I447" s="608"/>
      <c r="J447" s="172" t="s">
        <v>375</v>
      </c>
      <c r="K447" s="226" t="s">
        <v>371</v>
      </c>
      <c r="L447" s="141" t="s">
        <v>15</v>
      </c>
      <c r="M447" s="193">
        <v>46042</v>
      </c>
      <c r="N447" s="194" t="s">
        <v>4</v>
      </c>
      <c r="O447" s="141" t="s">
        <v>15</v>
      </c>
      <c r="P447" s="117"/>
      <c r="Q447" s="407">
        <v>46038</v>
      </c>
      <c r="R447" s="40" t="s">
        <v>445</v>
      </c>
      <c r="S447" s="208"/>
      <c r="T447" s="357"/>
      <c r="U447" s="84"/>
      <c r="V447" s="84"/>
      <c r="W447" s="84"/>
      <c r="X447" s="84"/>
      <c r="Y447" s="84"/>
      <c r="Z447" s="84"/>
      <c r="AA447" s="16"/>
      <c r="AB447" s="16"/>
      <c r="AC447" s="16"/>
      <c r="AD447" s="16"/>
      <c r="AE447" s="16"/>
      <c r="AF447" s="16"/>
      <c r="AG447" s="16"/>
    </row>
    <row r="448" spans="1:33" ht="15.75" customHeight="1" x14ac:dyDescent="0.3">
      <c r="A448" s="16"/>
      <c r="B448" s="16"/>
      <c r="C448" s="130">
        <f t="shared" ca="1" si="8"/>
        <v>429</v>
      </c>
      <c r="D448" s="636"/>
      <c r="E448" s="636"/>
      <c r="F448" s="567" t="s">
        <v>459</v>
      </c>
      <c r="G448" s="219" t="s">
        <v>448</v>
      </c>
      <c r="H448" s="243"/>
      <c r="I448" s="172" t="s">
        <v>2814</v>
      </c>
      <c r="J448" s="172" t="s">
        <v>365</v>
      </c>
      <c r="K448" s="245" t="s">
        <v>2590</v>
      </c>
      <c r="L448" s="141" t="s">
        <v>15</v>
      </c>
      <c r="M448" s="193">
        <v>46042</v>
      </c>
      <c r="N448" s="194" t="s">
        <v>4</v>
      </c>
      <c r="O448" s="141" t="s">
        <v>158</v>
      </c>
      <c r="P448" s="117" t="s">
        <v>211</v>
      </c>
      <c r="Q448" s="407">
        <v>46038</v>
      </c>
      <c r="R448" s="40" t="s">
        <v>445</v>
      </c>
      <c r="S448" s="208" t="s">
        <v>2815</v>
      </c>
      <c r="T448" s="357"/>
      <c r="U448" s="84"/>
      <c r="V448" s="84"/>
      <c r="W448" s="84"/>
      <c r="X448" s="84"/>
      <c r="Y448" s="84"/>
      <c r="Z448" s="84"/>
      <c r="AA448" s="16"/>
      <c r="AB448" s="16"/>
      <c r="AC448" s="16"/>
      <c r="AD448" s="16"/>
      <c r="AE448" s="16"/>
      <c r="AF448" s="16"/>
      <c r="AG448" s="16"/>
    </row>
    <row r="449" spans="1:33" ht="15.75" customHeight="1" x14ac:dyDescent="0.3">
      <c r="A449" s="16"/>
      <c r="B449" s="16"/>
      <c r="C449" s="130">
        <f t="shared" ca="1" si="8"/>
        <v>430</v>
      </c>
      <c r="D449" s="636"/>
      <c r="E449" s="636"/>
      <c r="F449" s="567" t="s">
        <v>459</v>
      </c>
      <c r="G449" s="219" t="s">
        <v>448</v>
      </c>
      <c r="H449" s="243"/>
      <c r="I449" s="172" t="s">
        <v>2816</v>
      </c>
      <c r="J449" s="172" t="s">
        <v>365</v>
      </c>
      <c r="K449" s="245" t="s">
        <v>2806</v>
      </c>
      <c r="L449" s="141" t="s">
        <v>15</v>
      </c>
      <c r="M449" s="193">
        <v>46042</v>
      </c>
      <c r="N449" s="194" t="s">
        <v>4</v>
      </c>
      <c r="O449" s="141" t="s">
        <v>15</v>
      </c>
      <c r="P449" s="117"/>
      <c r="Q449" s="407">
        <v>46038</v>
      </c>
      <c r="R449" s="40" t="s">
        <v>445</v>
      </c>
      <c r="S449" s="208"/>
      <c r="T449" s="357"/>
      <c r="U449" s="84"/>
      <c r="V449" s="84"/>
      <c r="W449" s="84"/>
      <c r="X449" s="84"/>
      <c r="Y449" s="84"/>
      <c r="Z449" s="84"/>
      <c r="AA449" s="16"/>
      <c r="AB449" s="16"/>
      <c r="AC449" s="16"/>
      <c r="AD449" s="16"/>
      <c r="AE449" s="16"/>
      <c r="AF449" s="16"/>
      <c r="AG449" s="16"/>
    </row>
    <row r="450" spans="1:33" ht="15.75" customHeight="1" x14ac:dyDescent="0.3">
      <c r="A450" s="16"/>
      <c r="B450" s="16"/>
      <c r="C450" s="130">
        <f t="shared" ca="1" si="8"/>
        <v>431</v>
      </c>
      <c r="D450" s="636"/>
      <c r="E450" s="636"/>
      <c r="F450" s="567" t="s">
        <v>459</v>
      </c>
      <c r="G450" s="219" t="s">
        <v>448</v>
      </c>
      <c r="H450" s="243"/>
      <c r="I450" s="172" t="s">
        <v>2817</v>
      </c>
      <c r="J450" s="172" t="s">
        <v>365</v>
      </c>
      <c r="K450" s="245" t="s">
        <v>2808</v>
      </c>
      <c r="L450" s="141" t="s">
        <v>15</v>
      </c>
      <c r="M450" s="193">
        <v>46042</v>
      </c>
      <c r="N450" s="194" t="s">
        <v>4</v>
      </c>
      <c r="O450" s="141" t="s">
        <v>158</v>
      </c>
      <c r="P450" s="117" t="s">
        <v>211</v>
      </c>
      <c r="Q450" s="407">
        <v>46038</v>
      </c>
      <c r="R450" s="40" t="s">
        <v>445</v>
      </c>
      <c r="S450" s="208" t="s">
        <v>2818</v>
      </c>
      <c r="T450" s="357"/>
      <c r="U450" s="84"/>
      <c r="V450" s="84"/>
      <c r="W450" s="84"/>
      <c r="X450" s="84"/>
      <c r="Y450" s="84"/>
      <c r="Z450" s="84"/>
      <c r="AA450" s="16"/>
      <c r="AB450" s="16"/>
      <c r="AC450" s="16"/>
      <c r="AD450" s="16"/>
      <c r="AE450" s="16"/>
      <c r="AF450" s="16"/>
      <c r="AG450" s="16"/>
    </row>
    <row r="451" spans="1:33" ht="15.75" customHeight="1" x14ac:dyDescent="0.3">
      <c r="A451" s="16"/>
      <c r="B451" s="16"/>
      <c r="C451" s="130">
        <f t="shared" ca="1" si="8"/>
        <v>432</v>
      </c>
      <c r="D451" s="636"/>
      <c r="E451" s="636"/>
      <c r="F451" s="567" t="s">
        <v>459</v>
      </c>
      <c r="G451" s="219" t="s">
        <v>448</v>
      </c>
      <c r="H451" s="243"/>
      <c r="I451" s="172" t="s">
        <v>2819</v>
      </c>
      <c r="J451" s="172" t="s">
        <v>365</v>
      </c>
      <c r="K451" s="245" t="s">
        <v>2811</v>
      </c>
      <c r="L451" s="141" t="s">
        <v>15</v>
      </c>
      <c r="M451" s="193">
        <v>46042</v>
      </c>
      <c r="N451" s="194" t="s">
        <v>4</v>
      </c>
      <c r="O451" s="141" t="s">
        <v>15</v>
      </c>
      <c r="P451" s="117"/>
      <c r="Q451" s="407">
        <v>46038</v>
      </c>
      <c r="R451" s="40" t="s">
        <v>445</v>
      </c>
      <c r="S451" s="208"/>
      <c r="T451" s="357"/>
      <c r="U451" s="84"/>
      <c r="V451" s="84"/>
      <c r="W451" s="84"/>
      <c r="X451" s="84"/>
      <c r="Y451" s="84"/>
      <c r="Z451" s="84"/>
      <c r="AA451" s="16"/>
      <c r="AB451" s="16"/>
      <c r="AC451" s="16"/>
      <c r="AD451" s="16"/>
      <c r="AE451" s="16"/>
      <c r="AF451" s="16"/>
      <c r="AG451" s="16"/>
    </row>
    <row r="452" spans="1:33" ht="15.75" customHeight="1" x14ac:dyDescent="0.3">
      <c r="A452" s="16"/>
      <c r="B452" s="16"/>
      <c r="C452" s="130">
        <f t="shared" ca="1" si="8"/>
        <v>433</v>
      </c>
      <c r="D452" s="635"/>
      <c r="E452" s="635"/>
      <c r="F452" s="567" t="s">
        <v>459</v>
      </c>
      <c r="G452" s="219" t="s">
        <v>448</v>
      </c>
      <c r="H452" s="243"/>
      <c r="I452" s="172" t="s">
        <v>2820</v>
      </c>
      <c r="J452" s="172" t="s">
        <v>365</v>
      </c>
      <c r="K452" s="245" t="s">
        <v>2813</v>
      </c>
      <c r="L452" s="141" t="s">
        <v>15</v>
      </c>
      <c r="M452" s="193">
        <v>46042</v>
      </c>
      <c r="N452" s="194" t="s">
        <v>4</v>
      </c>
      <c r="O452" s="141" t="s">
        <v>15</v>
      </c>
      <c r="P452" s="117"/>
      <c r="Q452" s="407">
        <v>46038</v>
      </c>
      <c r="R452" s="40" t="s">
        <v>445</v>
      </c>
      <c r="S452" s="208"/>
      <c r="T452" s="357"/>
      <c r="U452" s="84"/>
      <c r="V452" s="84"/>
      <c r="W452" s="84"/>
      <c r="X452" s="84"/>
      <c r="Y452" s="84"/>
      <c r="Z452" s="84"/>
      <c r="AA452" s="16"/>
      <c r="AB452" s="16"/>
      <c r="AC452" s="16"/>
      <c r="AD452" s="16"/>
      <c r="AE452" s="16"/>
      <c r="AF452" s="16"/>
      <c r="AG452" s="16"/>
    </row>
    <row r="453" spans="1:33" ht="15.75" customHeight="1" x14ac:dyDescent="0.3">
      <c r="A453" s="16"/>
      <c r="B453" s="16"/>
      <c r="C453" s="130">
        <f t="shared" ca="1" si="8"/>
        <v>434</v>
      </c>
      <c r="D453" s="658" t="s">
        <v>344</v>
      </c>
      <c r="E453" s="251" t="s">
        <v>257</v>
      </c>
      <c r="F453" s="567" t="s">
        <v>457</v>
      </c>
      <c r="G453" s="219" t="s">
        <v>448</v>
      </c>
      <c r="H453" s="243"/>
      <c r="I453" s="172"/>
      <c r="J453" s="172" t="s">
        <v>261</v>
      </c>
      <c r="K453" s="245" t="s">
        <v>2821</v>
      </c>
      <c r="L453" s="141" t="s">
        <v>15</v>
      </c>
      <c r="M453" s="193">
        <v>46042</v>
      </c>
      <c r="N453" s="194" t="s">
        <v>4</v>
      </c>
      <c r="O453" s="141" t="s">
        <v>15</v>
      </c>
      <c r="P453" s="117"/>
      <c r="Q453" s="407">
        <v>46038</v>
      </c>
      <c r="R453" s="40" t="s">
        <v>445</v>
      </c>
      <c r="S453" s="208"/>
      <c r="T453" s="357"/>
      <c r="U453" s="84"/>
      <c r="V453" s="84"/>
      <c r="W453" s="84"/>
      <c r="X453" s="84"/>
      <c r="Y453" s="84"/>
      <c r="Z453" s="84"/>
      <c r="AA453" s="16"/>
      <c r="AB453" s="16"/>
      <c r="AC453" s="16"/>
      <c r="AD453" s="16"/>
      <c r="AE453" s="16"/>
      <c r="AF453" s="16"/>
      <c r="AG453" s="16"/>
    </row>
    <row r="454" spans="1:33" ht="15.75" customHeight="1" x14ac:dyDescent="0.3">
      <c r="A454" s="16"/>
      <c r="B454" s="16"/>
      <c r="C454" s="130">
        <f t="shared" ca="1" si="8"/>
        <v>435</v>
      </c>
      <c r="D454" s="636"/>
      <c r="E454" s="665" t="s">
        <v>237</v>
      </c>
      <c r="F454" s="567" t="s">
        <v>459</v>
      </c>
      <c r="G454" s="219" t="s">
        <v>448</v>
      </c>
      <c r="H454" s="243"/>
      <c r="I454" s="213" t="s">
        <v>364</v>
      </c>
      <c r="J454" s="172" t="s">
        <v>365</v>
      </c>
      <c r="K454" s="245" t="s">
        <v>2822</v>
      </c>
      <c r="L454" s="141" t="s">
        <v>15</v>
      </c>
      <c r="M454" s="193">
        <v>46042</v>
      </c>
      <c r="N454" s="194" t="s">
        <v>4</v>
      </c>
      <c r="O454" s="141" t="s">
        <v>15</v>
      </c>
      <c r="P454" s="117"/>
      <c r="Q454" s="407">
        <v>46038</v>
      </c>
      <c r="R454" s="40" t="s">
        <v>445</v>
      </c>
      <c r="S454" s="208"/>
      <c r="T454" s="357"/>
      <c r="U454" s="84"/>
      <c r="V454" s="84"/>
      <c r="W454" s="84"/>
      <c r="X454" s="84"/>
      <c r="Y454" s="84"/>
      <c r="Z454" s="84"/>
      <c r="AA454" s="16"/>
      <c r="AB454" s="16"/>
      <c r="AC454" s="16"/>
      <c r="AD454" s="16"/>
      <c r="AE454" s="16"/>
      <c r="AF454" s="16"/>
      <c r="AG454" s="16"/>
    </row>
    <row r="455" spans="1:33" ht="15.75" customHeight="1" x14ac:dyDescent="0.3">
      <c r="A455" s="16"/>
      <c r="B455" s="16"/>
      <c r="C455" s="130">
        <f t="shared" ca="1" si="8"/>
        <v>436</v>
      </c>
      <c r="D455" s="636"/>
      <c r="E455" s="636"/>
      <c r="F455" s="567" t="s">
        <v>459</v>
      </c>
      <c r="G455" s="219" t="s">
        <v>448</v>
      </c>
      <c r="H455" s="243"/>
      <c r="I455" s="172" t="s">
        <v>2823</v>
      </c>
      <c r="J455" s="172" t="s">
        <v>365</v>
      </c>
      <c r="K455" s="245" t="s">
        <v>2590</v>
      </c>
      <c r="L455" s="141" t="s">
        <v>15</v>
      </c>
      <c r="M455" s="193">
        <v>46042</v>
      </c>
      <c r="N455" s="194" t="s">
        <v>4</v>
      </c>
      <c r="O455" s="141" t="s">
        <v>158</v>
      </c>
      <c r="P455" s="117" t="s">
        <v>211</v>
      </c>
      <c r="Q455" s="407">
        <v>46038</v>
      </c>
      <c r="R455" s="40" t="s">
        <v>445</v>
      </c>
      <c r="S455" s="208" t="s">
        <v>2824</v>
      </c>
      <c r="T455" s="357"/>
      <c r="U455" s="84"/>
      <c r="V455" s="84"/>
      <c r="W455" s="84"/>
      <c r="X455" s="84"/>
      <c r="Y455" s="84"/>
      <c r="Z455" s="84"/>
      <c r="AA455" s="16"/>
      <c r="AB455" s="16"/>
      <c r="AC455" s="16"/>
      <c r="AD455" s="16"/>
      <c r="AE455" s="16"/>
      <c r="AF455" s="16"/>
      <c r="AG455" s="16"/>
    </row>
    <row r="456" spans="1:33" ht="15.75" customHeight="1" x14ac:dyDescent="0.3">
      <c r="A456" s="16"/>
      <c r="B456" s="16"/>
      <c r="C456" s="130">
        <f t="shared" ca="1" si="8"/>
        <v>437</v>
      </c>
      <c r="D456" s="636"/>
      <c r="E456" s="636"/>
      <c r="F456" s="567" t="s">
        <v>459</v>
      </c>
      <c r="G456" s="219" t="s">
        <v>448</v>
      </c>
      <c r="H456" s="243"/>
      <c r="I456" s="172" t="s">
        <v>2825</v>
      </c>
      <c r="J456" s="172" t="s">
        <v>365</v>
      </c>
      <c r="K456" s="245" t="s">
        <v>2826</v>
      </c>
      <c r="L456" s="141" t="s">
        <v>15</v>
      </c>
      <c r="M456" s="193">
        <v>46042</v>
      </c>
      <c r="N456" s="194" t="s">
        <v>4</v>
      </c>
      <c r="O456" s="141" t="s">
        <v>15</v>
      </c>
      <c r="P456" s="117"/>
      <c r="Q456" s="407">
        <v>46038</v>
      </c>
      <c r="R456" s="40" t="s">
        <v>445</v>
      </c>
      <c r="S456" s="208"/>
      <c r="T456" s="357"/>
      <c r="U456" s="84"/>
      <c r="V456" s="84"/>
      <c r="W456" s="84"/>
      <c r="X456" s="84"/>
      <c r="Y456" s="84"/>
      <c r="Z456" s="84"/>
      <c r="AA456" s="16"/>
      <c r="AB456" s="16"/>
      <c r="AC456" s="16"/>
      <c r="AD456" s="16"/>
      <c r="AE456" s="16"/>
      <c r="AF456" s="16"/>
      <c r="AG456" s="16"/>
    </row>
    <row r="457" spans="1:33" ht="15.75" customHeight="1" x14ac:dyDescent="0.3">
      <c r="A457" s="16"/>
      <c r="B457" s="16"/>
      <c r="C457" s="130">
        <f t="shared" ca="1" si="8"/>
        <v>438</v>
      </c>
      <c r="D457" s="636"/>
      <c r="E457" s="636"/>
      <c r="F457" s="567" t="s">
        <v>459</v>
      </c>
      <c r="G457" s="219" t="s">
        <v>448</v>
      </c>
      <c r="H457" s="243"/>
      <c r="I457" s="172" t="s">
        <v>2827</v>
      </c>
      <c r="J457" s="172" t="s">
        <v>365</v>
      </c>
      <c r="K457" s="245" t="s">
        <v>2828</v>
      </c>
      <c r="L457" s="141" t="s">
        <v>15</v>
      </c>
      <c r="M457" s="193">
        <v>46042</v>
      </c>
      <c r="N457" s="194" t="s">
        <v>4</v>
      </c>
      <c r="O457" s="141" t="s">
        <v>158</v>
      </c>
      <c r="P457" s="117" t="s">
        <v>211</v>
      </c>
      <c r="Q457" s="407">
        <v>46038</v>
      </c>
      <c r="R457" s="40" t="s">
        <v>445</v>
      </c>
      <c r="S457" s="208" t="s">
        <v>2829</v>
      </c>
      <c r="T457" s="357"/>
      <c r="U457" s="84"/>
      <c r="V457" s="84"/>
      <c r="W457" s="84"/>
      <c r="X457" s="84"/>
      <c r="Y457" s="84"/>
      <c r="Z457" s="84"/>
      <c r="AA457" s="16"/>
      <c r="AB457" s="16"/>
      <c r="AC457" s="16"/>
      <c r="AD457" s="16"/>
      <c r="AE457" s="16"/>
      <c r="AF457" s="16"/>
      <c r="AG457" s="16"/>
    </row>
    <row r="458" spans="1:33" ht="15.75" customHeight="1" x14ac:dyDescent="0.3">
      <c r="A458" s="16"/>
      <c r="B458" s="16"/>
      <c r="C458" s="130">
        <f t="shared" ca="1" si="8"/>
        <v>439</v>
      </c>
      <c r="D458" s="636"/>
      <c r="E458" s="636"/>
      <c r="F458" s="567" t="s">
        <v>459</v>
      </c>
      <c r="G458" s="219" t="s">
        <v>448</v>
      </c>
      <c r="H458" s="243"/>
      <c r="I458" s="172" t="s">
        <v>2830</v>
      </c>
      <c r="J458" s="172" t="s">
        <v>365</v>
      </c>
      <c r="K458" s="245" t="s">
        <v>2831</v>
      </c>
      <c r="L458" s="141" t="s">
        <v>15</v>
      </c>
      <c r="M458" s="193">
        <v>46042</v>
      </c>
      <c r="N458" s="194" t="s">
        <v>4</v>
      </c>
      <c r="O458" s="141" t="s">
        <v>15</v>
      </c>
      <c r="P458" s="117"/>
      <c r="Q458" s="407">
        <v>46038</v>
      </c>
      <c r="R458" s="40" t="s">
        <v>445</v>
      </c>
      <c r="S458" s="208"/>
      <c r="T458" s="357"/>
      <c r="U458" s="84"/>
      <c r="V458" s="84"/>
      <c r="W458" s="84"/>
      <c r="X458" s="84"/>
      <c r="Y458" s="84"/>
      <c r="Z458" s="84"/>
      <c r="AA458" s="16"/>
      <c r="AB458" s="16"/>
      <c r="AC458" s="16"/>
      <c r="AD458" s="16"/>
      <c r="AE458" s="16"/>
      <c r="AF458" s="16"/>
      <c r="AG458" s="16"/>
    </row>
    <row r="459" spans="1:33" ht="15.75" customHeight="1" x14ac:dyDescent="0.3">
      <c r="A459" s="16"/>
      <c r="B459" s="16"/>
      <c r="C459" s="130">
        <f t="shared" ca="1" si="8"/>
        <v>440</v>
      </c>
      <c r="D459" s="636"/>
      <c r="E459" s="636"/>
      <c r="F459" s="567" t="s">
        <v>459</v>
      </c>
      <c r="G459" s="219" t="s">
        <v>448</v>
      </c>
      <c r="H459" s="243"/>
      <c r="I459" s="172" t="s">
        <v>2832</v>
      </c>
      <c r="J459" s="172" t="s">
        <v>365</v>
      </c>
      <c r="K459" s="245" t="s">
        <v>2833</v>
      </c>
      <c r="L459" s="141" t="s">
        <v>15</v>
      </c>
      <c r="M459" s="193">
        <v>46042</v>
      </c>
      <c r="N459" s="194" t="s">
        <v>4</v>
      </c>
      <c r="O459" s="141" t="s">
        <v>15</v>
      </c>
      <c r="P459" s="117"/>
      <c r="Q459" s="407">
        <v>46038</v>
      </c>
      <c r="R459" s="40" t="s">
        <v>445</v>
      </c>
      <c r="S459" s="208"/>
      <c r="T459" s="357"/>
      <c r="U459" s="84"/>
      <c r="V459" s="84"/>
      <c r="W459" s="84"/>
      <c r="X459" s="84"/>
      <c r="Y459" s="84"/>
      <c r="Z459" s="84"/>
      <c r="AA459" s="16"/>
      <c r="AB459" s="16"/>
      <c r="AC459" s="16"/>
      <c r="AD459" s="16"/>
      <c r="AE459" s="16"/>
      <c r="AF459" s="16"/>
      <c r="AG459" s="16"/>
    </row>
    <row r="460" spans="1:33" ht="15.75" customHeight="1" x14ac:dyDescent="0.3">
      <c r="A460" s="16"/>
      <c r="B460" s="16"/>
      <c r="C460" s="130">
        <f t="shared" ca="1" si="8"/>
        <v>441</v>
      </c>
      <c r="D460" s="636"/>
      <c r="E460" s="636"/>
      <c r="F460" s="567" t="s">
        <v>459</v>
      </c>
      <c r="G460" s="219" t="s">
        <v>455</v>
      </c>
      <c r="H460" s="243"/>
      <c r="I460" s="210"/>
      <c r="J460" s="172" t="s">
        <v>310</v>
      </c>
      <c r="K460" s="226" t="s">
        <v>371</v>
      </c>
      <c r="L460" s="141" t="s">
        <v>15</v>
      </c>
      <c r="M460" s="193">
        <v>46042</v>
      </c>
      <c r="N460" s="194" t="s">
        <v>4</v>
      </c>
      <c r="O460" s="141" t="s">
        <v>15</v>
      </c>
      <c r="P460" s="117"/>
      <c r="Q460" s="407">
        <v>46038</v>
      </c>
      <c r="R460" s="40" t="s">
        <v>445</v>
      </c>
      <c r="S460" s="208"/>
      <c r="T460" s="357"/>
      <c r="U460" s="84"/>
      <c r="V460" s="84"/>
      <c r="W460" s="84"/>
      <c r="X460" s="84"/>
      <c r="Y460" s="84"/>
      <c r="Z460" s="84"/>
      <c r="AA460" s="16"/>
      <c r="AB460" s="16"/>
      <c r="AC460" s="16"/>
      <c r="AD460" s="16"/>
      <c r="AE460" s="16"/>
      <c r="AF460" s="16"/>
      <c r="AG460" s="16"/>
    </row>
    <row r="461" spans="1:33" ht="15.75" customHeight="1" x14ac:dyDescent="0.3">
      <c r="A461" s="16"/>
      <c r="B461" s="16"/>
      <c r="C461" s="130">
        <f t="shared" ca="1" si="8"/>
        <v>442</v>
      </c>
      <c r="D461" s="636"/>
      <c r="E461" s="636"/>
      <c r="F461" s="567" t="s">
        <v>459</v>
      </c>
      <c r="G461" s="219" t="s">
        <v>448</v>
      </c>
      <c r="H461" s="243"/>
      <c r="I461" s="213" t="s">
        <v>372</v>
      </c>
      <c r="J461" s="172" t="s">
        <v>311</v>
      </c>
      <c r="K461" s="245" t="s">
        <v>373</v>
      </c>
      <c r="L461" s="141" t="s">
        <v>15</v>
      </c>
      <c r="M461" s="193">
        <v>46042</v>
      </c>
      <c r="N461" s="194" t="s">
        <v>4</v>
      </c>
      <c r="O461" s="141" t="s">
        <v>15</v>
      </c>
      <c r="P461" s="117"/>
      <c r="Q461" s="407">
        <v>46038</v>
      </c>
      <c r="R461" s="40" t="s">
        <v>445</v>
      </c>
      <c r="S461" s="208"/>
      <c r="T461" s="357"/>
      <c r="U461" s="84"/>
      <c r="V461" s="84"/>
      <c r="W461" s="84"/>
      <c r="X461" s="84"/>
      <c r="Y461" s="84"/>
      <c r="Z461" s="84"/>
      <c r="AA461" s="16"/>
      <c r="AB461" s="16"/>
      <c r="AC461" s="16"/>
      <c r="AD461" s="16"/>
      <c r="AE461" s="16"/>
      <c r="AF461" s="16"/>
      <c r="AG461" s="16"/>
    </row>
    <row r="462" spans="1:33" ht="15.75" customHeight="1" x14ac:dyDescent="0.3">
      <c r="A462" s="16"/>
      <c r="B462" s="16"/>
      <c r="C462" s="130">
        <f t="shared" ca="1" si="8"/>
        <v>443</v>
      </c>
      <c r="D462" s="636"/>
      <c r="E462" s="636"/>
      <c r="F462" s="567" t="s">
        <v>459</v>
      </c>
      <c r="G462" s="219" t="s">
        <v>448</v>
      </c>
      <c r="H462" s="243"/>
      <c r="I462" s="569"/>
      <c r="J462" s="172" t="s">
        <v>313</v>
      </c>
      <c r="K462" s="245" t="s">
        <v>2599</v>
      </c>
      <c r="L462" s="141" t="s">
        <v>15</v>
      </c>
      <c r="M462" s="193">
        <v>46042</v>
      </c>
      <c r="N462" s="194" t="s">
        <v>4</v>
      </c>
      <c r="O462" s="141" t="s">
        <v>15</v>
      </c>
      <c r="P462" s="117"/>
      <c r="Q462" s="407">
        <v>46038</v>
      </c>
      <c r="R462" s="40" t="s">
        <v>445</v>
      </c>
      <c r="S462" s="208"/>
      <c r="T462" s="357"/>
      <c r="U462" s="84"/>
      <c r="V462" s="84"/>
      <c r="W462" s="84"/>
      <c r="X462" s="84"/>
      <c r="Y462" s="84"/>
      <c r="Z462" s="84"/>
      <c r="AA462" s="16"/>
      <c r="AB462" s="16"/>
      <c r="AC462" s="16"/>
      <c r="AD462" s="16"/>
      <c r="AE462" s="16"/>
      <c r="AF462" s="16"/>
      <c r="AG462" s="16"/>
    </row>
    <row r="463" spans="1:33" ht="15.75" customHeight="1" x14ac:dyDescent="0.3">
      <c r="A463" s="16"/>
      <c r="B463" s="16"/>
      <c r="C463" s="130">
        <f t="shared" ca="1" si="8"/>
        <v>444</v>
      </c>
      <c r="D463" s="636"/>
      <c r="E463" s="636"/>
      <c r="F463" s="567" t="s">
        <v>459</v>
      </c>
      <c r="G463" s="219" t="s">
        <v>455</v>
      </c>
      <c r="H463" s="243"/>
      <c r="I463" s="210"/>
      <c r="J463" s="172" t="s">
        <v>375</v>
      </c>
      <c r="K463" s="226" t="s">
        <v>371</v>
      </c>
      <c r="L463" s="141" t="s">
        <v>15</v>
      </c>
      <c r="M463" s="193">
        <v>46042</v>
      </c>
      <c r="N463" s="194" t="s">
        <v>4</v>
      </c>
      <c r="O463" s="141" t="s">
        <v>15</v>
      </c>
      <c r="P463" s="117"/>
      <c r="Q463" s="407">
        <v>46038</v>
      </c>
      <c r="R463" s="40" t="s">
        <v>445</v>
      </c>
      <c r="S463" s="208"/>
      <c r="T463" s="357"/>
      <c r="U463" s="84"/>
      <c r="V463" s="84"/>
      <c r="W463" s="84"/>
      <c r="X463" s="84"/>
      <c r="Y463" s="84"/>
      <c r="Z463" s="84"/>
      <c r="AA463" s="16"/>
      <c r="AB463" s="16"/>
      <c r="AC463" s="16"/>
      <c r="AD463" s="16"/>
      <c r="AE463" s="16"/>
      <c r="AF463" s="16"/>
      <c r="AG463" s="16"/>
    </row>
    <row r="464" spans="1:33" ht="15.75" customHeight="1" x14ac:dyDescent="0.3">
      <c r="A464" s="16"/>
      <c r="B464" s="16"/>
      <c r="C464" s="130">
        <f t="shared" ca="1" si="8"/>
        <v>445</v>
      </c>
      <c r="D464" s="636"/>
      <c r="E464" s="636"/>
      <c r="F464" s="567" t="s">
        <v>459</v>
      </c>
      <c r="G464" s="219" t="s">
        <v>448</v>
      </c>
      <c r="H464" s="243"/>
      <c r="I464" s="172" t="s">
        <v>2834</v>
      </c>
      <c r="J464" s="172" t="s">
        <v>365</v>
      </c>
      <c r="K464" s="245" t="s">
        <v>2590</v>
      </c>
      <c r="L464" s="141" t="s">
        <v>15</v>
      </c>
      <c r="M464" s="193">
        <v>46042</v>
      </c>
      <c r="N464" s="194" t="s">
        <v>4</v>
      </c>
      <c r="O464" s="141" t="s">
        <v>158</v>
      </c>
      <c r="P464" s="117" t="s">
        <v>211</v>
      </c>
      <c r="Q464" s="407">
        <v>46038</v>
      </c>
      <c r="R464" s="40" t="s">
        <v>445</v>
      </c>
      <c r="S464" s="208" t="s">
        <v>2835</v>
      </c>
      <c r="T464" s="357"/>
      <c r="U464" s="84"/>
      <c r="V464" s="84"/>
      <c r="W464" s="84"/>
      <c r="X464" s="84"/>
      <c r="Y464" s="84"/>
      <c r="Z464" s="84"/>
      <c r="AA464" s="16"/>
      <c r="AB464" s="16"/>
      <c r="AC464" s="16"/>
      <c r="AD464" s="16"/>
      <c r="AE464" s="16"/>
      <c r="AF464" s="16"/>
      <c r="AG464" s="16"/>
    </row>
    <row r="465" spans="1:33" ht="15.75" customHeight="1" x14ac:dyDescent="0.3">
      <c r="A465" s="16"/>
      <c r="B465" s="16"/>
      <c r="C465" s="130">
        <f t="shared" ca="1" si="8"/>
        <v>446</v>
      </c>
      <c r="D465" s="636"/>
      <c r="E465" s="636"/>
      <c r="F465" s="567" t="s">
        <v>459</v>
      </c>
      <c r="G465" s="219" t="s">
        <v>448</v>
      </c>
      <c r="H465" s="243"/>
      <c r="I465" s="172" t="s">
        <v>2836</v>
      </c>
      <c r="J465" s="172" t="s">
        <v>365</v>
      </c>
      <c r="K465" s="245" t="s">
        <v>2826</v>
      </c>
      <c r="L465" s="141" t="s">
        <v>15</v>
      </c>
      <c r="M465" s="193">
        <v>46042</v>
      </c>
      <c r="N465" s="194" t="s">
        <v>4</v>
      </c>
      <c r="O465" s="141" t="s">
        <v>15</v>
      </c>
      <c r="P465" s="117"/>
      <c r="Q465" s="407">
        <v>46038</v>
      </c>
      <c r="R465" s="40" t="s">
        <v>445</v>
      </c>
      <c r="S465" s="208"/>
      <c r="T465" s="357"/>
      <c r="U465" s="84"/>
      <c r="V465" s="84"/>
      <c r="W465" s="84"/>
      <c r="X465" s="84"/>
      <c r="Y465" s="84"/>
      <c r="Z465" s="84"/>
      <c r="AA465" s="16"/>
      <c r="AB465" s="16"/>
      <c r="AC465" s="16"/>
      <c r="AD465" s="16"/>
      <c r="AE465" s="16"/>
      <c r="AF465" s="16"/>
      <c r="AG465" s="16"/>
    </row>
    <row r="466" spans="1:33" ht="15.75" customHeight="1" x14ac:dyDescent="0.3">
      <c r="A466" s="16"/>
      <c r="B466" s="16"/>
      <c r="C466" s="130">
        <f t="shared" ca="1" si="8"/>
        <v>447</v>
      </c>
      <c r="D466" s="636"/>
      <c r="E466" s="636"/>
      <c r="F466" s="567" t="s">
        <v>459</v>
      </c>
      <c r="G466" s="219" t="s">
        <v>448</v>
      </c>
      <c r="H466" s="243"/>
      <c r="I466" s="172" t="s">
        <v>2837</v>
      </c>
      <c r="J466" s="172" t="s">
        <v>365</v>
      </c>
      <c r="K466" s="245" t="s">
        <v>2828</v>
      </c>
      <c r="L466" s="141" t="s">
        <v>15</v>
      </c>
      <c r="M466" s="193">
        <v>46042</v>
      </c>
      <c r="N466" s="194" t="s">
        <v>4</v>
      </c>
      <c r="O466" s="141" t="s">
        <v>158</v>
      </c>
      <c r="P466" s="117" t="s">
        <v>211</v>
      </c>
      <c r="Q466" s="407">
        <v>46038</v>
      </c>
      <c r="R466" s="40" t="s">
        <v>445</v>
      </c>
      <c r="S466" s="208" t="s">
        <v>2838</v>
      </c>
      <c r="T466" s="357"/>
      <c r="U466" s="84"/>
      <c r="V466" s="84"/>
      <c r="W466" s="84"/>
      <c r="X466" s="84"/>
      <c r="Y466" s="84"/>
      <c r="Z466" s="84"/>
      <c r="AA466" s="16"/>
      <c r="AB466" s="16"/>
      <c r="AC466" s="16"/>
      <c r="AD466" s="16"/>
      <c r="AE466" s="16"/>
      <c r="AF466" s="16"/>
      <c r="AG466" s="16"/>
    </row>
    <row r="467" spans="1:33" ht="15.75" customHeight="1" x14ac:dyDescent="0.3">
      <c r="A467" s="16"/>
      <c r="B467" s="16"/>
      <c r="C467" s="130">
        <f t="shared" ca="1" si="8"/>
        <v>448</v>
      </c>
      <c r="D467" s="636"/>
      <c r="E467" s="636"/>
      <c r="F467" s="567" t="s">
        <v>459</v>
      </c>
      <c r="G467" s="219" t="s">
        <v>448</v>
      </c>
      <c r="H467" s="243"/>
      <c r="I467" s="172" t="s">
        <v>2839</v>
      </c>
      <c r="J467" s="172" t="s">
        <v>365</v>
      </c>
      <c r="K467" s="245" t="s">
        <v>2831</v>
      </c>
      <c r="L467" s="141" t="s">
        <v>15</v>
      </c>
      <c r="M467" s="193">
        <v>46042</v>
      </c>
      <c r="N467" s="194" t="s">
        <v>4</v>
      </c>
      <c r="O467" s="141" t="s">
        <v>15</v>
      </c>
      <c r="P467" s="117"/>
      <c r="Q467" s="407">
        <v>46038</v>
      </c>
      <c r="R467" s="40" t="s">
        <v>445</v>
      </c>
      <c r="S467" s="208"/>
      <c r="T467" s="357"/>
      <c r="U467" s="84"/>
      <c r="V467" s="84"/>
      <c r="W467" s="84"/>
      <c r="X467" s="84"/>
      <c r="Y467" s="84"/>
      <c r="Z467" s="84"/>
      <c r="AA467" s="297"/>
      <c r="AB467" s="297"/>
      <c r="AC467" s="297"/>
      <c r="AD467" s="297"/>
      <c r="AE467" s="297"/>
      <c r="AF467" s="297"/>
      <c r="AG467" s="297"/>
    </row>
    <row r="468" spans="1:33" ht="15.75" customHeight="1" x14ac:dyDescent="0.3">
      <c r="A468" s="16"/>
      <c r="B468" s="16"/>
      <c r="C468" s="130">
        <f t="shared" ca="1" si="8"/>
        <v>449</v>
      </c>
      <c r="D468" s="635"/>
      <c r="E468" s="635"/>
      <c r="F468" s="567" t="s">
        <v>459</v>
      </c>
      <c r="G468" s="219" t="s">
        <v>448</v>
      </c>
      <c r="H468" s="243"/>
      <c r="I468" s="172" t="s">
        <v>2840</v>
      </c>
      <c r="J468" s="172" t="s">
        <v>365</v>
      </c>
      <c r="K468" s="245" t="s">
        <v>2833</v>
      </c>
      <c r="L468" s="141" t="s">
        <v>15</v>
      </c>
      <c r="M468" s="193">
        <v>46042</v>
      </c>
      <c r="N468" s="194" t="s">
        <v>4</v>
      </c>
      <c r="O468" s="141" t="s">
        <v>15</v>
      </c>
      <c r="P468" s="117"/>
      <c r="Q468" s="407">
        <v>46038</v>
      </c>
      <c r="R468" s="40" t="s">
        <v>445</v>
      </c>
      <c r="S468" s="208"/>
      <c r="T468" s="357"/>
      <c r="U468" s="84"/>
      <c r="V468" s="84"/>
      <c r="W468" s="84"/>
      <c r="X468" s="84"/>
      <c r="Y468" s="84"/>
      <c r="Z468" s="84"/>
      <c r="AA468" s="16"/>
      <c r="AB468" s="16"/>
      <c r="AC468" s="16"/>
      <c r="AD468" s="16"/>
      <c r="AE468" s="16"/>
      <c r="AF468" s="16"/>
      <c r="AG468" s="16"/>
    </row>
    <row r="469" spans="1:33" ht="15.75" customHeight="1" x14ac:dyDescent="0.3">
      <c r="A469" s="16"/>
      <c r="B469" s="16"/>
      <c r="C469" s="130">
        <f t="shared" ca="1" si="8"/>
        <v>450</v>
      </c>
      <c r="D469" s="658" t="s">
        <v>345</v>
      </c>
      <c r="E469" s="251" t="s">
        <v>257</v>
      </c>
      <c r="F469" s="567" t="s">
        <v>457</v>
      </c>
      <c r="G469" s="219" t="s">
        <v>448</v>
      </c>
      <c r="H469" s="243"/>
      <c r="I469" s="172"/>
      <c r="J469" s="172" t="s">
        <v>261</v>
      </c>
      <c r="K469" s="245" t="s">
        <v>2841</v>
      </c>
      <c r="L469" s="141" t="s">
        <v>15</v>
      </c>
      <c r="M469" s="193">
        <v>46042</v>
      </c>
      <c r="N469" s="194" t="s">
        <v>4</v>
      </c>
      <c r="O469" s="141" t="s">
        <v>15</v>
      </c>
      <c r="P469" s="117"/>
      <c r="Q469" s="407">
        <v>46038</v>
      </c>
      <c r="R469" s="40" t="s">
        <v>445</v>
      </c>
      <c r="S469" s="208"/>
      <c r="T469" s="357"/>
      <c r="U469" s="84"/>
      <c r="V469" s="84"/>
      <c r="W469" s="84"/>
      <c r="X469" s="84"/>
      <c r="Y469" s="84"/>
      <c r="Z469" s="84"/>
      <c r="AA469" s="16"/>
      <c r="AB469" s="16"/>
      <c r="AC469" s="16"/>
      <c r="AD469" s="16"/>
      <c r="AE469" s="16"/>
      <c r="AF469" s="16"/>
      <c r="AG469" s="16"/>
    </row>
    <row r="470" spans="1:33" ht="15.75" customHeight="1" x14ac:dyDescent="0.3">
      <c r="A470" s="16"/>
      <c r="B470" s="16"/>
      <c r="C470" s="130">
        <f t="shared" ca="1" si="8"/>
        <v>451</v>
      </c>
      <c r="D470" s="636"/>
      <c r="E470" s="665" t="s">
        <v>237</v>
      </c>
      <c r="F470" s="567" t="s">
        <v>459</v>
      </c>
      <c r="G470" s="219" t="s">
        <v>448</v>
      </c>
      <c r="H470" s="243"/>
      <c r="I470" s="213" t="s">
        <v>364</v>
      </c>
      <c r="J470" s="172" t="s">
        <v>365</v>
      </c>
      <c r="K470" s="245" t="s">
        <v>2842</v>
      </c>
      <c r="L470" s="141" t="s">
        <v>15</v>
      </c>
      <c r="M470" s="193">
        <v>46042</v>
      </c>
      <c r="N470" s="194" t="s">
        <v>4</v>
      </c>
      <c r="O470" s="141" t="s">
        <v>15</v>
      </c>
      <c r="P470" s="117"/>
      <c r="Q470" s="407">
        <v>46038</v>
      </c>
      <c r="R470" s="40" t="s">
        <v>445</v>
      </c>
      <c r="S470" s="208"/>
      <c r="T470" s="357"/>
      <c r="U470" s="84"/>
      <c r="V470" s="84"/>
      <c r="W470" s="84"/>
      <c r="X470" s="84"/>
      <c r="Y470" s="84"/>
      <c r="Z470" s="84"/>
      <c r="AA470" s="16"/>
      <c r="AB470" s="16"/>
      <c r="AC470" s="16"/>
      <c r="AD470" s="16"/>
      <c r="AE470" s="16"/>
      <c r="AF470" s="16"/>
      <c r="AG470" s="16"/>
    </row>
    <row r="471" spans="1:33" ht="15.75" customHeight="1" x14ac:dyDescent="0.3">
      <c r="A471" s="16"/>
      <c r="B471" s="16"/>
      <c r="C471" s="130">
        <f t="shared" ca="1" si="8"/>
        <v>452</v>
      </c>
      <c r="D471" s="636"/>
      <c r="E471" s="636"/>
      <c r="F471" s="567" t="s">
        <v>459</v>
      </c>
      <c r="G471" s="219" t="s">
        <v>448</v>
      </c>
      <c r="H471" s="243"/>
      <c r="I471" s="172" t="s">
        <v>2843</v>
      </c>
      <c r="J471" s="172" t="s">
        <v>365</v>
      </c>
      <c r="K471" s="245" t="s">
        <v>2590</v>
      </c>
      <c r="L471" s="141" t="s">
        <v>15</v>
      </c>
      <c r="M471" s="193">
        <v>46042</v>
      </c>
      <c r="N471" s="194" t="s">
        <v>4</v>
      </c>
      <c r="O471" s="141" t="s">
        <v>158</v>
      </c>
      <c r="P471" s="117" t="s">
        <v>211</v>
      </c>
      <c r="Q471" s="407">
        <v>46038</v>
      </c>
      <c r="R471" s="40" t="s">
        <v>445</v>
      </c>
      <c r="S471" s="208" t="s">
        <v>2844</v>
      </c>
      <c r="T471" s="357"/>
      <c r="U471" s="84"/>
      <c r="V471" s="84"/>
      <c r="W471" s="84"/>
      <c r="X471" s="84"/>
      <c r="Y471" s="84"/>
      <c r="Z471" s="84"/>
      <c r="AA471" s="16"/>
      <c r="AB471" s="16"/>
      <c r="AC471" s="16"/>
      <c r="AD471" s="16"/>
      <c r="AE471" s="16"/>
      <c r="AF471" s="16"/>
      <c r="AG471" s="16"/>
    </row>
    <row r="472" spans="1:33" ht="15.75" customHeight="1" x14ac:dyDescent="0.3">
      <c r="A472" s="16"/>
      <c r="B472" s="16"/>
      <c r="C472" s="130">
        <f t="shared" ca="1" si="8"/>
        <v>453</v>
      </c>
      <c r="D472" s="636"/>
      <c r="E472" s="636"/>
      <c r="F472" s="567" t="s">
        <v>459</v>
      </c>
      <c r="G472" s="219" t="s">
        <v>448</v>
      </c>
      <c r="H472" s="243"/>
      <c r="I472" s="172" t="s">
        <v>2845</v>
      </c>
      <c r="J472" s="172" t="s">
        <v>365</v>
      </c>
      <c r="K472" s="245" t="s">
        <v>2846</v>
      </c>
      <c r="L472" s="141" t="s">
        <v>15</v>
      </c>
      <c r="M472" s="193">
        <v>46042</v>
      </c>
      <c r="N472" s="194" t="s">
        <v>4</v>
      </c>
      <c r="O472" s="141" t="s">
        <v>15</v>
      </c>
      <c r="P472" s="117"/>
      <c r="Q472" s="407">
        <v>46038</v>
      </c>
      <c r="R472" s="40" t="s">
        <v>445</v>
      </c>
      <c r="S472" s="208"/>
      <c r="T472" s="357"/>
      <c r="U472" s="84"/>
      <c r="V472" s="84"/>
      <c r="W472" s="84"/>
      <c r="X472" s="84"/>
      <c r="Y472" s="84"/>
      <c r="Z472" s="84"/>
      <c r="AA472" s="16"/>
      <c r="AB472" s="16"/>
      <c r="AC472" s="16"/>
      <c r="AD472" s="16"/>
      <c r="AE472" s="16"/>
      <c r="AF472" s="16"/>
      <c r="AG472" s="16"/>
    </row>
    <row r="473" spans="1:33" ht="15.75" customHeight="1" x14ac:dyDescent="0.3">
      <c r="A473" s="16"/>
      <c r="B473" s="16"/>
      <c r="C473" s="130">
        <f t="shared" ca="1" si="8"/>
        <v>454</v>
      </c>
      <c r="D473" s="636"/>
      <c r="E473" s="636"/>
      <c r="F473" s="567" t="s">
        <v>459</v>
      </c>
      <c r="G473" s="219" t="s">
        <v>448</v>
      </c>
      <c r="H473" s="243"/>
      <c r="I473" s="172" t="s">
        <v>2847</v>
      </c>
      <c r="J473" s="172" t="s">
        <v>365</v>
      </c>
      <c r="K473" s="245" t="s">
        <v>2848</v>
      </c>
      <c r="L473" s="141" t="s">
        <v>15</v>
      </c>
      <c r="M473" s="193">
        <v>46042</v>
      </c>
      <c r="N473" s="194" t="s">
        <v>4</v>
      </c>
      <c r="O473" s="141" t="s">
        <v>158</v>
      </c>
      <c r="P473" s="117" t="s">
        <v>211</v>
      </c>
      <c r="Q473" s="407">
        <v>46038</v>
      </c>
      <c r="R473" s="40" t="s">
        <v>445</v>
      </c>
      <c r="S473" s="208" t="s">
        <v>2849</v>
      </c>
      <c r="T473" s="357"/>
      <c r="U473" s="84"/>
      <c r="V473" s="84"/>
      <c r="W473" s="84"/>
      <c r="X473" s="84"/>
      <c r="Y473" s="84"/>
      <c r="Z473" s="84"/>
      <c r="AA473" s="16"/>
      <c r="AB473" s="16"/>
      <c r="AC473" s="16"/>
      <c r="AD473" s="16"/>
      <c r="AE473" s="16"/>
      <c r="AF473" s="16"/>
      <c r="AG473" s="16"/>
    </row>
    <row r="474" spans="1:33" ht="15.75" customHeight="1" x14ac:dyDescent="0.3">
      <c r="A474" s="16"/>
      <c r="B474" s="16"/>
      <c r="C474" s="130">
        <f t="shared" ca="1" si="8"/>
        <v>455</v>
      </c>
      <c r="D474" s="636"/>
      <c r="E474" s="636"/>
      <c r="F474" s="567" t="s">
        <v>459</v>
      </c>
      <c r="G474" s="219" t="s">
        <v>448</v>
      </c>
      <c r="H474" s="243"/>
      <c r="I474" s="172" t="s">
        <v>2850</v>
      </c>
      <c r="J474" s="172" t="s">
        <v>365</v>
      </c>
      <c r="K474" s="245" t="s">
        <v>2851</v>
      </c>
      <c r="L474" s="141" t="s">
        <v>15</v>
      </c>
      <c r="M474" s="193">
        <v>46042</v>
      </c>
      <c r="N474" s="194" t="s">
        <v>4</v>
      </c>
      <c r="O474" s="141" t="s">
        <v>15</v>
      </c>
      <c r="P474" s="117"/>
      <c r="Q474" s="407">
        <v>46038</v>
      </c>
      <c r="R474" s="40" t="s">
        <v>445</v>
      </c>
      <c r="S474" s="208"/>
      <c r="T474" s="357"/>
      <c r="U474" s="84"/>
      <c r="V474" s="84"/>
      <c r="W474" s="84"/>
      <c r="X474" s="84"/>
      <c r="Y474" s="84"/>
      <c r="Z474" s="84"/>
      <c r="AA474" s="16"/>
      <c r="AB474" s="16"/>
      <c r="AC474" s="16"/>
      <c r="AD474" s="16"/>
      <c r="AE474" s="16"/>
      <c r="AF474" s="16"/>
      <c r="AG474" s="16"/>
    </row>
    <row r="475" spans="1:33" ht="15.75" customHeight="1" x14ac:dyDescent="0.3">
      <c r="A475" s="16"/>
      <c r="B475" s="16"/>
      <c r="C475" s="130">
        <f t="shared" ca="1" si="8"/>
        <v>456</v>
      </c>
      <c r="D475" s="636"/>
      <c r="E475" s="636"/>
      <c r="F475" s="567" t="s">
        <v>459</v>
      </c>
      <c r="G475" s="219" t="s">
        <v>448</v>
      </c>
      <c r="H475" s="243"/>
      <c r="I475" s="172" t="s">
        <v>2852</v>
      </c>
      <c r="J475" s="172" t="s">
        <v>365</v>
      </c>
      <c r="K475" s="245" t="s">
        <v>2853</v>
      </c>
      <c r="L475" s="141" t="s">
        <v>15</v>
      </c>
      <c r="M475" s="193">
        <v>46042</v>
      </c>
      <c r="N475" s="194" t="s">
        <v>4</v>
      </c>
      <c r="O475" s="141" t="s">
        <v>15</v>
      </c>
      <c r="P475" s="117"/>
      <c r="Q475" s="407">
        <v>46038</v>
      </c>
      <c r="R475" s="40" t="s">
        <v>445</v>
      </c>
      <c r="S475" s="208"/>
      <c r="T475" s="357"/>
      <c r="U475" s="84"/>
      <c r="V475" s="84"/>
      <c r="W475" s="84"/>
      <c r="X475" s="84"/>
      <c r="Y475" s="84"/>
      <c r="Z475" s="84"/>
      <c r="AA475" s="16"/>
      <c r="AB475" s="16"/>
      <c r="AC475" s="16"/>
      <c r="AD475" s="16"/>
      <c r="AE475" s="16"/>
      <c r="AF475" s="16"/>
      <c r="AG475" s="16"/>
    </row>
    <row r="476" spans="1:33" ht="15.75" customHeight="1" x14ac:dyDescent="0.3">
      <c r="A476" s="16"/>
      <c r="B476" s="16"/>
      <c r="C476" s="130">
        <f t="shared" ca="1" si="8"/>
        <v>457</v>
      </c>
      <c r="D476" s="636"/>
      <c r="E476" s="636"/>
      <c r="F476" s="567" t="s">
        <v>459</v>
      </c>
      <c r="G476" s="219" t="s">
        <v>455</v>
      </c>
      <c r="H476" s="243"/>
      <c r="I476" s="210"/>
      <c r="J476" s="172" t="s">
        <v>310</v>
      </c>
      <c r="K476" s="226" t="s">
        <v>371</v>
      </c>
      <c r="L476" s="141" t="s">
        <v>15</v>
      </c>
      <c r="M476" s="193">
        <v>46042</v>
      </c>
      <c r="N476" s="194" t="s">
        <v>4</v>
      </c>
      <c r="O476" s="141" t="s">
        <v>15</v>
      </c>
      <c r="P476" s="117"/>
      <c r="Q476" s="407">
        <v>46038</v>
      </c>
      <c r="R476" s="40" t="s">
        <v>445</v>
      </c>
      <c r="S476" s="208"/>
      <c r="T476" s="357"/>
      <c r="U476" s="84"/>
      <c r="V476" s="84"/>
      <c r="W476" s="84"/>
      <c r="X476" s="84"/>
      <c r="Y476" s="84"/>
      <c r="Z476" s="84"/>
      <c r="AA476" s="16"/>
      <c r="AB476" s="16"/>
      <c r="AC476" s="16"/>
      <c r="AD476" s="16"/>
      <c r="AE476" s="16"/>
      <c r="AF476" s="16"/>
      <c r="AG476" s="16"/>
    </row>
    <row r="477" spans="1:33" ht="15.75" customHeight="1" x14ac:dyDescent="0.3">
      <c r="A477" s="16"/>
      <c r="B477" s="16"/>
      <c r="C477" s="130">
        <f t="shared" ca="1" si="8"/>
        <v>458</v>
      </c>
      <c r="D477" s="636"/>
      <c r="E477" s="636"/>
      <c r="F477" s="567" t="s">
        <v>459</v>
      </c>
      <c r="G477" s="219" t="s">
        <v>448</v>
      </c>
      <c r="H477" s="243"/>
      <c r="I477" s="657" t="s">
        <v>372</v>
      </c>
      <c r="J477" s="172" t="s">
        <v>311</v>
      </c>
      <c r="K477" s="245" t="s">
        <v>373</v>
      </c>
      <c r="L477" s="141" t="s">
        <v>15</v>
      </c>
      <c r="M477" s="193">
        <v>46042</v>
      </c>
      <c r="N477" s="194" t="s">
        <v>4</v>
      </c>
      <c r="O477" s="141" t="s">
        <v>15</v>
      </c>
      <c r="P477" s="117"/>
      <c r="Q477" s="407">
        <v>46038</v>
      </c>
      <c r="R477" s="40" t="s">
        <v>445</v>
      </c>
      <c r="S477" s="208"/>
      <c r="T477" s="357"/>
      <c r="U477" s="84"/>
      <c r="V477" s="84"/>
      <c r="W477" s="84"/>
      <c r="X477" s="84"/>
      <c r="Y477" s="84"/>
      <c r="Z477" s="84"/>
      <c r="AA477" s="16"/>
      <c r="AB477" s="16"/>
      <c r="AC477" s="16"/>
      <c r="AD477" s="16"/>
      <c r="AE477" s="16"/>
      <c r="AF477" s="16"/>
      <c r="AG477" s="16"/>
    </row>
    <row r="478" spans="1:33" ht="15.75" customHeight="1" x14ac:dyDescent="0.3">
      <c r="A478" s="16"/>
      <c r="B478" s="16"/>
      <c r="C478" s="130">
        <f t="shared" ca="1" si="8"/>
        <v>459</v>
      </c>
      <c r="D478" s="636"/>
      <c r="E478" s="636"/>
      <c r="F478" s="567" t="s">
        <v>459</v>
      </c>
      <c r="G478" s="219" t="s">
        <v>448</v>
      </c>
      <c r="H478" s="243"/>
      <c r="I478" s="606"/>
      <c r="J478" s="172" t="s">
        <v>313</v>
      </c>
      <c r="K478" s="245" t="s">
        <v>2599</v>
      </c>
      <c r="L478" s="141" t="s">
        <v>15</v>
      </c>
      <c r="M478" s="193">
        <v>46042</v>
      </c>
      <c r="N478" s="194" t="s">
        <v>4</v>
      </c>
      <c r="O478" s="141" t="s">
        <v>15</v>
      </c>
      <c r="P478" s="117"/>
      <c r="Q478" s="407">
        <v>46038</v>
      </c>
      <c r="R478" s="40" t="s">
        <v>445</v>
      </c>
      <c r="S478" s="208"/>
      <c r="T478" s="357"/>
      <c r="U478" s="84"/>
      <c r="V478" s="84"/>
      <c r="W478" s="84"/>
      <c r="X478" s="84"/>
      <c r="Y478" s="84"/>
      <c r="Z478" s="84"/>
      <c r="AA478" s="16"/>
      <c r="AB478" s="16"/>
      <c r="AC478" s="16"/>
      <c r="AD478" s="16"/>
      <c r="AE478" s="16"/>
      <c r="AF478" s="16"/>
      <c r="AG478" s="16"/>
    </row>
    <row r="479" spans="1:33" ht="15.75" customHeight="1" x14ac:dyDescent="0.3">
      <c r="A479" s="16"/>
      <c r="B479" s="16"/>
      <c r="C479" s="130">
        <f t="shared" ca="1" si="8"/>
        <v>460</v>
      </c>
      <c r="D479" s="636"/>
      <c r="E479" s="636"/>
      <c r="F479" s="567" t="s">
        <v>459</v>
      </c>
      <c r="G479" s="219" t="s">
        <v>455</v>
      </c>
      <c r="H479" s="243"/>
      <c r="I479" s="608"/>
      <c r="J479" s="172" t="s">
        <v>375</v>
      </c>
      <c r="K479" s="226" t="s">
        <v>371</v>
      </c>
      <c r="L479" s="141" t="s">
        <v>15</v>
      </c>
      <c r="M479" s="193">
        <v>46042</v>
      </c>
      <c r="N479" s="194" t="s">
        <v>4</v>
      </c>
      <c r="O479" s="141" t="s">
        <v>15</v>
      </c>
      <c r="P479" s="117"/>
      <c r="Q479" s="407">
        <v>46038</v>
      </c>
      <c r="R479" s="40" t="s">
        <v>445</v>
      </c>
      <c r="S479" s="208"/>
      <c r="T479" s="357"/>
      <c r="U479" s="84"/>
      <c r="V479" s="84"/>
      <c r="W479" s="84"/>
      <c r="X479" s="84"/>
      <c r="Y479" s="84"/>
      <c r="Z479" s="84"/>
      <c r="AA479" s="16"/>
      <c r="AB479" s="16"/>
      <c r="AC479" s="16"/>
      <c r="AD479" s="16"/>
      <c r="AE479" s="16"/>
      <c r="AF479" s="16"/>
      <c r="AG479" s="16"/>
    </row>
    <row r="480" spans="1:33" ht="15.75" customHeight="1" x14ac:dyDescent="0.3">
      <c r="A480" s="16"/>
      <c r="B480" s="16"/>
      <c r="C480" s="130">
        <f t="shared" ca="1" si="8"/>
        <v>461</v>
      </c>
      <c r="D480" s="636"/>
      <c r="E480" s="636"/>
      <c r="F480" s="567" t="s">
        <v>459</v>
      </c>
      <c r="G480" s="219" t="s">
        <v>448</v>
      </c>
      <c r="H480" s="243"/>
      <c r="I480" s="172" t="s">
        <v>2854</v>
      </c>
      <c r="J480" s="172" t="s">
        <v>365</v>
      </c>
      <c r="K480" s="245" t="s">
        <v>2590</v>
      </c>
      <c r="L480" s="141" t="s">
        <v>15</v>
      </c>
      <c r="M480" s="193">
        <v>46042</v>
      </c>
      <c r="N480" s="194" t="s">
        <v>4</v>
      </c>
      <c r="O480" s="141" t="s">
        <v>158</v>
      </c>
      <c r="P480" s="117" t="s">
        <v>211</v>
      </c>
      <c r="Q480" s="407">
        <v>46038</v>
      </c>
      <c r="R480" s="40" t="s">
        <v>445</v>
      </c>
      <c r="S480" s="208" t="s">
        <v>2855</v>
      </c>
      <c r="T480" s="357"/>
      <c r="U480" s="84"/>
      <c r="V480" s="84"/>
      <c r="W480" s="84"/>
      <c r="X480" s="84"/>
      <c r="Y480" s="84"/>
      <c r="Z480" s="84"/>
      <c r="AA480" s="16"/>
      <c r="AB480" s="16"/>
      <c r="AC480" s="16"/>
      <c r="AD480" s="16"/>
      <c r="AE480" s="16"/>
      <c r="AF480" s="16"/>
      <c r="AG480" s="16"/>
    </row>
    <row r="481" spans="1:33" ht="15.75" customHeight="1" x14ac:dyDescent="0.3">
      <c r="A481" s="16"/>
      <c r="B481" s="16"/>
      <c r="C481" s="130">
        <f t="shared" ca="1" si="8"/>
        <v>462</v>
      </c>
      <c r="D481" s="636"/>
      <c r="E481" s="636"/>
      <c r="F481" s="567" t="s">
        <v>459</v>
      </c>
      <c r="G481" s="219" t="s">
        <v>448</v>
      </c>
      <c r="H481" s="243"/>
      <c r="I481" s="172" t="s">
        <v>2856</v>
      </c>
      <c r="J481" s="172" t="s">
        <v>365</v>
      </c>
      <c r="K481" s="245" t="s">
        <v>2846</v>
      </c>
      <c r="L481" s="141" t="s">
        <v>15</v>
      </c>
      <c r="M481" s="193">
        <v>46042</v>
      </c>
      <c r="N481" s="194" t="s">
        <v>4</v>
      </c>
      <c r="O481" s="141" t="s">
        <v>15</v>
      </c>
      <c r="P481" s="117"/>
      <c r="Q481" s="407">
        <v>46038</v>
      </c>
      <c r="R481" s="40" t="s">
        <v>445</v>
      </c>
      <c r="S481" s="208"/>
      <c r="T481" s="357"/>
      <c r="U481" s="84"/>
      <c r="V481" s="84"/>
      <c r="W481" s="84"/>
      <c r="X481" s="84"/>
      <c r="Y481" s="84"/>
      <c r="Z481" s="84"/>
      <c r="AA481" s="16"/>
      <c r="AB481" s="16"/>
      <c r="AC481" s="16"/>
      <c r="AD481" s="16"/>
      <c r="AE481" s="16"/>
      <c r="AF481" s="16"/>
      <c r="AG481" s="16"/>
    </row>
    <row r="482" spans="1:33" ht="15.75" customHeight="1" x14ac:dyDescent="0.3">
      <c r="A482" s="16"/>
      <c r="B482" s="16"/>
      <c r="C482" s="130">
        <f t="shared" ca="1" si="8"/>
        <v>463</v>
      </c>
      <c r="D482" s="636"/>
      <c r="E482" s="636"/>
      <c r="F482" s="567" t="s">
        <v>459</v>
      </c>
      <c r="G482" s="219" t="s">
        <v>448</v>
      </c>
      <c r="H482" s="243"/>
      <c r="I482" s="172" t="s">
        <v>2857</v>
      </c>
      <c r="J482" s="172" t="s">
        <v>365</v>
      </c>
      <c r="K482" s="245" t="s">
        <v>2848</v>
      </c>
      <c r="L482" s="141" t="s">
        <v>15</v>
      </c>
      <c r="M482" s="193">
        <v>46042</v>
      </c>
      <c r="N482" s="194" t="s">
        <v>4</v>
      </c>
      <c r="O482" s="141" t="s">
        <v>158</v>
      </c>
      <c r="P482" s="117" t="s">
        <v>211</v>
      </c>
      <c r="Q482" s="407">
        <v>46038</v>
      </c>
      <c r="R482" s="40" t="s">
        <v>445</v>
      </c>
      <c r="S482" s="208" t="s">
        <v>2858</v>
      </c>
      <c r="T482" s="357"/>
      <c r="U482" s="84"/>
      <c r="V482" s="84"/>
      <c r="W482" s="84"/>
      <c r="X482" s="84"/>
      <c r="Y482" s="84"/>
      <c r="Z482" s="84"/>
      <c r="AA482" s="16"/>
      <c r="AB482" s="16"/>
      <c r="AC482" s="16"/>
      <c r="AD482" s="16"/>
      <c r="AE482" s="16"/>
      <c r="AF482" s="16"/>
      <c r="AG482" s="16"/>
    </row>
    <row r="483" spans="1:33" ht="15.75" customHeight="1" x14ac:dyDescent="0.3">
      <c r="A483" s="16"/>
      <c r="B483" s="16"/>
      <c r="C483" s="130">
        <f t="shared" ca="1" si="8"/>
        <v>464</v>
      </c>
      <c r="D483" s="636"/>
      <c r="E483" s="636"/>
      <c r="F483" s="567" t="s">
        <v>459</v>
      </c>
      <c r="G483" s="219" t="s">
        <v>448</v>
      </c>
      <c r="H483" s="243"/>
      <c r="I483" s="172" t="s">
        <v>2859</v>
      </c>
      <c r="J483" s="172" t="s">
        <v>365</v>
      </c>
      <c r="K483" s="245" t="s">
        <v>2851</v>
      </c>
      <c r="L483" s="141" t="s">
        <v>15</v>
      </c>
      <c r="M483" s="193">
        <v>46042</v>
      </c>
      <c r="N483" s="194" t="s">
        <v>4</v>
      </c>
      <c r="O483" s="141" t="s">
        <v>15</v>
      </c>
      <c r="P483" s="117"/>
      <c r="Q483" s="407">
        <v>46038</v>
      </c>
      <c r="R483" s="40" t="s">
        <v>445</v>
      </c>
      <c r="S483" s="208"/>
      <c r="T483" s="357"/>
      <c r="U483" s="84"/>
      <c r="V483" s="84"/>
      <c r="W483" s="84"/>
      <c r="X483" s="84"/>
      <c r="Y483" s="84"/>
      <c r="Z483" s="84"/>
      <c r="AA483" s="16"/>
      <c r="AB483" s="16"/>
      <c r="AC483" s="16"/>
      <c r="AD483" s="16"/>
      <c r="AE483" s="16"/>
      <c r="AF483" s="16"/>
      <c r="AG483" s="16"/>
    </row>
    <row r="484" spans="1:33" ht="15.75" customHeight="1" x14ac:dyDescent="0.3">
      <c r="A484" s="16"/>
      <c r="B484" s="16"/>
      <c r="C484" s="130">
        <f t="shared" ca="1" si="8"/>
        <v>465</v>
      </c>
      <c r="D484" s="635"/>
      <c r="E484" s="635"/>
      <c r="F484" s="567" t="s">
        <v>459</v>
      </c>
      <c r="G484" s="219" t="s">
        <v>448</v>
      </c>
      <c r="H484" s="243"/>
      <c r="I484" s="172" t="s">
        <v>2860</v>
      </c>
      <c r="J484" s="172" t="s">
        <v>365</v>
      </c>
      <c r="K484" s="245" t="s">
        <v>2853</v>
      </c>
      <c r="L484" s="141" t="s">
        <v>15</v>
      </c>
      <c r="M484" s="193">
        <v>46042</v>
      </c>
      <c r="N484" s="194" t="s">
        <v>4</v>
      </c>
      <c r="O484" s="141" t="s">
        <v>15</v>
      </c>
      <c r="P484" s="117"/>
      <c r="Q484" s="407">
        <v>46038</v>
      </c>
      <c r="R484" s="40" t="s">
        <v>445</v>
      </c>
      <c r="S484" s="208"/>
      <c r="T484" s="357"/>
      <c r="U484" s="84"/>
      <c r="V484" s="84"/>
      <c r="W484" s="84"/>
      <c r="X484" s="84"/>
      <c r="Y484" s="84"/>
      <c r="Z484" s="84"/>
      <c r="AA484" s="16"/>
      <c r="AB484" s="16"/>
      <c r="AC484" s="16"/>
      <c r="AD484" s="16"/>
      <c r="AE484" s="16"/>
      <c r="AF484" s="16"/>
      <c r="AG484" s="16"/>
    </row>
    <row r="485" spans="1:33" ht="15.75" customHeight="1" x14ac:dyDescent="0.3">
      <c r="A485" s="16"/>
      <c r="B485" s="16"/>
      <c r="C485" s="130">
        <f t="shared" ca="1" si="8"/>
        <v>466</v>
      </c>
      <c r="D485" s="658" t="s">
        <v>346</v>
      </c>
      <c r="E485" s="251" t="s">
        <v>257</v>
      </c>
      <c r="F485" s="567" t="s">
        <v>457</v>
      </c>
      <c r="G485" s="219" t="s">
        <v>448</v>
      </c>
      <c r="H485" s="243"/>
      <c r="I485" s="172"/>
      <c r="J485" s="172" t="s">
        <v>261</v>
      </c>
      <c r="K485" s="245" t="s">
        <v>2861</v>
      </c>
      <c r="L485" s="141" t="s">
        <v>15</v>
      </c>
      <c r="M485" s="193">
        <v>46042</v>
      </c>
      <c r="N485" s="194" t="s">
        <v>4</v>
      </c>
      <c r="O485" s="141" t="s">
        <v>15</v>
      </c>
      <c r="P485" s="117"/>
      <c r="Q485" s="407">
        <v>46038</v>
      </c>
      <c r="R485" s="40" t="s">
        <v>445</v>
      </c>
      <c r="S485" s="208"/>
      <c r="T485" s="357"/>
      <c r="U485" s="84"/>
      <c r="V485" s="84"/>
      <c r="W485" s="84"/>
      <c r="X485" s="84"/>
      <c r="Y485" s="84"/>
      <c r="Z485" s="84"/>
      <c r="AA485" s="16"/>
      <c r="AB485" s="16"/>
      <c r="AC485" s="16"/>
      <c r="AD485" s="16"/>
      <c r="AE485" s="16"/>
      <c r="AF485" s="16"/>
      <c r="AG485" s="16"/>
    </row>
    <row r="486" spans="1:33" ht="15.75" customHeight="1" x14ac:dyDescent="0.3">
      <c r="A486" s="16"/>
      <c r="B486" s="16"/>
      <c r="C486" s="130">
        <f t="shared" ca="1" si="8"/>
        <v>467</v>
      </c>
      <c r="D486" s="636"/>
      <c r="E486" s="665" t="s">
        <v>237</v>
      </c>
      <c r="F486" s="567" t="s">
        <v>459</v>
      </c>
      <c r="G486" s="219" t="s">
        <v>448</v>
      </c>
      <c r="H486" s="243"/>
      <c r="I486" s="213" t="s">
        <v>364</v>
      </c>
      <c r="J486" s="172" t="s">
        <v>365</v>
      </c>
      <c r="K486" s="245" t="s">
        <v>2862</v>
      </c>
      <c r="L486" s="141" t="s">
        <v>15</v>
      </c>
      <c r="M486" s="193">
        <v>46042</v>
      </c>
      <c r="N486" s="194" t="s">
        <v>4</v>
      </c>
      <c r="O486" s="141" t="s">
        <v>15</v>
      </c>
      <c r="P486" s="117"/>
      <c r="Q486" s="407">
        <v>46038</v>
      </c>
      <c r="R486" s="40" t="s">
        <v>445</v>
      </c>
      <c r="S486" s="208"/>
      <c r="T486" s="357"/>
      <c r="U486" s="84"/>
      <c r="V486" s="84"/>
      <c r="W486" s="84"/>
      <c r="X486" s="84"/>
      <c r="Y486" s="84"/>
      <c r="Z486" s="84"/>
      <c r="AA486" s="16"/>
      <c r="AB486" s="16"/>
      <c r="AC486" s="16"/>
      <c r="AD486" s="16"/>
      <c r="AE486" s="16"/>
      <c r="AF486" s="16"/>
      <c r="AG486" s="16"/>
    </row>
    <row r="487" spans="1:33" ht="15.75" customHeight="1" x14ac:dyDescent="0.3">
      <c r="A487" s="16"/>
      <c r="B487" s="16"/>
      <c r="C487" s="130">
        <f t="shared" ca="1" si="8"/>
        <v>468</v>
      </c>
      <c r="D487" s="636"/>
      <c r="E487" s="636"/>
      <c r="F487" s="567" t="s">
        <v>459</v>
      </c>
      <c r="G487" s="219" t="s">
        <v>448</v>
      </c>
      <c r="H487" s="243"/>
      <c r="I487" s="172" t="s">
        <v>2863</v>
      </c>
      <c r="J487" s="172" t="s">
        <v>365</v>
      </c>
      <c r="K487" s="245" t="s">
        <v>2590</v>
      </c>
      <c r="L487" s="141" t="s">
        <v>15</v>
      </c>
      <c r="M487" s="193">
        <v>46042</v>
      </c>
      <c r="N487" s="194" t="s">
        <v>4</v>
      </c>
      <c r="O487" s="141" t="s">
        <v>158</v>
      </c>
      <c r="P487" s="117" t="s">
        <v>211</v>
      </c>
      <c r="Q487" s="407">
        <v>46038</v>
      </c>
      <c r="R487" s="40" t="s">
        <v>445</v>
      </c>
      <c r="S487" s="208" t="s">
        <v>2864</v>
      </c>
      <c r="T487" s="357"/>
      <c r="U487" s="84"/>
      <c r="V487" s="84"/>
      <c r="W487" s="84"/>
      <c r="X487" s="84"/>
      <c r="Y487" s="84"/>
      <c r="Z487" s="84"/>
      <c r="AA487" s="16"/>
      <c r="AB487" s="16"/>
      <c r="AC487" s="16"/>
      <c r="AD487" s="16"/>
      <c r="AE487" s="16"/>
      <c r="AF487" s="16"/>
      <c r="AG487" s="16"/>
    </row>
    <row r="488" spans="1:33" ht="15.75" customHeight="1" x14ac:dyDescent="0.3">
      <c r="A488" s="16"/>
      <c r="B488" s="16"/>
      <c r="C488" s="130">
        <f t="shared" ca="1" si="8"/>
        <v>469</v>
      </c>
      <c r="D488" s="636"/>
      <c r="E488" s="636"/>
      <c r="F488" s="567" t="s">
        <v>459</v>
      </c>
      <c r="G488" s="219" t="s">
        <v>448</v>
      </c>
      <c r="H488" s="243"/>
      <c r="I488" s="172" t="s">
        <v>2865</v>
      </c>
      <c r="J488" s="172" t="s">
        <v>365</v>
      </c>
      <c r="K488" s="245" t="s">
        <v>2866</v>
      </c>
      <c r="L488" s="141" t="s">
        <v>15</v>
      </c>
      <c r="M488" s="193">
        <v>46042</v>
      </c>
      <c r="N488" s="194" t="s">
        <v>4</v>
      </c>
      <c r="O488" s="141" t="s">
        <v>15</v>
      </c>
      <c r="P488" s="117"/>
      <c r="Q488" s="407">
        <v>46038</v>
      </c>
      <c r="R488" s="40" t="s">
        <v>445</v>
      </c>
      <c r="S488" s="208"/>
      <c r="T488" s="357"/>
      <c r="U488" s="84"/>
      <c r="V488" s="84"/>
      <c r="W488" s="84"/>
      <c r="X488" s="84"/>
      <c r="Y488" s="84"/>
      <c r="Z488" s="84"/>
      <c r="AA488" s="16"/>
      <c r="AB488" s="16"/>
      <c r="AC488" s="16"/>
      <c r="AD488" s="16"/>
      <c r="AE488" s="16"/>
      <c r="AF488" s="16"/>
      <c r="AG488" s="16"/>
    </row>
    <row r="489" spans="1:33" ht="15.75" customHeight="1" x14ac:dyDescent="0.3">
      <c r="A489" s="16"/>
      <c r="B489" s="16"/>
      <c r="C489" s="130">
        <f t="shared" ca="1" si="8"/>
        <v>470</v>
      </c>
      <c r="D489" s="636"/>
      <c r="E489" s="636"/>
      <c r="F489" s="567" t="s">
        <v>459</v>
      </c>
      <c r="G489" s="219" t="s">
        <v>448</v>
      </c>
      <c r="H489" s="243"/>
      <c r="I489" s="172" t="s">
        <v>2867</v>
      </c>
      <c r="J489" s="172" t="s">
        <v>365</v>
      </c>
      <c r="K489" s="245" t="s">
        <v>2868</v>
      </c>
      <c r="L489" s="141" t="s">
        <v>15</v>
      </c>
      <c r="M489" s="193">
        <v>46042</v>
      </c>
      <c r="N489" s="194" t="s">
        <v>4</v>
      </c>
      <c r="O489" s="141" t="s">
        <v>158</v>
      </c>
      <c r="P489" s="117" t="s">
        <v>211</v>
      </c>
      <c r="Q489" s="407">
        <v>46038</v>
      </c>
      <c r="R489" s="40" t="s">
        <v>445</v>
      </c>
      <c r="S489" s="208" t="s">
        <v>2869</v>
      </c>
      <c r="T489" s="357"/>
      <c r="U489" s="84"/>
      <c r="V489" s="84"/>
      <c r="W489" s="84"/>
      <c r="X489" s="84"/>
      <c r="Y489" s="84"/>
      <c r="Z489" s="84"/>
      <c r="AA489" s="16"/>
      <c r="AB489" s="16"/>
      <c r="AC489" s="16"/>
      <c r="AD489" s="16"/>
      <c r="AE489" s="16"/>
      <c r="AF489" s="16"/>
      <c r="AG489" s="16"/>
    </row>
    <row r="490" spans="1:33" ht="15.75" customHeight="1" x14ac:dyDescent="0.3">
      <c r="A490" s="16"/>
      <c r="B490" s="16"/>
      <c r="C490" s="130">
        <f t="shared" ca="1" si="8"/>
        <v>471</v>
      </c>
      <c r="D490" s="636"/>
      <c r="E490" s="636"/>
      <c r="F490" s="567" t="s">
        <v>459</v>
      </c>
      <c r="G490" s="219" t="s">
        <v>448</v>
      </c>
      <c r="H490" s="243"/>
      <c r="I490" s="172" t="s">
        <v>2870</v>
      </c>
      <c r="J490" s="172" t="s">
        <v>365</v>
      </c>
      <c r="K490" s="245" t="s">
        <v>2871</v>
      </c>
      <c r="L490" s="141" t="s">
        <v>15</v>
      </c>
      <c r="M490" s="193">
        <v>46042</v>
      </c>
      <c r="N490" s="194" t="s">
        <v>4</v>
      </c>
      <c r="O490" s="141" t="s">
        <v>15</v>
      </c>
      <c r="P490" s="117"/>
      <c r="Q490" s="407">
        <v>46038</v>
      </c>
      <c r="R490" s="40" t="s">
        <v>445</v>
      </c>
      <c r="S490" s="208"/>
      <c r="T490" s="357"/>
      <c r="U490" s="84"/>
      <c r="V490" s="84"/>
      <c r="W490" s="84"/>
      <c r="X490" s="84"/>
      <c r="Y490" s="84"/>
      <c r="Z490" s="84"/>
      <c r="AA490" s="16"/>
      <c r="AB490" s="16"/>
      <c r="AC490" s="16"/>
      <c r="AD490" s="16"/>
      <c r="AE490" s="16"/>
      <c r="AF490" s="16"/>
      <c r="AG490" s="16"/>
    </row>
    <row r="491" spans="1:33" ht="15.75" customHeight="1" x14ac:dyDescent="0.3">
      <c r="A491" s="16"/>
      <c r="B491" s="16"/>
      <c r="C491" s="130">
        <f t="shared" ca="1" si="8"/>
        <v>472</v>
      </c>
      <c r="D491" s="636"/>
      <c r="E491" s="636"/>
      <c r="F491" s="567" t="s">
        <v>459</v>
      </c>
      <c r="G491" s="219" t="s">
        <v>448</v>
      </c>
      <c r="H491" s="243"/>
      <c r="I491" s="172" t="s">
        <v>2872</v>
      </c>
      <c r="J491" s="172" t="s">
        <v>365</v>
      </c>
      <c r="K491" s="245" t="s">
        <v>2873</v>
      </c>
      <c r="L491" s="141" t="s">
        <v>15</v>
      </c>
      <c r="M491" s="193">
        <v>46042</v>
      </c>
      <c r="N491" s="194" t="s">
        <v>4</v>
      </c>
      <c r="O491" s="141" t="s">
        <v>15</v>
      </c>
      <c r="P491" s="117"/>
      <c r="Q491" s="407">
        <v>46038</v>
      </c>
      <c r="R491" s="40" t="s">
        <v>445</v>
      </c>
      <c r="S491" s="208"/>
      <c r="T491" s="357"/>
      <c r="U491" s="84"/>
      <c r="V491" s="84"/>
      <c r="W491" s="84"/>
      <c r="X491" s="84"/>
      <c r="Y491" s="84"/>
      <c r="Z491" s="84"/>
      <c r="AA491" s="16"/>
      <c r="AB491" s="16"/>
      <c r="AC491" s="16"/>
      <c r="AD491" s="16"/>
      <c r="AE491" s="16"/>
      <c r="AF491" s="16"/>
      <c r="AG491" s="16"/>
    </row>
    <row r="492" spans="1:33" ht="15.75" customHeight="1" x14ac:dyDescent="0.3">
      <c r="A492" s="16"/>
      <c r="B492" s="16"/>
      <c r="C492" s="130">
        <f t="shared" ca="1" si="8"/>
        <v>473</v>
      </c>
      <c r="D492" s="636"/>
      <c r="E492" s="636"/>
      <c r="F492" s="567" t="s">
        <v>459</v>
      </c>
      <c r="G492" s="219" t="s">
        <v>455</v>
      </c>
      <c r="H492" s="243"/>
      <c r="I492" s="210"/>
      <c r="J492" s="172" t="s">
        <v>310</v>
      </c>
      <c r="K492" s="226" t="s">
        <v>371</v>
      </c>
      <c r="L492" s="141" t="s">
        <v>15</v>
      </c>
      <c r="M492" s="193">
        <v>46042</v>
      </c>
      <c r="N492" s="194" t="s">
        <v>4</v>
      </c>
      <c r="O492" s="141" t="s">
        <v>15</v>
      </c>
      <c r="P492" s="117"/>
      <c r="Q492" s="407">
        <v>46038</v>
      </c>
      <c r="R492" s="40" t="s">
        <v>445</v>
      </c>
      <c r="S492" s="208"/>
      <c r="T492" s="357"/>
      <c r="U492" s="84"/>
      <c r="V492" s="84"/>
      <c r="W492" s="84"/>
      <c r="X492" s="84"/>
      <c r="Y492" s="84"/>
      <c r="Z492" s="84"/>
      <c r="AA492" s="16"/>
      <c r="AB492" s="16"/>
      <c r="AC492" s="16"/>
      <c r="AD492" s="16"/>
      <c r="AE492" s="16"/>
      <c r="AF492" s="16"/>
      <c r="AG492" s="16"/>
    </row>
    <row r="493" spans="1:33" ht="15.75" customHeight="1" x14ac:dyDescent="0.3">
      <c r="A493" s="16"/>
      <c r="B493" s="16"/>
      <c r="C493" s="130">
        <f t="shared" ca="1" si="8"/>
        <v>474</v>
      </c>
      <c r="D493" s="636"/>
      <c r="E493" s="636"/>
      <c r="F493" s="567" t="s">
        <v>459</v>
      </c>
      <c r="G493" s="219" t="s">
        <v>448</v>
      </c>
      <c r="H493" s="243"/>
      <c r="I493" s="657" t="s">
        <v>372</v>
      </c>
      <c r="J493" s="172" t="s">
        <v>311</v>
      </c>
      <c r="K493" s="245" t="s">
        <v>373</v>
      </c>
      <c r="L493" s="141" t="s">
        <v>15</v>
      </c>
      <c r="M493" s="193">
        <v>46042</v>
      </c>
      <c r="N493" s="194" t="s">
        <v>4</v>
      </c>
      <c r="O493" s="141" t="s">
        <v>15</v>
      </c>
      <c r="P493" s="117"/>
      <c r="Q493" s="407">
        <v>46038</v>
      </c>
      <c r="R493" s="40" t="s">
        <v>445</v>
      </c>
      <c r="S493" s="208"/>
      <c r="T493" s="357"/>
      <c r="U493" s="84"/>
      <c r="V493" s="84"/>
      <c r="W493" s="84"/>
      <c r="X493" s="84"/>
      <c r="Y493" s="84"/>
      <c r="Z493" s="84"/>
      <c r="AA493" s="16"/>
      <c r="AB493" s="16"/>
      <c r="AC493" s="16"/>
      <c r="AD493" s="16"/>
      <c r="AE493" s="16"/>
      <c r="AF493" s="16"/>
      <c r="AG493" s="16"/>
    </row>
    <row r="494" spans="1:33" ht="15.75" customHeight="1" x14ac:dyDescent="0.3">
      <c r="A494" s="16"/>
      <c r="B494" s="16"/>
      <c r="C494" s="130">
        <f t="shared" ca="1" si="8"/>
        <v>475</v>
      </c>
      <c r="D494" s="636"/>
      <c r="E494" s="636"/>
      <c r="F494" s="567" t="s">
        <v>459</v>
      </c>
      <c r="G494" s="219" t="s">
        <v>448</v>
      </c>
      <c r="H494" s="243"/>
      <c r="I494" s="606"/>
      <c r="J494" s="172" t="s">
        <v>313</v>
      </c>
      <c r="K494" s="245" t="s">
        <v>2599</v>
      </c>
      <c r="L494" s="141" t="s">
        <v>15</v>
      </c>
      <c r="M494" s="193">
        <v>46042</v>
      </c>
      <c r="N494" s="194" t="s">
        <v>4</v>
      </c>
      <c r="O494" s="141" t="s">
        <v>15</v>
      </c>
      <c r="P494" s="117"/>
      <c r="Q494" s="407">
        <v>46038</v>
      </c>
      <c r="R494" s="40" t="s">
        <v>445</v>
      </c>
      <c r="S494" s="208"/>
      <c r="T494" s="357"/>
      <c r="U494" s="84"/>
      <c r="V494" s="84"/>
      <c r="W494" s="84"/>
      <c r="X494" s="84"/>
      <c r="Y494" s="84"/>
      <c r="Z494" s="84"/>
      <c r="AA494" s="16"/>
      <c r="AB494" s="16"/>
      <c r="AC494" s="16"/>
      <c r="AD494" s="16"/>
      <c r="AE494" s="16"/>
      <c r="AF494" s="16"/>
      <c r="AG494" s="16"/>
    </row>
    <row r="495" spans="1:33" ht="15.75" customHeight="1" x14ac:dyDescent="0.3">
      <c r="A495" s="16"/>
      <c r="B495" s="16"/>
      <c r="C495" s="130">
        <f t="shared" ca="1" si="8"/>
        <v>476</v>
      </c>
      <c r="D495" s="636"/>
      <c r="E495" s="636"/>
      <c r="F495" s="567" t="s">
        <v>459</v>
      </c>
      <c r="G495" s="219" t="s">
        <v>455</v>
      </c>
      <c r="H495" s="243"/>
      <c r="I495" s="608"/>
      <c r="J495" s="172" t="s">
        <v>375</v>
      </c>
      <c r="K495" s="226" t="s">
        <v>371</v>
      </c>
      <c r="L495" s="141" t="s">
        <v>15</v>
      </c>
      <c r="M495" s="193">
        <v>46042</v>
      </c>
      <c r="N495" s="194" t="s">
        <v>4</v>
      </c>
      <c r="O495" s="141" t="s">
        <v>15</v>
      </c>
      <c r="P495" s="117"/>
      <c r="Q495" s="407">
        <v>46038</v>
      </c>
      <c r="R495" s="40" t="s">
        <v>445</v>
      </c>
      <c r="S495" s="208"/>
      <c r="T495" s="357"/>
      <c r="U495" s="84"/>
      <c r="V495" s="84"/>
      <c r="W495" s="84"/>
      <c r="X495" s="84"/>
      <c r="Y495" s="84"/>
      <c r="Z495" s="84"/>
      <c r="AA495" s="16"/>
      <c r="AB495" s="16"/>
      <c r="AC495" s="16"/>
      <c r="AD495" s="16"/>
      <c r="AE495" s="16"/>
      <c r="AF495" s="16"/>
      <c r="AG495" s="16"/>
    </row>
    <row r="496" spans="1:33" ht="15.75" customHeight="1" x14ac:dyDescent="0.3">
      <c r="A496" s="16"/>
      <c r="B496" s="16"/>
      <c r="C496" s="130">
        <f t="shared" ca="1" si="8"/>
        <v>477</v>
      </c>
      <c r="D496" s="636"/>
      <c r="E496" s="636"/>
      <c r="F496" s="567" t="s">
        <v>459</v>
      </c>
      <c r="G496" s="219" t="s">
        <v>448</v>
      </c>
      <c r="H496" s="243"/>
      <c r="I496" s="172" t="s">
        <v>2874</v>
      </c>
      <c r="J496" s="172" t="s">
        <v>365</v>
      </c>
      <c r="K496" s="245" t="s">
        <v>2590</v>
      </c>
      <c r="L496" s="141" t="s">
        <v>15</v>
      </c>
      <c r="M496" s="193">
        <v>46042</v>
      </c>
      <c r="N496" s="194" t="s">
        <v>4</v>
      </c>
      <c r="O496" s="141" t="s">
        <v>158</v>
      </c>
      <c r="P496" s="117" t="s">
        <v>211</v>
      </c>
      <c r="Q496" s="407">
        <v>46038</v>
      </c>
      <c r="R496" s="40" t="s">
        <v>445</v>
      </c>
      <c r="S496" s="208" t="s">
        <v>2875</v>
      </c>
      <c r="T496" s="357"/>
      <c r="U496" s="84"/>
      <c r="V496" s="84"/>
      <c r="W496" s="84"/>
      <c r="X496" s="84"/>
      <c r="Y496" s="84"/>
      <c r="Z496" s="84"/>
      <c r="AA496" s="16"/>
      <c r="AB496" s="16"/>
      <c r="AC496" s="16"/>
      <c r="AD496" s="16"/>
      <c r="AE496" s="16"/>
      <c r="AF496" s="16"/>
      <c r="AG496" s="16"/>
    </row>
    <row r="497" spans="1:33" ht="15.75" customHeight="1" x14ac:dyDescent="0.3">
      <c r="A497" s="16"/>
      <c r="B497" s="16"/>
      <c r="C497" s="130">
        <f t="shared" ca="1" si="8"/>
        <v>478</v>
      </c>
      <c r="D497" s="636"/>
      <c r="E497" s="636"/>
      <c r="F497" s="567" t="s">
        <v>459</v>
      </c>
      <c r="G497" s="219" t="s">
        <v>448</v>
      </c>
      <c r="H497" s="243"/>
      <c r="I497" s="172" t="s">
        <v>2876</v>
      </c>
      <c r="J497" s="172" t="s">
        <v>365</v>
      </c>
      <c r="K497" s="245" t="s">
        <v>2866</v>
      </c>
      <c r="L497" s="141" t="s">
        <v>15</v>
      </c>
      <c r="M497" s="193">
        <v>46042</v>
      </c>
      <c r="N497" s="194" t="s">
        <v>4</v>
      </c>
      <c r="O497" s="141" t="s">
        <v>15</v>
      </c>
      <c r="P497" s="117"/>
      <c r="Q497" s="407">
        <v>46038</v>
      </c>
      <c r="R497" s="40" t="s">
        <v>445</v>
      </c>
      <c r="S497" s="208"/>
      <c r="T497" s="357"/>
      <c r="U497" s="84"/>
      <c r="V497" s="84"/>
      <c r="W497" s="84"/>
      <c r="X497" s="84"/>
      <c r="Y497" s="84"/>
      <c r="Z497" s="84"/>
      <c r="AA497" s="16"/>
      <c r="AB497" s="16"/>
      <c r="AC497" s="16"/>
      <c r="AD497" s="16"/>
      <c r="AE497" s="16"/>
      <c r="AF497" s="16"/>
      <c r="AG497" s="16"/>
    </row>
    <row r="498" spans="1:33" ht="15.75" customHeight="1" x14ac:dyDescent="0.3">
      <c r="A498" s="16"/>
      <c r="B498" s="16"/>
      <c r="C498" s="130">
        <f t="shared" ca="1" si="8"/>
        <v>479</v>
      </c>
      <c r="D498" s="636"/>
      <c r="E498" s="636"/>
      <c r="F498" s="567" t="s">
        <v>459</v>
      </c>
      <c r="G498" s="219" t="s">
        <v>448</v>
      </c>
      <c r="H498" s="243"/>
      <c r="I498" s="172" t="s">
        <v>2877</v>
      </c>
      <c r="J498" s="172" t="s">
        <v>365</v>
      </c>
      <c r="K498" s="245" t="s">
        <v>2868</v>
      </c>
      <c r="L498" s="141" t="s">
        <v>15</v>
      </c>
      <c r="M498" s="193">
        <v>46042</v>
      </c>
      <c r="N498" s="194" t="s">
        <v>4</v>
      </c>
      <c r="O498" s="141" t="s">
        <v>158</v>
      </c>
      <c r="P498" s="117" t="s">
        <v>211</v>
      </c>
      <c r="Q498" s="407">
        <v>46038</v>
      </c>
      <c r="R498" s="40" t="s">
        <v>445</v>
      </c>
      <c r="S498" s="208" t="s">
        <v>2878</v>
      </c>
      <c r="T498" s="357"/>
      <c r="U498" s="84"/>
      <c r="V498" s="84"/>
      <c r="W498" s="84"/>
      <c r="X498" s="84"/>
      <c r="Y498" s="84"/>
      <c r="Z498" s="84"/>
      <c r="AA498" s="16"/>
      <c r="AB498" s="16"/>
      <c r="AC498" s="16"/>
      <c r="AD498" s="16"/>
      <c r="AE498" s="16"/>
      <c r="AF498" s="16"/>
      <c r="AG498" s="16"/>
    </row>
    <row r="499" spans="1:33" ht="15.75" customHeight="1" x14ac:dyDescent="0.3">
      <c r="A499" s="16"/>
      <c r="B499" s="16"/>
      <c r="C499" s="130">
        <f t="shared" ca="1" si="8"/>
        <v>480</v>
      </c>
      <c r="D499" s="636"/>
      <c r="E499" s="636"/>
      <c r="F499" s="567" t="s">
        <v>459</v>
      </c>
      <c r="G499" s="219" t="s">
        <v>448</v>
      </c>
      <c r="H499" s="243"/>
      <c r="I499" s="172" t="s">
        <v>2879</v>
      </c>
      <c r="J499" s="172" t="s">
        <v>365</v>
      </c>
      <c r="K499" s="245" t="s">
        <v>2871</v>
      </c>
      <c r="L499" s="141" t="s">
        <v>15</v>
      </c>
      <c r="M499" s="193">
        <v>46042</v>
      </c>
      <c r="N499" s="194" t="s">
        <v>4</v>
      </c>
      <c r="O499" s="141" t="s">
        <v>15</v>
      </c>
      <c r="P499" s="117"/>
      <c r="Q499" s="407">
        <v>46038</v>
      </c>
      <c r="R499" s="40" t="s">
        <v>445</v>
      </c>
      <c r="S499" s="208"/>
      <c r="T499" s="357"/>
      <c r="U499" s="84"/>
      <c r="V499" s="84"/>
      <c r="W499" s="84"/>
      <c r="X499" s="84"/>
      <c r="Y499" s="84"/>
      <c r="Z499" s="84"/>
      <c r="AA499" s="16"/>
      <c r="AB499" s="16"/>
      <c r="AC499" s="16"/>
      <c r="AD499" s="16"/>
      <c r="AE499" s="16"/>
      <c r="AF499" s="16"/>
      <c r="AG499" s="16"/>
    </row>
    <row r="500" spans="1:33" ht="15.75" customHeight="1" x14ac:dyDescent="0.3">
      <c r="A500" s="16"/>
      <c r="B500" s="16"/>
      <c r="C500" s="130">
        <f t="shared" ca="1" si="8"/>
        <v>481</v>
      </c>
      <c r="D500" s="635"/>
      <c r="E500" s="635"/>
      <c r="F500" s="567" t="s">
        <v>459</v>
      </c>
      <c r="G500" s="219" t="s">
        <v>448</v>
      </c>
      <c r="H500" s="243"/>
      <c r="I500" s="172" t="s">
        <v>2880</v>
      </c>
      <c r="J500" s="172" t="s">
        <v>365</v>
      </c>
      <c r="K500" s="245" t="s">
        <v>2873</v>
      </c>
      <c r="L500" s="141" t="s">
        <v>15</v>
      </c>
      <c r="M500" s="193">
        <v>46042</v>
      </c>
      <c r="N500" s="194" t="s">
        <v>4</v>
      </c>
      <c r="O500" s="141" t="s">
        <v>15</v>
      </c>
      <c r="P500" s="117"/>
      <c r="Q500" s="407">
        <v>46038</v>
      </c>
      <c r="R500" s="40" t="s">
        <v>445</v>
      </c>
      <c r="S500" s="208"/>
      <c r="T500" s="357"/>
      <c r="U500" s="84"/>
      <c r="V500" s="84"/>
      <c r="W500" s="84"/>
      <c r="X500" s="84"/>
      <c r="Y500" s="84"/>
      <c r="Z500" s="84"/>
      <c r="AA500" s="16"/>
      <c r="AB500" s="16"/>
      <c r="AC500" s="16"/>
      <c r="AD500" s="16"/>
      <c r="AE500" s="16"/>
      <c r="AF500" s="16"/>
      <c r="AG500" s="16"/>
    </row>
    <row r="501" spans="1:33" ht="15.75" customHeight="1" x14ac:dyDescent="0.3">
      <c r="A501" s="16"/>
      <c r="B501" s="16"/>
      <c r="C501" s="130">
        <f t="shared" ca="1" si="8"/>
        <v>482</v>
      </c>
      <c r="D501" s="658" t="s">
        <v>347</v>
      </c>
      <c r="E501" s="251" t="s">
        <v>257</v>
      </c>
      <c r="F501" s="567" t="s">
        <v>457</v>
      </c>
      <c r="G501" s="219" t="s">
        <v>448</v>
      </c>
      <c r="H501" s="243"/>
      <c r="I501" s="172"/>
      <c r="J501" s="172" t="s">
        <v>261</v>
      </c>
      <c r="K501" s="245" t="s">
        <v>2881</v>
      </c>
      <c r="L501" s="141" t="s">
        <v>15</v>
      </c>
      <c r="M501" s="193">
        <v>46042</v>
      </c>
      <c r="N501" s="194" t="s">
        <v>4</v>
      </c>
      <c r="O501" s="141" t="s">
        <v>15</v>
      </c>
      <c r="P501" s="117"/>
      <c r="Q501" s="407">
        <v>46038</v>
      </c>
      <c r="R501" s="40" t="s">
        <v>445</v>
      </c>
      <c r="S501" s="208"/>
      <c r="T501" s="357"/>
      <c r="U501" s="84"/>
      <c r="V501" s="84"/>
      <c r="W501" s="84"/>
      <c r="X501" s="84"/>
      <c r="Y501" s="84"/>
      <c r="Z501" s="84"/>
      <c r="AA501" s="16"/>
      <c r="AB501" s="16"/>
      <c r="AC501" s="16"/>
      <c r="AD501" s="16"/>
      <c r="AE501" s="16"/>
      <c r="AF501" s="16"/>
      <c r="AG501" s="16"/>
    </row>
    <row r="502" spans="1:33" ht="15.75" customHeight="1" x14ac:dyDescent="0.3">
      <c r="A502" s="16"/>
      <c r="B502" s="16"/>
      <c r="C502" s="130">
        <f t="shared" ca="1" si="8"/>
        <v>483</v>
      </c>
      <c r="D502" s="636"/>
      <c r="E502" s="665" t="s">
        <v>237</v>
      </c>
      <c r="F502" s="567" t="s">
        <v>459</v>
      </c>
      <c r="G502" s="219" t="s">
        <v>448</v>
      </c>
      <c r="H502" s="243"/>
      <c r="I502" s="213" t="s">
        <v>364</v>
      </c>
      <c r="J502" s="172" t="s">
        <v>365</v>
      </c>
      <c r="K502" s="245" t="s">
        <v>2882</v>
      </c>
      <c r="L502" s="141" t="s">
        <v>15</v>
      </c>
      <c r="M502" s="193">
        <v>46042</v>
      </c>
      <c r="N502" s="194" t="s">
        <v>4</v>
      </c>
      <c r="O502" s="141" t="s">
        <v>15</v>
      </c>
      <c r="P502" s="117"/>
      <c r="Q502" s="407">
        <v>46038</v>
      </c>
      <c r="R502" s="40" t="s">
        <v>445</v>
      </c>
      <c r="S502" s="208"/>
      <c r="T502" s="357"/>
      <c r="U502" s="84"/>
      <c r="V502" s="84"/>
      <c r="W502" s="84"/>
      <c r="X502" s="84"/>
      <c r="Y502" s="84"/>
      <c r="Z502" s="84"/>
      <c r="AA502" s="16"/>
      <c r="AB502" s="16"/>
      <c r="AC502" s="16"/>
      <c r="AD502" s="16"/>
      <c r="AE502" s="16"/>
      <c r="AF502" s="16"/>
      <c r="AG502" s="16"/>
    </row>
    <row r="503" spans="1:33" ht="15.75" customHeight="1" x14ac:dyDescent="0.3">
      <c r="A503" s="16"/>
      <c r="B503" s="16"/>
      <c r="C503" s="130">
        <f t="shared" ca="1" si="8"/>
        <v>484</v>
      </c>
      <c r="D503" s="636"/>
      <c r="E503" s="636"/>
      <c r="F503" s="567" t="s">
        <v>459</v>
      </c>
      <c r="G503" s="219" t="s">
        <v>448</v>
      </c>
      <c r="H503" s="243"/>
      <c r="I503" s="172" t="s">
        <v>2883</v>
      </c>
      <c r="J503" s="172" t="s">
        <v>365</v>
      </c>
      <c r="K503" s="245" t="s">
        <v>2590</v>
      </c>
      <c r="L503" s="141" t="s">
        <v>15</v>
      </c>
      <c r="M503" s="193">
        <v>46042</v>
      </c>
      <c r="N503" s="194" t="s">
        <v>4</v>
      </c>
      <c r="O503" s="141" t="s">
        <v>158</v>
      </c>
      <c r="P503" s="117" t="s">
        <v>211</v>
      </c>
      <c r="Q503" s="407">
        <v>46038</v>
      </c>
      <c r="R503" s="40" t="s">
        <v>445</v>
      </c>
      <c r="S503" s="208" t="s">
        <v>2884</v>
      </c>
      <c r="T503" s="357"/>
      <c r="U503" s="84"/>
      <c r="V503" s="84"/>
      <c r="W503" s="84"/>
      <c r="X503" s="84"/>
      <c r="Y503" s="84"/>
      <c r="Z503" s="84"/>
      <c r="AA503" s="16"/>
      <c r="AB503" s="16"/>
      <c r="AC503" s="16"/>
      <c r="AD503" s="16"/>
      <c r="AE503" s="16"/>
      <c r="AF503" s="16"/>
      <c r="AG503" s="16"/>
    </row>
    <row r="504" spans="1:33" ht="15.75" customHeight="1" x14ac:dyDescent="0.3">
      <c r="A504" s="16"/>
      <c r="B504" s="16"/>
      <c r="C504" s="130">
        <f t="shared" ca="1" si="8"/>
        <v>485</v>
      </c>
      <c r="D504" s="636"/>
      <c r="E504" s="636"/>
      <c r="F504" s="567" t="s">
        <v>459</v>
      </c>
      <c r="G504" s="219" t="s">
        <v>448</v>
      </c>
      <c r="H504" s="243"/>
      <c r="I504" s="172" t="s">
        <v>2885</v>
      </c>
      <c r="J504" s="172" t="s">
        <v>365</v>
      </c>
      <c r="K504" s="245" t="s">
        <v>2886</v>
      </c>
      <c r="L504" s="141" t="s">
        <v>15</v>
      </c>
      <c r="M504" s="193">
        <v>46042</v>
      </c>
      <c r="N504" s="194" t="s">
        <v>4</v>
      </c>
      <c r="O504" s="141" t="s">
        <v>15</v>
      </c>
      <c r="P504" s="117"/>
      <c r="Q504" s="407">
        <v>46038</v>
      </c>
      <c r="R504" s="40" t="s">
        <v>445</v>
      </c>
      <c r="S504" s="208"/>
      <c r="T504" s="357"/>
      <c r="U504" s="84"/>
      <c r="V504" s="84"/>
      <c r="W504" s="84"/>
      <c r="X504" s="84"/>
      <c r="Y504" s="84"/>
      <c r="Z504" s="84"/>
      <c r="AA504" s="16"/>
      <c r="AB504" s="16"/>
      <c r="AC504" s="16"/>
      <c r="AD504" s="16"/>
      <c r="AE504" s="16"/>
      <c r="AF504" s="16"/>
      <c r="AG504" s="16"/>
    </row>
    <row r="505" spans="1:33" ht="15.75" customHeight="1" x14ac:dyDescent="0.3">
      <c r="A505" s="16"/>
      <c r="B505" s="16"/>
      <c r="C505" s="130">
        <f t="shared" ca="1" si="8"/>
        <v>486</v>
      </c>
      <c r="D505" s="636"/>
      <c r="E505" s="636"/>
      <c r="F505" s="567" t="s">
        <v>459</v>
      </c>
      <c r="G505" s="219" t="s">
        <v>448</v>
      </c>
      <c r="H505" s="243"/>
      <c r="I505" s="172" t="s">
        <v>2887</v>
      </c>
      <c r="J505" s="172" t="s">
        <v>365</v>
      </c>
      <c r="K505" s="245" t="s">
        <v>2888</v>
      </c>
      <c r="L505" s="141" t="s">
        <v>15</v>
      </c>
      <c r="M505" s="193">
        <v>46042</v>
      </c>
      <c r="N505" s="194" t="s">
        <v>4</v>
      </c>
      <c r="O505" s="141" t="s">
        <v>158</v>
      </c>
      <c r="P505" s="117" t="s">
        <v>211</v>
      </c>
      <c r="Q505" s="407">
        <v>46038</v>
      </c>
      <c r="R505" s="40" t="s">
        <v>445</v>
      </c>
      <c r="S505" s="208" t="s">
        <v>2889</v>
      </c>
      <c r="T505" s="357"/>
      <c r="U505" s="84"/>
      <c r="V505" s="84"/>
      <c r="W505" s="84"/>
      <c r="X505" s="84"/>
      <c r="Y505" s="84"/>
      <c r="Z505" s="84"/>
      <c r="AA505" s="16"/>
      <c r="AB505" s="16"/>
      <c r="AC505" s="16"/>
      <c r="AD505" s="16"/>
      <c r="AE505" s="16"/>
      <c r="AF505" s="16"/>
      <c r="AG505" s="16"/>
    </row>
    <row r="506" spans="1:33" ht="15.75" customHeight="1" x14ac:dyDescent="0.3">
      <c r="A506" s="16"/>
      <c r="B506" s="16"/>
      <c r="C506" s="130">
        <f t="shared" ca="1" si="8"/>
        <v>487</v>
      </c>
      <c r="D506" s="636"/>
      <c r="E506" s="636"/>
      <c r="F506" s="567" t="s">
        <v>459</v>
      </c>
      <c r="G506" s="219" t="s">
        <v>448</v>
      </c>
      <c r="H506" s="243"/>
      <c r="I506" s="172" t="s">
        <v>2890</v>
      </c>
      <c r="J506" s="172" t="s">
        <v>365</v>
      </c>
      <c r="K506" s="245" t="s">
        <v>2891</v>
      </c>
      <c r="L506" s="141" t="s">
        <v>15</v>
      </c>
      <c r="M506" s="193">
        <v>46042</v>
      </c>
      <c r="N506" s="194" t="s">
        <v>4</v>
      </c>
      <c r="O506" s="141" t="s">
        <v>15</v>
      </c>
      <c r="P506" s="117"/>
      <c r="Q506" s="407">
        <v>46038</v>
      </c>
      <c r="R506" s="40" t="s">
        <v>445</v>
      </c>
      <c r="S506" s="208"/>
      <c r="T506" s="357"/>
      <c r="U506" s="84"/>
      <c r="V506" s="84"/>
      <c r="W506" s="84"/>
      <c r="X506" s="84"/>
      <c r="Y506" s="84"/>
      <c r="Z506" s="84"/>
      <c r="AA506" s="16"/>
      <c r="AB506" s="16"/>
      <c r="AC506" s="16"/>
      <c r="AD506" s="16"/>
      <c r="AE506" s="16"/>
      <c r="AF506" s="16"/>
      <c r="AG506" s="16"/>
    </row>
    <row r="507" spans="1:33" ht="15.75" customHeight="1" x14ac:dyDescent="0.3">
      <c r="A507" s="16"/>
      <c r="B507" s="16"/>
      <c r="C507" s="130">
        <f t="shared" ca="1" si="8"/>
        <v>488</v>
      </c>
      <c r="D507" s="636"/>
      <c r="E507" s="636"/>
      <c r="F507" s="567" t="s">
        <v>459</v>
      </c>
      <c r="G507" s="219" t="s">
        <v>448</v>
      </c>
      <c r="H507" s="243"/>
      <c r="I507" s="172" t="s">
        <v>2892</v>
      </c>
      <c r="J507" s="172" t="s">
        <v>365</v>
      </c>
      <c r="K507" s="245" t="s">
        <v>2893</v>
      </c>
      <c r="L507" s="141" t="s">
        <v>15</v>
      </c>
      <c r="M507" s="193">
        <v>46042</v>
      </c>
      <c r="N507" s="194" t="s">
        <v>4</v>
      </c>
      <c r="O507" s="141" t="s">
        <v>15</v>
      </c>
      <c r="P507" s="117"/>
      <c r="Q507" s="407">
        <v>46038</v>
      </c>
      <c r="R507" s="40" t="s">
        <v>445</v>
      </c>
      <c r="S507" s="208"/>
      <c r="T507" s="357"/>
      <c r="U507" s="84"/>
      <c r="V507" s="84"/>
      <c r="W507" s="84"/>
      <c r="X507" s="84"/>
      <c r="Y507" s="84"/>
      <c r="Z507" s="84"/>
      <c r="AA507" s="16"/>
      <c r="AB507" s="16"/>
      <c r="AC507" s="16"/>
      <c r="AD507" s="16"/>
      <c r="AE507" s="16"/>
      <c r="AF507" s="16"/>
      <c r="AG507" s="16"/>
    </row>
    <row r="508" spans="1:33" ht="15.75" customHeight="1" x14ac:dyDescent="0.3">
      <c r="A508" s="16"/>
      <c r="B508" s="16"/>
      <c r="C508" s="130">
        <f t="shared" ca="1" si="8"/>
        <v>489</v>
      </c>
      <c r="D508" s="636"/>
      <c r="E508" s="636"/>
      <c r="F508" s="567" t="s">
        <v>459</v>
      </c>
      <c r="G508" s="219" t="s">
        <v>455</v>
      </c>
      <c r="H508" s="243"/>
      <c r="I508" s="210"/>
      <c r="J508" s="172" t="s">
        <v>310</v>
      </c>
      <c r="K508" s="226" t="s">
        <v>371</v>
      </c>
      <c r="L508" s="141" t="s">
        <v>15</v>
      </c>
      <c r="M508" s="193">
        <v>46042</v>
      </c>
      <c r="N508" s="194" t="s">
        <v>4</v>
      </c>
      <c r="O508" s="141" t="s">
        <v>15</v>
      </c>
      <c r="P508" s="117"/>
      <c r="Q508" s="407">
        <v>46038</v>
      </c>
      <c r="R508" s="40" t="s">
        <v>445</v>
      </c>
      <c r="S508" s="208"/>
      <c r="T508" s="357"/>
      <c r="U508" s="84"/>
      <c r="V508" s="84"/>
      <c r="W508" s="84"/>
      <c r="X508" s="84"/>
      <c r="Y508" s="84"/>
      <c r="Z508" s="84"/>
      <c r="AA508" s="16"/>
      <c r="AB508" s="16"/>
      <c r="AC508" s="16"/>
      <c r="AD508" s="16"/>
      <c r="AE508" s="16"/>
      <c r="AF508" s="16"/>
      <c r="AG508" s="16"/>
    </row>
    <row r="509" spans="1:33" ht="15.75" customHeight="1" x14ac:dyDescent="0.3">
      <c r="A509" s="16"/>
      <c r="B509" s="16"/>
      <c r="C509" s="130">
        <f t="shared" ca="1" si="8"/>
        <v>490</v>
      </c>
      <c r="D509" s="636"/>
      <c r="E509" s="636"/>
      <c r="F509" s="567" t="s">
        <v>459</v>
      </c>
      <c r="G509" s="219" t="s">
        <v>448</v>
      </c>
      <c r="H509" s="243"/>
      <c r="I509" s="213" t="s">
        <v>372</v>
      </c>
      <c r="J509" s="172" t="s">
        <v>311</v>
      </c>
      <c r="K509" s="245" t="s">
        <v>373</v>
      </c>
      <c r="L509" s="141" t="s">
        <v>15</v>
      </c>
      <c r="M509" s="193">
        <v>46042</v>
      </c>
      <c r="N509" s="194" t="s">
        <v>4</v>
      </c>
      <c r="O509" s="141" t="s">
        <v>15</v>
      </c>
      <c r="P509" s="117"/>
      <c r="Q509" s="407">
        <v>46038</v>
      </c>
      <c r="R509" s="40" t="s">
        <v>445</v>
      </c>
      <c r="S509" s="208"/>
      <c r="T509" s="357"/>
      <c r="U509" s="84"/>
      <c r="V509" s="84"/>
      <c r="W509" s="84"/>
      <c r="X509" s="84"/>
      <c r="Y509" s="84"/>
      <c r="Z509" s="84"/>
      <c r="AA509" s="16"/>
      <c r="AB509" s="16"/>
      <c r="AC509" s="16"/>
      <c r="AD509" s="16"/>
      <c r="AE509" s="16"/>
      <c r="AF509" s="16"/>
      <c r="AG509" s="16"/>
    </row>
    <row r="510" spans="1:33" ht="15.75" customHeight="1" x14ac:dyDescent="0.3">
      <c r="A510" s="16"/>
      <c r="B510" s="16"/>
      <c r="C510" s="130">
        <f t="shared" ca="1" si="8"/>
        <v>491</v>
      </c>
      <c r="D510" s="636"/>
      <c r="E510" s="636"/>
      <c r="F510" s="567" t="s">
        <v>459</v>
      </c>
      <c r="G510" s="219" t="s">
        <v>448</v>
      </c>
      <c r="H510" s="243"/>
      <c r="I510" s="569"/>
      <c r="J510" s="172" t="s">
        <v>313</v>
      </c>
      <c r="K510" s="245" t="s">
        <v>2599</v>
      </c>
      <c r="L510" s="141" t="s">
        <v>15</v>
      </c>
      <c r="M510" s="193">
        <v>46042</v>
      </c>
      <c r="N510" s="194" t="s">
        <v>4</v>
      </c>
      <c r="O510" s="141" t="s">
        <v>15</v>
      </c>
      <c r="P510" s="117"/>
      <c r="Q510" s="407">
        <v>46038</v>
      </c>
      <c r="R510" s="40" t="s">
        <v>445</v>
      </c>
      <c r="S510" s="208"/>
      <c r="T510" s="357"/>
      <c r="U510" s="84"/>
      <c r="V510" s="84"/>
      <c r="W510" s="84"/>
      <c r="X510" s="84"/>
      <c r="Y510" s="84"/>
      <c r="Z510" s="84"/>
      <c r="AA510" s="16"/>
      <c r="AB510" s="16"/>
      <c r="AC510" s="16"/>
      <c r="AD510" s="16"/>
      <c r="AE510" s="16"/>
      <c r="AF510" s="16"/>
      <c r="AG510" s="16"/>
    </row>
    <row r="511" spans="1:33" ht="15.75" customHeight="1" x14ac:dyDescent="0.3">
      <c r="A511" s="16"/>
      <c r="B511" s="16"/>
      <c r="C511" s="130">
        <f t="shared" ca="1" si="8"/>
        <v>492</v>
      </c>
      <c r="D511" s="636"/>
      <c r="E511" s="636"/>
      <c r="F511" s="567" t="s">
        <v>459</v>
      </c>
      <c r="G511" s="219" t="s">
        <v>455</v>
      </c>
      <c r="H511" s="243"/>
      <c r="I511" s="210"/>
      <c r="J511" s="172" t="s">
        <v>375</v>
      </c>
      <c r="K511" s="226" t="s">
        <v>371</v>
      </c>
      <c r="L511" s="141" t="s">
        <v>15</v>
      </c>
      <c r="M511" s="193">
        <v>46042</v>
      </c>
      <c r="N511" s="194" t="s">
        <v>4</v>
      </c>
      <c r="O511" s="141" t="s">
        <v>15</v>
      </c>
      <c r="P511" s="117"/>
      <c r="Q511" s="407">
        <v>46038</v>
      </c>
      <c r="R511" s="40" t="s">
        <v>445</v>
      </c>
      <c r="S511" s="208"/>
      <c r="T511" s="357"/>
      <c r="U511" s="84"/>
      <c r="V511" s="84"/>
      <c r="W511" s="84"/>
      <c r="X511" s="84"/>
      <c r="Y511" s="84"/>
      <c r="Z511" s="84"/>
      <c r="AA511" s="16"/>
      <c r="AB511" s="16"/>
      <c r="AC511" s="16"/>
      <c r="AD511" s="16"/>
      <c r="AE511" s="16"/>
      <c r="AF511" s="16"/>
      <c r="AG511" s="16"/>
    </row>
    <row r="512" spans="1:33" ht="15.75" customHeight="1" x14ac:dyDescent="0.3">
      <c r="A512" s="16"/>
      <c r="B512" s="16"/>
      <c r="C512" s="130">
        <f t="shared" ca="1" si="8"/>
        <v>493</v>
      </c>
      <c r="D512" s="636"/>
      <c r="E512" s="636"/>
      <c r="F512" s="567" t="s">
        <v>459</v>
      </c>
      <c r="G512" s="219" t="s">
        <v>448</v>
      </c>
      <c r="H512" s="243"/>
      <c r="I512" s="172" t="s">
        <v>2894</v>
      </c>
      <c r="J512" s="172" t="s">
        <v>365</v>
      </c>
      <c r="K512" s="245" t="s">
        <v>2590</v>
      </c>
      <c r="L512" s="141" t="s">
        <v>15</v>
      </c>
      <c r="M512" s="193">
        <v>46042</v>
      </c>
      <c r="N512" s="194" t="s">
        <v>4</v>
      </c>
      <c r="O512" s="141" t="s">
        <v>158</v>
      </c>
      <c r="P512" s="117" t="s">
        <v>211</v>
      </c>
      <c r="Q512" s="407">
        <v>46038</v>
      </c>
      <c r="R512" s="40" t="s">
        <v>445</v>
      </c>
      <c r="S512" s="208" t="s">
        <v>2895</v>
      </c>
      <c r="T512" s="357"/>
      <c r="U512" s="84"/>
      <c r="V512" s="84"/>
      <c r="W512" s="84"/>
      <c r="X512" s="84"/>
      <c r="Y512" s="84"/>
      <c r="Z512" s="84"/>
      <c r="AA512" s="16"/>
      <c r="AB512" s="16"/>
      <c r="AC512" s="16"/>
      <c r="AD512" s="16"/>
      <c r="AE512" s="16"/>
      <c r="AF512" s="16"/>
      <c r="AG512" s="16"/>
    </row>
    <row r="513" spans="1:33" ht="15.75" customHeight="1" x14ac:dyDescent="0.3">
      <c r="A513" s="16"/>
      <c r="B513" s="16"/>
      <c r="C513" s="130">
        <f t="shared" ca="1" si="8"/>
        <v>494</v>
      </c>
      <c r="D513" s="636"/>
      <c r="E513" s="636"/>
      <c r="F513" s="567" t="s">
        <v>459</v>
      </c>
      <c r="G513" s="219" t="s">
        <v>448</v>
      </c>
      <c r="H513" s="243"/>
      <c r="I513" s="172" t="s">
        <v>2896</v>
      </c>
      <c r="J513" s="172" t="s">
        <v>365</v>
      </c>
      <c r="K513" s="245" t="s">
        <v>2886</v>
      </c>
      <c r="L513" s="141" t="s">
        <v>15</v>
      </c>
      <c r="M513" s="193">
        <v>46042</v>
      </c>
      <c r="N513" s="194" t="s">
        <v>4</v>
      </c>
      <c r="O513" s="141" t="s">
        <v>15</v>
      </c>
      <c r="P513" s="117"/>
      <c r="Q513" s="407">
        <v>46038</v>
      </c>
      <c r="R513" s="40" t="s">
        <v>445</v>
      </c>
      <c r="S513" s="208"/>
      <c r="T513" s="357"/>
      <c r="U513" s="84"/>
      <c r="V513" s="84"/>
      <c r="W513" s="84"/>
      <c r="X513" s="84"/>
      <c r="Y513" s="84"/>
      <c r="Z513" s="84"/>
      <c r="AA513" s="16"/>
      <c r="AB513" s="16"/>
      <c r="AC513" s="16"/>
      <c r="AD513" s="16"/>
      <c r="AE513" s="16"/>
      <c r="AF513" s="16"/>
      <c r="AG513" s="16"/>
    </row>
    <row r="514" spans="1:33" ht="15.75" customHeight="1" x14ac:dyDescent="0.3">
      <c r="A514" s="16"/>
      <c r="B514" s="16"/>
      <c r="C514" s="130">
        <f t="shared" ca="1" si="8"/>
        <v>495</v>
      </c>
      <c r="D514" s="636"/>
      <c r="E514" s="636"/>
      <c r="F514" s="567" t="s">
        <v>459</v>
      </c>
      <c r="G514" s="219" t="s">
        <v>448</v>
      </c>
      <c r="H514" s="243"/>
      <c r="I514" s="172" t="s">
        <v>2897</v>
      </c>
      <c r="J514" s="172" t="s">
        <v>365</v>
      </c>
      <c r="K514" s="245" t="s">
        <v>2888</v>
      </c>
      <c r="L514" s="141" t="s">
        <v>15</v>
      </c>
      <c r="M514" s="193">
        <v>46042</v>
      </c>
      <c r="N514" s="194" t="s">
        <v>4</v>
      </c>
      <c r="O514" s="141" t="s">
        <v>158</v>
      </c>
      <c r="P514" s="117" t="s">
        <v>211</v>
      </c>
      <c r="Q514" s="407">
        <v>46038</v>
      </c>
      <c r="R514" s="40" t="s">
        <v>445</v>
      </c>
      <c r="S514" s="208" t="s">
        <v>2898</v>
      </c>
      <c r="T514" s="357"/>
      <c r="U514" s="84"/>
      <c r="V514" s="84"/>
      <c r="W514" s="84"/>
      <c r="X514" s="84"/>
      <c r="Y514" s="84"/>
      <c r="Z514" s="84"/>
      <c r="AA514" s="16"/>
      <c r="AB514" s="16"/>
      <c r="AC514" s="16"/>
      <c r="AD514" s="16"/>
      <c r="AE514" s="16"/>
      <c r="AF514" s="16"/>
      <c r="AG514" s="16"/>
    </row>
    <row r="515" spans="1:33" ht="15.75" customHeight="1" x14ac:dyDescent="0.3">
      <c r="A515" s="16"/>
      <c r="B515" s="16"/>
      <c r="C515" s="130">
        <f t="shared" ca="1" si="8"/>
        <v>496</v>
      </c>
      <c r="D515" s="636"/>
      <c r="E515" s="636"/>
      <c r="F515" s="567" t="s">
        <v>459</v>
      </c>
      <c r="G515" s="219" t="s">
        <v>448</v>
      </c>
      <c r="H515" s="243"/>
      <c r="I515" s="172" t="s">
        <v>2899</v>
      </c>
      <c r="J515" s="172" t="s">
        <v>365</v>
      </c>
      <c r="K515" s="245" t="s">
        <v>2891</v>
      </c>
      <c r="L515" s="141" t="s">
        <v>15</v>
      </c>
      <c r="M515" s="193">
        <v>46042</v>
      </c>
      <c r="N515" s="194" t="s">
        <v>4</v>
      </c>
      <c r="O515" s="141" t="s">
        <v>15</v>
      </c>
      <c r="P515" s="117"/>
      <c r="Q515" s="407">
        <v>46038</v>
      </c>
      <c r="R515" s="40" t="s">
        <v>445</v>
      </c>
      <c r="S515" s="208"/>
      <c r="T515" s="357"/>
      <c r="U515" s="84"/>
      <c r="V515" s="84"/>
      <c r="W515" s="84"/>
      <c r="X515" s="84"/>
      <c r="Y515" s="84"/>
      <c r="Z515" s="84"/>
      <c r="AA515" s="16"/>
      <c r="AB515" s="16"/>
      <c r="AC515" s="16"/>
      <c r="AD515" s="16"/>
      <c r="AE515" s="16"/>
      <c r="AF515" s="16"/>
      <c r="AG515" s="16"/>
    </row>
    <row r="516" spans="1:33" ht="15.75" customHeight="1" x14ac:dyDescent="0.3">
      <c r="A516" s="16"/>
      <c r="B516" s="16"/>
      <c r="C516" s="130">
        <f t="shared" ca="1" si="8"/>
        <v>497</v>
      </c>
      <c r="D516" s="635"/>
      <c r="E516" s="635"/>
      <c r="F516" s="567" t="s">
        <v>459</v>
      </c>
      <c r="G516" s="219" t="s">
        <v>448</v>
      </c>
      <c r="H516" s="243"/>
      <c r="I516" s="172" t="s">
        <v>2900</v>
      </c>
      <c r="J516" s="172" t="s">
        <v>365</v>
      </c>
      <c r="K516" s="245" t="s">
        <v>2893</v>
      </c>
      <c r="L516" s="141" t="s">
        <v>15</v>
      </c>
      <c r="M516" s="193">
        <v>46042</v>
      </c>
      <c r="N516" s="194" t="s">
        <v>4</v>
      </c>
      <c r="O516" s="141" t="s">
        <v>15</v>
      </c>
      <c r="P516" s="117"/>
      <c r="Q516" s="407">
        <v>46038</v>
      </c>
      <c r="R516" s="40" t="s">
        <v>445</v>
      </c>
      <c r="S516" s="208"/>
      <c r="T516" s="357"/>
      <c r="U516" s="84"/>
      <c r="V516" s="84"/>
      <c r="W516" s="84"/>
      <c r="X516" s="84"/>
      <c r="Y516" s="84"/>
      <c r="Z516" s="84"/>
      <c r="AA516" s="16"/>
      <c r="AB516" s="16"/>
      <c r="AC516" s="16"/>
      <c r="AD516" s="16"/>
      <c r="AE516" s="16"/>
      <c r="AF516" s="16"/>
      <c r="AG516" s="16"/>
    </row>
    <row r="517" spans="1:33" ht="15.75" customHeight="1" x14ac:dyDescent="0.3">
      <c r="A517" s="16"/>
      <c r="B517" s="16"/>
      <c r="C517" s="130">
        <f t="shared" ca="1" si="8"/>
        <v>498</v>
      </c>
      <c r="D517" s="658" t="s">
        <v>348</v>
      </c>
      <c r="E517" s="251" t="s">
        <v>257</v>
      </c>
      <c r="F517" s="567" t="s">
        <v>457</v>
      </c>
      <c r="G517" s="219" t="s">
        <v>448</v>
      </c>
      <c r="H517" s="243"/>
      <c r="I517" s="172"/>
      <c r="J517" s="172" t="s">
        <v>261</v>
      </c>
      <c r="K517" s="245" t="s">
        <v>2901</v>
      </c>
      <c r="L517" s="141" t="s">
        <v>15</v>
      </c>
      <c r="M517" s="193">
        <v>46042</v>
      </c>
      <c r="N517" s="194" t="s">
        <v>4</v>
      </c>
      <c r="O517" s="141" t="s">
        <v>15</v>
      </c>
      <c r="P517" s="117"/>
      <c r="Q517" s="407">
        <v>46038</v>
      </c>
      <c r="R517" s="40" t="s">
        <v>445</v>
      </c>
      <c r="S517" s="208"/>
      <c r="T517" s="357"/>
      <c r="U517" s="84"/>
      <c r="V517" s="84"/>
      <c r="W517" s="84"/>
      <c r="X517" s="84"/>
      <c r="Y517" s="84"/>
      <c r="Z517" s="84"/>
      <c r="AA517" s="16"/>
      <c r="AB517" s="16"/>
      <c r="AC517" s="16"/>
      <c r="AD517" s="16"/>
      <c r="AE517" s="16"/>
      <c r="AF517" s="16"/>
      <c r="AG517" s="16"/>
    </row>
    <row r="518" spans="1:33" ht="15.75" customHeight="1" x14ac:dyDescent="0.3">
      <c r="A518" s="16"/>
      <c r="B518" s="16"/>
      <c r="C518" s="130">
        <f t="shared" ca="1" si="8"/>
        <v>499</v>
      </c>
      <c r="D518" s="636"/>
      <c r="E518" s="665" t="s">
        <v>237</v>
      </c>
      <c r="F518" s="567" t="s">
        <v>459</v>
      </c>
      <c r="G518" s="219" t="s">
        <v>448</v>
      </c>
      <c r="H518" s="243"/>
      <c r="I518" s="213" t="s">
        <v>364</v>
      </c>
      <c r="J518" s="172" t="s">
        <v>261</v>
      </c>
      <c r="K518" s="245" t="s">
        <v>2902</v>
      </c>
      <c r="L518" s="141" t="s">
        <v>15</v>
      </c>
      <c r="M518" s="193">
        <v>46042</v>
      </c>
      <c r="N518" s="194" t="s">
        <v>4</v>
      </c>
      <c r="O518" s="141" t="s">
        <v>15</v>
      </c>
      <c r="P518" s="117"/>
      <c r="Q518" s="407">
        <v>46038</v>
      </c>
      <c r="R518" s="40" t="s">
        <v>445</v>
      </c>
      <c r="S518" s="208"/>
      <c r="T518" s="357"/>
      <c r="U518" s="84"/>
      <c r="V518" s="84"/>
      <c r="W518" s="84"/>
      <c r="X518" s="84"/>
      <c r="Y518" s="84"/>
      <c r="Z518" s="84"/>
      <c r="AA518" s="16"/>
      <c r="AB518" s="16"/>
      <c r="AC518" s="16"/>
      <c r="AD518" s="16"/>
      <c r="AE518" s="16"/>
      <c r="AF518" s="16"/>
      <c r="AG518" s="16"/>
    </row>
    <row r="519" spans="1:33" ht="79.5" customHeight="1" x14ac:dyDescent="0.3">
      <c r="A519" s="16"/>
      <c r="B519" s="16"/>
      <c r="C519" s="130">
        <f t="shared" ca="1" si="8"/>
        <v>500</v>
      </c>
      <c r="D519" s="636"/>
      <c r="E519" s="636"/>
      <c r="F519" s="567" t="s">
        <v>459</v>
      </c>
      <c r="G519" s="219" t="s">
        <v>448</v>
      </c>
      <c r="H519" s="243"/>
      <c r="I519" s="172" t="s">
        <v>2903</v>
      </c>
      <c r="J519" s="172" t="s">
        <v>365</v>
      </c>
      <c r="K519" s="245" t="s">
        <v>2590</v>
      </c>
      <c r="L519" s="141" t="s">
        <v>15</v>
      </c>
      <c r="M519" s="193">
        <v>46042</v>
      </c>
      <c r="N519" s="194" t="s">
        <v>4</v>
      </c>
      <c r="O519" s="141" t="s">
        <v>158</v>
      </c>
      <c r="P519" s="117" t="s">
        <v>211</v>
      </c>
      <c r="Q519" s="407">
        <v>46038</v>
      </c>
      <c r="R519" s="40" t="s">
        <v>445</v>
      </c>
      <c r="S519" s="208" t="s">
        <v>2904</v>
      </c>
      <c r="T519" s="357"/>
      <c r="U519" s="84"/>
      <c r="V519" s="84"/>
      <c r="W519" s="84"/>
      <c r="X519" s="84"/>
      <c r="Y519" s="84"/>
      <c r="Z519" s="84"/>
      <c r="AA519" s="16"/>
      <c r="AB519" s="16"/>
      <c r="AC519" s="16"/>
      <c r="AD519" s="16"/>
      <c r="AE519" s="16"/>
      <c r="AF519" s="16"/>
      <c r="AG519" s="16"/>
    </row>
    <row r="520" spans="1:33" ht="79.5" customHeight="1" x14ac:dyDescent="0.3">
      <c r="A520" s="16"/>
      <c r="B520" s="16"/>
      <c r="C520" s="130">
        <f t="shared" ca="1" si="8"/>
        <v>501</v>
      </c>
      <c r="D520" s="636"/>
      <c r="E520" s="636"/>
      <c r="F520" s="567" t="s">
        <v>459</v>
      </c>
      <c r="G520" s="219" t="s">
        <v>448</v>
      </c>
      <c r="H520" s="243"/>
      <c r="I520" s="172" t="s">
        <v>2905</v>
      </c>
      <c r="J520" s="172" t="s">
        <v>365</v>
      </c>
      <c r="K520" s="245" t="s">
        <v>2906</v>
      </c>
      <c r="L520" s="141" t="s">
        <v>15</v>
      </c>
      <c r="M520" s="193">
        <v>46042</v>
      </c>
      <c r="N520" s="194" t="s">
        <v>4</v>
      </c>
      <c r="O520" s="141" t="s">
        <v>15</v>
      </c>
      <c r="P520" s="117"/>
      <c r="Q520" s="407">
        <v>46038</v>
      </c>
      <c r="R520" s="40" t="s">
        <v>445</v>
      </c>
      <c r="S520" s="208"/>
      <c r="T520" s="357"/>
      <c r="U520" s="84"/>
      <c r="V520" s="84"/>
      <c r="W520" s="84"/>
      <c r="X520" s="84"/>
      <c r="Y520" s="84"/>
      <c r="Z520" s="84"/>
      <c r="AA520" s="16"/>
      <c r="AB520" s="16"/>
      <c r="AC520" s="16"/>
      <c r="AD520" s="16"/>
      <c r="AE520" s="16"/>
      <c r="AF520" s="16"/>
      <c r="AG520" s="16"/>
    </row>
    <row r="521" spans="1:33" ht="79.5" customHeight="1" x14ac:dyDescent="0.3">
      <c r="A521" s="16"/>
      <c r="B521" s="16"/>
      <c r="C521" s="130">
        <f t="shared" ca="1" si="8"/>
        <v>502</v>
      </c>
      <c r="D521" s="636"/>
      <c r="E521" s="636"/>
      <c r="F521" s="567" t="s">
        <v>459</v>
      </c>
      <c r="G521" s="219" t="s">
        <v>448</v>
      </c>
      <c r="H521" s="243"/>
      <c r="I521" s="172" t="s">
        <v>2907</v>
      </c>
      <c r="J521" s="172" t="s">
        <v>365</v>
      </c>
      <c r="K521" s="245" t="s">
        <v>2908</v>
      </c>
      <c r="L521" s="141" t="s">
        <v>15</v>
      </c>
      <c r="M521" s="193">
        <v>46042</v>
      </c>
      <c r="N521" s="194" t="s">
        <v>4</v>
      </c>
      <c r="O521" s="141" t="s">
        <v>158</v>
      </c>
      <c r="P521" s="117" t="s">
        <v>211</v>
      </c>
      <c r="Q521" s="407">
        <v>46038</v>
      </c>
      <c r="R521" s="40" t="s">
        <v>445</v>
      </c>
      <c r="S521" s="208" t="s">
        <v>2909</v>
      </c>
      <c r="T521" s="357"/>
      <c r="U521" s="84"/>
      <c r="V521" s="84"/>
      <c r="W521" s="84"/>
      <c r="X521" s="84"/>
      <c r="Y521" s="84"/>
      <c r="Z521" s="84"/>
      <c r="AA521" s="16"/>
      <c r="AB521" s="16"/>
      <c r="AC521" s="16"/>
      <c r="AD521" s="16"/>
      <c r="AE521" s="16"/>
      <c r="AF521" s="16"/>
      <c r="AG521" s="16"/>
    </row>
    <row r="522" spans="1:33" ht="79.5" customHeight="1" x14ac:dyDescent="0.3">
      <c r="A522" s="16"/>
      <c r="B522" s="16"/>
      <c r="C522" s="130">
        <f t="shared" ca="1" si="8"/>
        <v>503</v>
      </c>
      <c r="D522" s="636"/>
      <c r="E522" s="636"/>
      <c r="F522" s="567" t="s">
        <v>459</v>
      </c>
      <c r="G522" s="219" t="s">
        <v>448</v>
      </c>
      <c r="H522" s="243"/>
      <c r="I522" s="172" t="s">
        <v>2910</v>
      </c>
      <c r="J522" s="172" t="s">
        <v>365</v>
      </c>
      <c r="K522" s="245" t="s">
        <v>2911</v>
      </c>
      <c r="L522" s="141" t="s">
        <v>15</v>
      </c>
      <c r="M522" s="193">
        <v>46042</v>
      </c>
      <c r="N522" s="194" t="s">
        <v>4</v>
      </c>
      <c r="O522" s="141" t="s">
        <v>15</v>
      </c>
      <c r="P522" s="117"/>
      <c r="Q522" s="407">
        <v>46038</v>
      </c>
      <c r="R522" s="40" t="s">
        <v>445</v>
      </c>
      <c r="S522" s="208"/>
      <c r="T522" s="357"/>
      <c r="U522" s="84"/>
      <c r="V522" s="84"/>
      <c r="W522" s="84"/>
      <c r="X522" s="84"/>
      <c r="Y522" s="84"/>
      <c r="Z522" s="84"/>
      <c r="AA522" s="16"/>
      <c r="AB522" s="16"/>
      <c r="AC522" s="16"/>
      <c r="AD522" s="16"/>
      <c r="AE522" s="16"/>
      <c r="AF522" s="16"/>
      <c r="AG522" s="16"/>
    </row>
    <row r="523" spans="1:33" ht="79.5" customHeight="1" x14ac:dyDescent="0.3">
      <c r="A523" s="16"/>
      <c r="B523" s="16"/>
      <c r="C523" s="130">
        <f t="shared" ca="1" si="8"/>
        <v>504</v>
      </c>
      <c r="D523" s="636"/>
      <c r="E523" s="636"/>
      <c r="F523" s="567" t="s">
        <v>459</v>
      </c>
      <c r="G523" s="219" t="s">
        <v>448</v>
      </c>
      <c r="H523" s="243"/>
      <c r="I523" s="172" t="s">
        <v>2912</v>
      </c>
      <c r="J523" s="172" t="s">
        <v>365</v>
      </c>
      <c r="K523" s="245" t="s">
        <v>2913</v>
      </c>
      <c r="L523" s="141" t="s">
        <v>15</v>
      </c>
      <c r="M523" s="193">
        <v>46042</v>
      </c>
      <c r="N523" s="194" t="s">
        <v>4</v>
      </c>
      <c r="O523" s="141" t="s">
        <v>15</v>
      </c>
      <c r="P523" s="117"/>
      <c r="Q523" s="407">
        <v>46038</v>
      </c>
      <c r="R523" s="40" t="s">
        <v>445</v>
      </c>
      <c r="S523" s="208"/>
      <c r="T523" s="357"/>
      <c r="U523" s="84"/>
      <c r="V523" s="84"/>
      <c r="W523" s="84"/>
      <c r="X523" s="84"/>
      <c r="Y523" s="84"/>
      <c r="Z523" s="84"/>
      <c r="AA523" s="16"/>
      <c r="AB523" s="16"/>
      <c r="AC523" s="16"/>
      <c r="AD523" s="16"/>
      <c r="AE523" s="16"/>
      <c r="AF523" s="16"/>
      <c r="AG523" s="16"/>
    </row>
    <row r="524" spans="1:33" ht="48" customHeight="1" x14ac:dyDescent="0.3">
      <c r="A524" s="16"/>
      <c r="B524" s="16"/>
      <c r="C524" s="130">
        <f t="shared" ca="1" si="8"/>
        <v>505</v>
      </c>
      <c r="D524" s="636"/>
      <c r="E524" s="636"/>
      <c r="F524" s="567" t="s">
        <v>459</v>
      </c>
      <c r="G524" s="219" t="s">
        <v>455</v>
      </c>
      <c r="H524" s="243"/>
      <c r="I524" s="210"/>
      <c r="J524" s="172" t="s">
        <v>310</v>
      </c>
      <c r="K524" s="226" t="s">
        <v>371</v>
      </c>
      <c r="L524" s="141" t="s">
        <v>15</v>
      </c>
      <c r="M524" s="193">
        <v>46042</v>
      </c>
      <c r="N524" s="194" t="s">
        <v>4</v>
      </c>
      <c r="O524" s="141" t="s">
        <v>15</v>
      </c>
      <c r="P524" s="117"/>
      <c r="Q524" s="407">
        <v>46038</v>
      </c>
      <c r="R524" s="40" t="s">
        <v>445</v>
      </c>
      <c r="S524" s="208"/>
      <c r="T524" s="357"/>
      <c r="U524" s="84"/>
      <c r="V524" s="84"/>
      <c r="W524" s="84"/>
      <c r="X524" s="84"/>
      <c r="Y524" s="84"/>
      <c r="Z524" s="84"/>
      <c r="AA524" s="16"/>
      <c r="AB524" s="16"/>
      <c r="AC524" s="16"/>
      <c r="AD524" s="16"/>
      <c r="AE524" s="16"/>
      <c r="AF524" s="16"/>
      <c r="AG524" s="16"/>
    </row>
    <row r="525" spans="1:33" ht="15.75" customHeight="1" x14ac:dyDescent="0.3">
      <c r="A525" s="16"/>
      <c r="B525" s="16"/>
      <c r="C525" s="130">
        <f t="shared" ca="1" si="8"/>
        <v>506</v>
      </c>
      <c r="D525" s="636"/>
      <c r="E525" s="636"/>
      <c r="F525" s="567" t="s">
        <v>459</v>
      </c>
      <c r="G525" s="219" t="s">
        <v>448</v>
      </c>
      <c r="H525" s="243"/>
      <c r="I525" s="657" t="s">
        <v>372</v>
      </c>
      <c r="J525" s="172" t="s">
        <v>311</v>
      </c>
      <c r="K525" s="245" t="s">
        <v>373</v>
      </c>
      <c r="L525" s="141" t="s">
        <v>15</v>
      </c>
      <c r="M525" s="193">
        <v>46042</v>
      </c>
      <c r="N525" s="194" t="s">
        <v>4</v>
      </c>
      <c r="O525" s="141" t="s">
        <v>15</v>
      </c>
      <c r="P525" s="117"/>
      <c r="Q525" s="407">
        <v>46038</v>
      </c>
      <c r="R525" s="40" t="s">
        <v>445</v>
      </c>
      <c r="S525" s="208"/>
      <c r="T525" s="357"/>
      <c r="U525" s="84"/>
      <c r="V525" s="84"/>
      <c r="W525" s="84"/>
      <c r="X525" s="84"/>
      <c r="Y525" s="84"/>
      <c r="Z525" s="84"/>
      <c r="AA525" s="16"/>
      <c r="AB525" s="16"/>
      <c r="AC525" s="16"/>
      <c r="AD525" s="16"/>
      <c r="AE525" s="16"/>
      <c r="AF525" s="16"/>
      <c r="AG525" s="16"/>
    </row>
    <row r="526" spans="1:33" ht="15.75" customHeight="1" x14ac:dyDescent="0.3">
      <c r="A526" s="16"/>
      <c r="B526" s="16"/>
      <c r="C526" s="130">
        <f t="shared" ca="1" si="8"/>
        <v>507</v>
      </c>
      <c r="D526" s="636"/>
      <c r="E526" s="636"/>
      <c r="F526" s="567" t="s">
        <v>459</v>
      </c>
      <c r="G526" s="219" t="s">
        <v>448</v>
      </c>
      <c r="H526" s="243"/>
      <c r="I526" s="606"/>
      <c r="J526" s="172" t="s">
        <v>313</v>
      </c>
      <c r="K526" s="245" t="s">
        <v>2599</v>
      </c>
      <c r="L526" s="141" t="s">
        <v>15</v>
      </c>
      <c r="M526" s="193">
        <v>46042</v>
      </c>
      <c r="N526" s="194" t="s">
        <v>4</v>
      </c>
      <c r="O526" s="141" t="s">
        <v>15</v>
      </c>
      <c r="P526" s="117"/>
      <c r="Q526" s="407">
        <v>46038</v>
      </c>
      <c r="R526" s="40" t="s">
        <v>445</v>
      </c>
      <c r="S526" s="208"/>
      <c r="T526" s="357"/>
      <c r="U526" s="84"/>
      <c r="V526" s="84"/>
      <c r="W526" s="84"/>
      <c r="X526" s="84"/>
      <c r="Y526" s="84"/>
      <c r="Z526" s="84"/>
      <c r="AA526" s="16"/>
      <c r="AB526" s="16"/>
      <c r="AC526" s="16"/>
      <c r="AD526" s="16"/>
      <c r="AE526" s="16"/>
      <c r="AF526" s="16"/>
      <c r="AG526" s="16"/>
    </row>
    <row r="527" spans="1:33" ht="15.75" customHeight="1" x14ac:dyDescent="0.3">
      <c r="A527" s="16"/>
      <c r="B527" s="16"/>
      <c r="C527" s="130">
        <f t="shared" ca="1" si="8"/>
        <v>508</v>
      </c>
      <c r="D527" s="636"/>
      <c r="E527" s="636"/>
      <c r="F527" s="567" t="s">
        <v>459</v>
      </c>
      <c r="G527" s="219" t="s">
        <v>455</v>
      </c>
      <c r="H527" s="243"/>
      <c r="I527" s="608"/>
      <c r="J527" s="172" t="s">
        <v>375</v>
      </c>
      <c r="K527" s="226" t="s">
        <v>371</v>
      </c>
      <c r="L527" s="141" t="s">
        <v>15</v>
      </c>
      <c r="M527" s="193">
        <v>46042</v>
      </c>
      <c r="N527" s="194" t="s">
        <v>4</v>
      </c>
      <c r="O527" s="141" t="s">
        <v>15</v>
      </c>
      <c r="P527" s="117"/>
      <c r="Q527" s="407">
        <v>46038</v>
      </c>
      <c r="R527" s="40" t="s">
        <v>445</v>
      </c>
      <c r="S527" s="208"/>
      <c r="T527" s="357"/>
      <c r="U527" s="84"/>
      <c r="V527" s="84"/>
      <c r="W527" s="84"/>
      <c r="X527" s="84"/>
      <c r="Y527" s="84"/>
      <c r="Z527" s="84"/>
      <c r="AA527" s="16"/>
      <c r="AB527" s="16"/>
      <c r="AC527" s="16"/>
      <c r="AD527" s="16"/>
      <c r="AE527" s="16"/>
      <c r="AF527" s="16"/>
      <c r="AG527" s="16"/>
    </row>
    <row r="528" spans="1:33" ht="15.75" customHeight="1" x14ac:dyDescent="0.3">
      <c r="A528" s="16"/>
      <c r="B528" s="16"/>
      <c r="C528" s="130">
        <f t="shared" ca="1" si="8"/>
        <v>509</v>
      </c>
      <c r="D528" s="636"/>
      <c r="E528" s="636"/>
      <c r="F528" s="567" t="s">
        <v>459</v>
      </c>
      <c r="G528" s="219" t="s">
        <v>448</v>
      </c>
      <c r="H528" s="243"/>
      <c r="I528" s="172" t="s">
        <v>2914</v>
      </c>
      <c r="J528" s="172" t="s">
        <v>365</v>
      </c>
      <c r="K528" s="245" t="s">
        <v>2590</v>
      </c>
      <c r="L528" s="141" t="s">
        <v>15</v>
      </c>
      <c r="M528" s="193">
        <v>46042</v>
      </c>
      <c r="N528" s="194" t="s">
        <v>4</v>
      </c>
      <c r="O528" s="141" t="s">
        <v>158</v>
      </c>
      <c r="P528" s="117" t="s">
        <v>211</v>
      </c>
      <c r="Q528" s="407">
        <v>46038</v>
      </c>
      <c r="R528" s="40" t="s">
        <v>445</v>
      </c>
      <c r="S528" s="208" t="s">
        <v>2915</v>
      </c>
      <c r="T528" s="357"/>
      <c r="U528" s="84"/>
      <c r="V528" s="84"/>
      <c r="W528" s="84"/>
      <c r="X528" s="84"/>
      <c r="Y528" s="84"/>
      <c r="Z528" s="84"/>
      <c r="AA528" s="297"/>
      <c r="AB528" s="297"/>
      <c r="AC528" s="297"/>
      <c r="AD528" s="297"/>
      <c r="AE528" s="297"/>
      <c r="AF528" s="297"/>
      <c r="AG528" s="297"/>
    </row>
    <row r="529" spans="1:33" ht="15.75" customHeight="1" x14ac:dyDescent="0.3">
      <c r="A529" s="104"/>
      <c r="B529" s="104"/>
      <c r="C529" s="130">
        <f t="shared" ca="1" si="8"/>
        <v>510</v>
      </c>
      <c r="D529" s="636"/>
      <c r="E529" s="636"/>
      <c r="F529" s="567" t="s">
        <v>459</v>
      </c>
      <c r="G529" s="219" t="s">
        <v>448</v>
      </c>
      <c r="H529" s="243"/>
      <c r="I529" s="172" t="s">
        <v>2916</v>
      </c>
      <c r="J529" s="172" t="s">
        <v>365</v>
      </c>
      <c r="K529" s="245" t="s">
        <v>2886</v>
      </c>
      <c r="L529" s="141" t="s">
        <v>15</v>
      </c>
      <c r="M529" s="193">
        <v>46042</v>
      </c>
      <c r="N529" s="194" t="s">
        <v>4</v>
      </c>
      <c r="O529" s="141" t="s">
        <v>15</v>
      </c>
      <c r="P529" s="117"/>
      <c r="Q529" s="407">
        <v>46038</v>
      </c>
      <c r="R529" s="40" t="s">
        <v>445</v>
      </c>
      <c r="S529" s="208"/>
      <c r="T529" s="357"/>
      <c r="U529" s="84"/>
      <c r="V529" s="84"/>
      <c r="W529" s="84"/>
      <c r="X529" s="84"/>
      <c r="Y529" s="84"/>
      <c r="Z529" s="84"/>
      <c r="AA529" s="81"/>
      <c r="AB529" s="81"/>
      <c r="AC529" s="81"/>
      <c r="AD529" s="81"/>
      <c r="AE529" s="81"/>
      <c r="AF529" s="81"/>
      <c r="AG529" s="81"/>
    </row>
    <row r="530" spans="1:33" ht="15.75" customHeight="1" x14ac:dyDescent="0.3">
      <c r="A530" s="104"/>
      <c r="B530" s="104"/>
      <c r="C530" s="130">
        <f t="shared" ca="1" si="8"/>
        <v>511</v>
      </c>
      <c r="D530" s="636"/>
      <c r="E530" s="636"/>
      <c r="F530" s="567" t="s">
        <v>459</v>
      </c>
      <c r="G530" s="219" t="s">
        <v>448</v>
      </c>
      <c r="H530" s="243"/>
      <c r="I530" s="172" t="s">
        <v>2917</v>
      </c>
      <c r="J530" s="172" t="s">
        <v>365</v>
      </c>
      <c r="K530" s="245" t="s">
        <v>2888</v>
      </c>
      <c r="L530" s="141" t="s">
        <v>15</v>
      </c>
      <c r="M530" s="193">
        <v>46042</v>
      </c>
      <c r="N530" s="194" t="s">
        <v>4</v>
      </c>
      <c r="O530" s="141" t="s">
        <v>158</v>
      </c>
      <c r="P530" s="117" t="s">
        <v>211</v>
      </c>
      <c r="Q530" s="407">
        <v>46038</v>
      </c>
      <c r="R530" s="40" t="s">
        <v>445</v>
      </c>
      <c r="S530" s="208" t="s">
        <v>2918</v>
      </c>
      <c r="T530" s="357"/>
      <c r="U530" s="84"/>
      <c r="V530" s="84"/>
      <c r="W530" s="84"/>
      <c r="X530" s="84"/>
      <c r="Y530" s="84"/>
      <c r="Z530" s="84"/>
      <c r="AA530" s="81"/>
      <c r="AB530" s="81"/>
      <c r="AC530" s="81"/>
      <c r="AD530" s="81"/>
      <c r="AE530" s="81"/>
      <c r="AF530" s="81"/>
      <c r="AG530" s="81"/>
    </row>
    <row r="531" spans="1:33" ht="15.75" customHeight="1" x14ac:dyDescent="0.3">
      <c r="A531" s="104"/>
      <c r="B531" s="104"/>
      <c r="C531" s="130">
        <f t="shared" ca="1" si="8"/>
        <v>512</v>
      </c>
      <c r="D531" s="636"/>
      <c r="E531" s="636"/>
      <c r="F531" s="567" t="s">
        <v>459</v>
      </c>
      <c r="G531" s="219" t="s">
        <v>448</v>
      </c>
      <c r="H531" s="243"/>
      <c r="I531" s="172" t="s">
        <v>2919</v>
      </c>
      <c r="J531" s="172" t="s">
        <v>365</v>
      </c>
      <c r="K531" s="245" t="s">
        <v>2891</v>
      </c>
      <c r="L531" s="141" t="s">
        <v>15</v>
      </c>
      <c r="M531" s="193">
        <v>46042</v>
      </c>
      <c r="N531" s="194" t="s">
        <v>4</v>
      </c>
      <c r="O531" s="141" t="s">
        <v>15</v>
      </c>
      <c r="P531" s="117"/>
      <c r="Q531" s="407">
        <v>46038</v>
      </c>
      <c r="R531" s="40" t="s">
        <v>445</v>
      </c>
      <c r="S531" s="208"/>
      <c r="T531" s="357"/>
      <c r="U531" s="84"/>
      <c r="V531" s="84"/>
      <c r="W531" s="84"/>
      <c r="X531" s="84"/>
      <c r="Y531" s="84"/>
      <c r="Z531" s="84"/>
      <c r="AA531" s="81"/>
      <c r="AB531" s="81"/>
      <c r="AC531" s="81"/>
      <c r="AD531" s="81"/>
      <c r="AE531" s="81"/>
      <c r="AF531" s="81"/>
      <c r="AG531" s="81"/>
    </row>
    <row r="532" spans="1:33" ht="15.75" customHeight="1" x14ac:dyDescent="0.3">
      <c r="A532" s="104"/>
      <c r="B532" s="104"/>
      <c r="C532" s="130">
        <f t="shared" ca="1" si="8"/>
        <v>513</v>
      </c>
      <c r="D532" s="635"/>
      <c r="E532" s="635"/>
      <c r="F532" s="567" t="s">
        <v>459</v>
      </c>
      <c r="G532" s="219" t="s">
        <v>448</v>
      </c>
      <c r="H532" s="243"/>
      <c r="I532" s="172" t="s">
        <v>2920</v>
      </c>
      <c r="J532" s="172" t="s">
        <v>365</v>
      </c>
      <c r="K532" s="245" t="s">
        <v>2893</v>
      </c>
      <c r="L532" s="141" t="s">
        <v>15</v>
      </c>
      <c r="M532" s="193">
        <v>46042</v>
      </c>
      <c r="N532" s="194" t="s">
        <v>4</v>
      </c>
      <c r="O532" s="141" t="s">
        <v>15</v>
      </c>
      <c r="P532" s="117"/>
      <c r="Q532" s="407">
        <v>46038</v>
      </c>
      <c r="R532" s="40" t="s">
        <v>445</v>
      </c>
      <c r="S532" s="208"/>
      <c r="T532" s="357"/>
      <c r="U532" s="84"/>
      <c r="V532" s="84"/>
      <c r="W532" s="84"/>
      <c r="X532" s="84"/>
      <c r="Y532" s="84"/>
      <c r="Z532" s="84"/>
      <c r="AA532" s="81"/>
      <c r="AB532" s="81"/>
      <c r="AC532" s="81"/>
      <c r="AD532" s="81"/>
      <c r="AE532" s="81"/>
      <c r="AF532" s="81"/>
      <c r="AG532" s="81"/>
    </row>
    <row r="533" spans="1:33" ht="15.75" customHeight="1" x14ac:dyDescent="0.3">
      <c r="A533" s="104"/>
      <c r="B533" s="104"/>
      <c r="C533" s="130">
        <f t="shared" ca="1" si="8"/>
        <v>514</v>
      </c>
      <c r="D533" s="658" t="s">
        <v>349</v>
      </c>
      <c r="E533" s="251" t="s">
        <v>257</v>
      </c>
      <c r="F533" s="567" t="s">
        <v>457</v>
      </c>
      <c r="G533" s="219" t="s">
        <v>448</v>
      </c>
      <c r="H533" s="243"/>
      <c r="I533" s="172"/>
      <c r="J533" s="172" t="s">
        <v>261</v>
      </c>
      <c r="K533" s="245" t="s">
        <v>2921</v>
      </c>
      <c r="L533" s="141" t="s">
        <v>15</v>
      </c>
      <c r="M533" s="193">
        <v>46042</v>
      </c>
      <c r="N533" s="194" t="s">
        <v>4</v>
      </c>
      <c r="O533" s="141" t="s">
        <v>15</v>
      </c>
      <c r="P533" s="117"/>
      <c r="Q533" s="407">
        <v>46038</v>
      </c>
      <c r="R533" s="40" t="s">
        <v>445</v>
      </c>
      <c r="S533" s="208"/>
      <c r="T533" s="357"/>
      <c r="U533" s="84"/>
      <c r="V533" s="84"/>
      <c r="W533" s="84"/>
      <c r="X533" s="84"/>
      <c r="Y533" s="84"/>
      <c r="Z533" s="84"/>
      <c r="AA533" s="81"/>
      <c r="AB533" s="81"/>
      <c r="AC533" s="81"/>
      <c r="AD533" s="81"/>
      <c r="AE533" s="81"/>
      <c r="AF533" s="81"/>
      <c r="AG533" s="81"/>
    </row>
    <row r="534" spans="1:33" ht="15.75" customHeight="1" x14ac:dyDescent="0.3">
      <c r="A534" s="104"/>
      <c r="B534" s="104"/>
      <c r="C534" s="130">
        <f t="shared" ca="1" si="8"/>
        <v>515</v>
      </c>
      <c r="D534" s="636"/>
      <c r="E534" s="665" t="s">
        <v>237</v>
      </c>
      <c r="F534" s="567" t="s">
        <v>459</v>
      </c>
      <c r="G534" s="219" t="s">
        <v>448</v>
      </c>
      <c r="H534" s="243"/>
      <c r="I534" s="213" t="s">
        <v>364</v>
      </c>
      <c r="J534" s="172" t="s">
        <v>365</v>
      </c>
      <c r="K534" s="245" t="s">
        <v>2922</v>
      </c>
      <c r="L534" s="141" t="s">
        <v>15</v>
      </c>
      <c r="M534" s="193">
        <v>46042</v>
      </c>
      <c r="N534" s="194" t="s">
        <v>4</v>
      </c>
      <c r="O534" s="141" t="s">
        <v>15</v>
      </c>
      <c r="P534" s="117"/>
      <c r="Q534" s="407">
        <v>46038</v>
      </c>
      <c r="R534" s="40" t="s">
        <v>445</v>
      </c>
      <c r="S534" s="208"/>
      <c r="T534" s="357"/>
      <c r="U534" s="84"/>
      <c r="V534" s="84"/>
      <c r="W534" s="84"/>
      <c r="X534" s="84"/>
      <c r="Y534" s="84"/>
      <c r="Z534" s="84"/>
      <c r="AA534" s="81"/>
      <c r="AB534" s="81"/>
      <c r="AC534" s="81"/>
      <c r="AD534" s="81"/>
      <c r="AE534" s="81"/>
      <c r="AF534" s="81"/>
      <c r="AG534" s="81"/>
    </row>
    <row r="535" spans="1:33" ht="15.75" customHeight="1" x14ac:dyDescent="0.3">
      <c r="A535" s="104"/>
      <c r="B535" s="104"/>
      <c r="C535" s="130">
        <f t="shared" ca="1" si="8"/>
        <v>516</v>
      </c>
      <c r="D535" s="636"/>
      <c r="E535" s="636"/>
      <c r="F535" s="567" t="s">
        <v>459</v>
      </c>
      <c r="G535" s="219" t="s">
        <v>448</v>
      </c>
      <c r="H535" s="243"/>
      <c r="I535" s="172" t="s">
        <v>2923</v>
      </c>
      <c r="J535" s="172" t="s">
        <v>365</v>
      </c>
      <c r="K535" s="245" t="s">
        <v>2590</v>
      </c>
      <c r="L535" s="141" t="s">
        <v>15</v>
      </c>
      <c r="M535" s="193">
        <v>46042</v>
      </c>
      <c r="N535" s="194" t="s">
        <v>4</v>
      </c>
      <c r="O535" s="141" t="s">
        <v>158</v>
      </c>
      <c r="P535" s="117" t="s">
        <v>211</v>
      </c>
      <c r="Q535" s="407">
        <v>46038</v>
      </c>
      <c r="R535" s="40" t="s">
        <v>445</v>
      </c>
      <c r="S535" s="208" t="s">
        <v>2924</v>
      </c>
      <c r="T535" s="357"/>
      <c r="U535" s="84"/>
      <c r="V535" s="84"/>
      <c r="W535" s="84"/>
      <c r="X535" s="84"/>
      <c r="Y535" s="84"/>
      <c r="Z535" s="84"/>
      <c r="AA535" s="81"/>
      <c r="AB535" s="81"/>
      <c r="AC535" s="81"/>
      <c r="AD535" s="81"/>
      <c r="AE535" s="81"/>
      <c r="AF535" s="81"/>
      <c r="AG535" s="81"/>
    </row>
    <row r="536" spans="1:33" ht="15.75" customHeight="1" x14ac:dyDescent="0.3">
      <c r="A536" s="104"/>
      <c r="B536" s="104"/>
      <c r="C536" s="130">
        <f t="shared" ca="1" si="8"/>
        <v>517</v>
      </c>
      <c r="D536" s="636"/>
      <c r="E536" s="636"/>
      <c r="F536" s="567" t="s">
        <v>459</v>
      </c>
      <c r="G536" s="219" t="s">
        <v>448</v>
      </c>
      <c r="H536" s="243"/>
      <c r="I536" s="172" t="s">
        <v>2925</v>
      </c>
      <c r="J536" s="172" t="s">
        <v>365</v>
      </c>
      <c r="K536" s="245" t="s">
        <v>2926</v>
      </c>
      <c r="L536" s="141" t="s">
        <v>15</v>
      </c>
      <c r="M536" s="193">
        <v>46042</v>
      </c>
      <c r="N536" s="194" t="s">
        <v>4</v>
      </c>
      <c r="O536" s="141" t="s">
        <v>15</v>
      </c>
      <c r="P536" s="117"/>
      <c r="Q536" s="407">
        <v>46038</v>
      </c>
      <c r="R536" s="40" t="s">
        <v>445</v>
      </c>
      <c r="S536" s="208"/>
      <c r="T536" s="357"/>
      <c r="U536" s="84"/>
      <c r="V536" s="84"/>
      <c r="W536" s="84"/>
      <c r="X536" s="84"/>
      <c r="Y536" s="84"/>
      <c r="Z536" s="84"/>
      <c r="AA536" s="81"/>
      <c r="AB536" s="81"/>
      <c r="AC536" s="81"/>
      <c r="AD536" s="81"/>
      <c r="AE536" s="81"/>
      <c r="AF536" s="81"/>
      <c r="AG536" s="81"/>
    </row>
    <row r="537" spans="1:33" ht="15.75" customHeight="1" x14ac:dyDescent="0.3">
      <c r="A537" s="104"/>
      <c r="B537" s="104"/>
      <c r="C537" s="130">
        <f t="shared" ca="1" si="8"/>
        <v>518</v>
      </c>
      <c r="D537" s="636"/>
      <c r="E537" s="636"/>
      <c r="F537" s="567" t="s">
        <v>459</v>
      </c>
      <c r="G537" s="219" t="s">
        <v>448</v>
      </c>
      <c r="H537" s="243"/>
      <c r="I537" s="172" t="s">
        <v>2927</v>
      </c>
      <c r="J537" s="172" t="s">
        <v>365</v>
      </c>
      <c r="K537" s="245" t="s">
        <v>2928</v>
      </c>
      <c r="L537" s="141" t="s">
        <v>15</v>
      </c>
      <c r="M537" s="193">
        <v>46042</v>
      </c>
      <c r="N537" s="194" t="s">
        <v>4</v>
      </c>
      <c r="O537" s="141" t="s">
        <v>158</v>
      </c>
      <c r="P537" s="117" t="s">
        <v>211</v>
      </c>
      <c r="Q537" s="407">
        <v>46038</v>
      </c>
      <c r="R537" s="40" t="s">
        <v>445</v>
      </c>
      <c r="S537" s="208" t="s">
        <v>2929</v>
      </c>
      <c r="T537" s="357"/>
      <c r="U537" s="84"/>
      <c r="V537" s="84"/>
      <c r="W537" s="84"/>
      <c r="X537" s="84"/>
      <c r="Y537" s="84"/>
      <c r="Z537" s="84"/>
      <c r="AA537" s="81"/>
      <c r="AB537" s="81"/>
      <c r="AC537" s="81"/>
      <c r="AD537" s="81"/>
      <c r="AE537" s="81"/>
      <c r="AF537" s="81"/>
      <c r="AG537" s="81"/>
    </row>
    <row r="538" spans="1:33" ht="15.75" customHeight="1" x14ac:dyDescent="0.3">
      <c r="A538" s="104"/>
      <c r="B538" s="104"/>
      <c r="C538" s="130">
        <f t="shared" ca="1" si="8"/>
        <v>519</v>
      </c>
      <c r="D538" s="636"/>
      <c r="E538" s="636"/>
      <c r="F538" s="567" t="s">
        <v>459</v>
      </c>
      <c r="G538" s="219" t="s">
        <v>448</v>
      </c>
      <c r="H538" s="243"/>
      <c r="I538" s="172" t="s">
        <v>2930</v>
      </c>
      <c r="J538" s="172" t="s">
        <v>365</v>
      </c>
      <c r="K538" s="245" t="s">
        <v>2931</v>
      </c>
      <c r="L538" s="141" t="s">
        <v>15</v>
      </c>
      <c r="M538" s="193">
        <v>46042</v>
      </c>
      <c r="N538" s="194" t="s">
        <v>4</v>
      </c>
      <c r="O538" s="141" t="s">
        <v>15</v>
      </c>
      <c r="P538" s="117"/>
      <c r="Q538" s="407">
        <v>46038</v>
      </c>
      <c r="R538" s="40" t="s">
        <v>445</v>
      </c>
      <c r="S538" s="208"/>
      <c r="T538" s="357"/>
      <c r="U538" s="84"/>
      <c r="V538" s="84"/>
      <c r="W538" s="84"/>
      <c r="X538" s="84"/>
      <c r="Y538" s="84"/>
      <c r="Z538" s="84"/>
      <c r="AA538" s="81"/>
      <c r="AB538" s="81"/>
      <c r="AC538" s="81"/>
      <c r="AD538" s="81"/>
      <c r="AE538" s="81"/>
      <c r="AF538" s="81"/>
      <c r="AG538" s="81"/>
    </row>
    <row r="539" spans="1:33" ht="15.75" customHeight="1" x14ac:dyDescent="0.3">
      <c r="A539" s="104"/>
      <c r="B539" s="104"/>
      <c r="C539" s="130">
        <f t="shared" ca="1" si="8"/>
        <v>520</v>
      </c>
      <c r="D539" s="636"/>
      <c r="E539" s="636"/>
      <c r="F539" s="567" t="s">
        <v>459</v>
      </c>
      <c r="G539" s="219" t="s">
        <v>448</v>
      </c>
      <c r="H539" s="243"/>
      <c r="I539" s="172" t="s">
        <v>2932</v>
      </c>
      <c r="J539" s="172" t="s">
        <v>365</v>
      </c>
      <c r="K539" s="245" t="s">
        <v>2933</v>
      </c>
      <c r="L539" s="141" t="s">
        <v>15</v>
      </c>
      <c r="M539" s="193">
        <v>46042</v>
      </c>
      <c r="N539" s="194" t="s">
        <v>4</v>
      </c>
      <c r="O539" s="141" t="s">
        <v>15</v>
      </c>
      <c r="P539" s="117"/>
      <c r="Q539" s="407">
        <v>46038</v>
      </c>
      <c r="R539" s="40" t="s">
        <v>445</v>
      </c>
      <c r="S539" s="208"/>
      <c r="T539" s="357"/>
      <c r="U539" s="84"/>
      <c r="V539" s="84"/>
      <c r="W539" s="84"/>
      <c r="X539" s="84"/>
      <c r="Y539" s="84"/>
      <c r="Z539" s="84"/>
      <c r="AA539" s="81"/>
      <c r="AB539" s="81"/>
      <c r="AC539" s="81"/>
      <c r="AD539" s="81"/>
      <c r="AE539" s="81"/>
      <c r="AF539" s="81"/>
      <c r="AG539" s="81"/>
    </row>
    <row r="540" spans="1:33" ht="15.75" customHeight="1" x14ac:dyDescent="0.3">
      <c r="A540" s="104"/>
      <c r="B540" s="104"/>
      <c r="C540" s="130">
        <f t="shared" ca="1" si="8"/>
        <v>521</v>
      </c>
      <c r="D540" s="636"/>
      <c r="E540" s="636"/>
      <c r="F540" s="567" t="s">
        <v>459</v>
      </c>
      <c r="G540" s="219" t="s">
        <v>455</v>
      </c>
      <c r="H540" s="243"/>
      <c r="I540" s="210"/>
      <c r="J540" s="172" t="s">
        <v>310</v>
      </c>
      <c r="K540" s="226" t="s">
        <v>371</v>
      </c>
      <c r="L540" s="141" t="s">
        <v>15</v>
      </c>
      <c r="M540" s="193">
        <v>46042</v>
      </c>
      <c r="N540" s="194" t="s">
        <v>4</v>
      </c>
      <c r="O540" s="141" t="s">
        <v>15</v>
      </c>
      <c r="P540" s="117"/>
      <c r="Q540" s="407">
        <v>46038</v>
      </c>
      <c r="R540" s="40" t="s">
        <v>445</v>
      </c>
      <c r="S540" s="208"/>
      <c r="T540" s="357"/>
      <c r="U540" s="84"/>
      <c r="V540" s="84"/>
      <c r="W540" s="84"/>
      <c r="X540" s="84"/>
      <c r="Y540" s="84"/>
      <c r="Z540" s="84"/>
      <c r="AA540" s="81"/>
      <c r="AB540" s="81"/>
      <c r="AC540" s="81"/>
      <c r="AD540" s="81"/>
      <c r="AE540" s="81"/>
      <c r="AF540" s="81"/>
      <c r="AG540" s="81"/>
    </row>
    <row r="541" spans="1:33" ht="15.75" customHeight="1" x14ac:dyDescent="0.3">
      <c r="A541" s="104"/>
      <c r="B541" s="104"/>
      <c r="C541" s="130">
        <f t="shared" ca="1" si="8"/>
        <v>522</v>
      </c>
      <c r="D541" s="636"/>
      <c r="E541" s="636"/>
      <c r="F541" s="567" t="s">
        <v>459</v>
      </c>
      <c r="G541" s="219" t="s">
        <v>448</v>
      </c>
      <c r="H541" s="243"/>
      <c r="I541" s="657" t="s">
        <v>372</v>
      </c>
      <c r="J541" s="172" t="s">
        <v>311</v>
      </c>
      <c r="K541" s="245" t="s">
        <v>373</v>
      </c>
      <c r="L541" s="141" t="s">
        <v>15</v>
      </c>
      <c r="M541" s="193">
        <v>46042</v>
      </c>
      <c r="N541" s="194" t="s">
        <v>4</v>
      </c>
      <c r="O541" s="141" t="s">
        <v>15</v>
      </c>
      <c r="P541" s="117"/>
      <c r="Q541" s="407">
        <v>46038</v>
      </c>
      <c r="R541" s="40" t="s">
        <v>445</v>
      </c>
      <c r="S541" s="208"/>
      <c r="T541" s="357"/>
      <c r="U541" s="84"/>
      <c r="V541" s="84"/>
      <c r="W541" s="84"/>
      <c r="X541" s="84"/>
      <c r="Y541" s="84"/>
      <c r="Z541" s="84"/>
      <c r="AA541" s="81"/>
      <c r="AB541" s="81"/>
      <c r="AC541" s="81"/>
      <c r="AD541" s="81"/>
      <c r="AE541" s="81"/>
      <c r="AF541" s="81"/>
      <c r="AG541" s="81"/>
    </row>
    <row r="542" spans="1:33" ht="15.75" customHeight="1" x14ac:dyDescent="0.3">
      <c r="A542" s="104"/>
      <c r="B542" s="104"/>
      <c r="C542" s="130">
        <f t="shared" ca="1" si="8"/>
        <v>523</v>
      </c>
      <c r="D542" s="636"/>
      <c r="E542" s="636"/>
      <c r="F542" s="567" t="s">
        <v>459</v>
      </c>
      <c r="G542" s="219" t="s">
        <v>448</v>
      </c>
      <c r="H542" s="243"/>
      <c r="I542" s="606"/>
      <c r="J542" s="172" t="s">
        <v>313</v>
      </c>
      <c r="K542" s="245" t="s">
        <v>2599</v>
      </c>
      <c r="L542" s="141" t="s">
        <v>15</v>
      </c>
      <c r="M542" s="193">
        <v>46042</v>
      </c>
      <c r="N542" s="194" t="s">
        <v>4</v>
      </c>
      <c r="O542" s="141" t="s">
        <v>15</v>
      </c>
      <c r="P542" s="117"/>
      <c r="Q542" s="407">
        <v>46038</v>
      </c>
      <c r="R542" s="40" t="s">
        <v>445</v>
      </c>
      <c r="S542" s="208"/>
      <c r="T542" s="357"/>
      <c r="U542" s="84"/>
      <c r="V542" s="84"/>
      <c r="W542" s="84"/>
      <c r="X542" s="84"/>
      <c r="Y542" s="84"/>
      <c r="Z542" s="84"/>
      <c r="AA542" s="81"/>
      <c r="AB542" s="81"/>
      <c r="AC542" s="81"/>
      <c r="AD542" s="81"/>
      <c r="AE542" s="81"/>
      <c r="AF542" s="81"/>
      <c r="AG542" s="81"/>
    </row>
    <row r="543" spans="1:33" ht="15.75" customHeight="1" x14ac:dyDescent="0.3">
      <c r="A543" s="104"/>
      <c r="B543" s="104"/>
      <c r="C543" s="130">
        <f t="shared" ca="1" si="8"/>
        <v>524</v>
      </c>
      <c r="D543" s="636"/>
      <c r="E543" s="636"/>
      <c r="F543" s="567" t="s">
        <v>459</v>
      </c>
      <c r="G543" s="219" t="s">
        <v>455</v>
      </c>
      <c r="H543" s="243"/>
      <c r="I543" s="608"/>
      <c r="J543" s="172" t="s">
        <v>375</v>
      </c>
      <c r="K543" s="226" t="s">
        <v>371</v>
      </c>
      <c r="L543" s="141" t="s">
        <v>15</v>
      </c>
      <c r="M543" s="193">
        <v>46042</v>
      </c>
      <c r="N543" s="194" t="s">
        <v>4</v>
      </c>
      <c r="O543" s="141" t="s">
        <v>15</v>
      </c>
      <c r="P543" s="117"/>
      <c r="Q543" s="407">
        <v>46038</v>
      </c>
      <c r="R543" s="40" t="s">
        <v>445</v>
      </c>
      <c r="S543" s="208"/>
      <c r="T543" s="357"/>
      <c r="U543" s="84"/>
      <c r="V543" s="84"/>
      <c r="W543" s="84"/>
      <c r="X543" s="84"/>
      <c r="Y543" s="84"/>
      <c r="Z543" s="84"/>
      <c r="AA543" s="81"/>
      <c r="AB543" s="81"/>
      <c r="AC543" s="81"/>
      <c r="AD543" s="81"/>
      <c r="AE543" s="81"/>
      <c r="AF543" s="81"/>
      <c r="AG543" s="81"/>
    </row>
    <row r="544" spans="1:33" ht="15.75" customHeight="1" x14ac:dyDescent="0.3">
      <c r="A544" s="104"/>
      <c r="B544" s="104"/>
      <c r="C544" s="130">
        <f t="shared" ca="1" si="8"/>
        <v>525</v>
      </c>
      <c r="D544" s="636"/>
      <c r="E544" s="636"/>
      <c r="F544" s="567" t="s">
        <v>459</v>
      </c>
      <c r="G544" s="219" t="s">
        <v>448</v>
      </c>
      <c r="H544" s="243"/>
      <c r="I544" s="172" t="s">
        <v>2934</v>
      </c>
      <c r="J544" s="172" t="s">
        <v>365</v>
      </c>
      <c r="K544" s="245" t="s">
        <v>2590</v>
      </c>
      <c r="L544" s="141" t="s">
        <v>15</v>
      </c>
      <c r="M544" s="193">
        <v>46042</v>
      </c>
      <c r="N544" s="194" t="s">
        <v>4</v>
      </c>
      <c r="O544" s="141" t="s">
        <v>158</v>
      </c>
      <c r="P544" s="117" t="s">
        <v>211</v>
      </c>
      <c r="Q544" s="407">
        <v>46038</v>
      </c>
      <c r="R544" s="40" t="s">
        <v>445</v>
      </c>
      <c r="S544" s="208" t="s">
        <v>2935</v>
      </c>
      <c r="T544" s="357"/>
      <c r="U544" s="84"/>
      <c r="V544" s="84"/>
      <c r="W544" s="84"/>
      <c r="X544" s="84"/>
      <c r="Y544" s="84"/>
      <c r="Z544" s="84"/>
      <c r="AA544" s="81"/>
      <c r="AB544" s="81"/>
      <c r="AC544" s="81"/>
      <c r="AD544" s="81"/>
      <c r="AE544" s="81"/>
      <c r="AF544" s="81"/>
      <c r="AG544" s="81"/>
    </row>
    <row r="545" spans="1:33" ht="15.75" customHeight="1" x14ac:dyDescent="0.3">
      <c r="A545" s="104"/>
      <c r="B545" s="104"/>
      <c r="C545" s="130">
        <f t="shared" ca="1" si="8"/>
        <v>526</v>
      </c>
      <c r="D545" s="636"/>
      <c r="E545" s="636"/>
      <c r="F545" s="567" t="s">
        <v>459</v>
      </c>
      <c r="G545" s="219" t="s">
        <v>448</v>
      </c>
      <c r="H545" s="243"/>
      <c r="I545" s="172" t="s">
        <v>2936</v>
      </c>
      <c r="J545" s="172" t="s">
        <v>365</v>
      </c>
      <c r="K545" s="245" t="s">
        <v>2926</v>
      </c>
      <c r="L545" s="141" t="s">
        <v>15</v>
      </c>
      <c r="M545" s="193">
        <v>46042</v>
      </c>
      <c r="N545" s="194" t="s">
        <v>4</v>
      </c>
      <c r="O545" s="141" t="s">
        <v>15</v>
      </c>
      <c r="P545" s="117"/>
      <c r="Q545" s="407">
        <v>46038</v>
      </c>
      <c r="R545" s="40" t="s">
        <v>445</v>
      </c>
      <c r="S545" s="208"/>
      <c r="T545" s="357"/>
      <c r="U545" s="84"/>
      <c r="V545" s="84"/>
      <c r="W545" s="84"/>
      <c r="X545" s="84"/>
      <c r="Y545" s="84"/>
      <c r="Z545" s="84"/>
      <c r="AA545" s="81"/>
      <c r="AB545" s="81"/>
      <c r="AC545" s="81"/>
      <c r="AD545" s="81"/>
      <c r="AE545" s="81"/>
      <c r="AF545" s="81"/>
      <c r="AG545" s="81"/>
    </row>
    <row r="546" spans="1:33" ht="15.75" customHeight="1" x14ac:dyDescent="0.3">
      <c r="A546" s="104"/>
      <c r="B546" s="104"/>
      <c r="C546" s="130">
        <f t="shared" ca="1" si="8"/>
        <v>527</v>
      </c>
      <c r="D546" s="636"/>
      <c r="E546" s="636"/>
      <c r="F546" s="567" t="s">
        <v>459</v>
      </c>
      <c r="G546" s="219" t="s">
        <v>448</v>
      </c>
      <c r="H546" s="243"/>
      <c r="I546" s="172" t="s">
        <v>2937</v>
      </c>
      <c r="J546" s="172" t="s">
        <v>365</v>
      </c>
      <c r="K546" s="245" t="s">
        <v>2928</v>
      </c>
      <c r="L546" s="141" t="s">
        <v>15</v>
      </c>
      <c r="M546" s="193">
        <v>46042</v>
      </c>
      <c r="N546" s="194" t="s">
        <v>4</v>
      </c>
      <c r="O546" s="141" t="s">
        <v>158</v>
      </c>
      <c r="P546" s="117" t="s">
        <v>211</v>
      </c>
      <c r="Q546" s="407">
        <v>46038</v>
      </c>
      <c r="R546" s="40" t="s">
        <v>445</v>
      </c>
      <c r="S546" s="208" t="s">
        <v>2938</v>
      </c>
      <c r="T546" s="357"/>
      <c r="U546" s="84"/>
      <c r="V546" s="84"/>
      <c r="W546" s="84"/>
      <c r="X546" s="84"/>
      <c r="Y546" s="84"/>
      <c r="Z546" s="84"/>
      <c r="AA546" s="81"/>
      <c r="AB546" s="81"/>
      <c r="AC546" s="81"/>
      <c r="AD546" s="81"/>
      <c r="AE546" s="81"/>
      <c r="AF546" s="81"/>
      <c r="AG546" s="81"/>
    </row>
    <row r="547" spans="1:33" ht="15.75" customHeight="1" x14ac:dyDescent="0.3">
      <c r="A547" s="104"/>
      <c r="B547" s="104"/>
      <c r="C547" s="130">
        <f t="shared" ca="1" si="8"/>
        <v>528</v>
      </c>
      <c r="D547" s="636"/>
      <c r="E547" s="636"/>
      <c r="F547" s="567" t="s">
        <v>459</v>
      </c>
      <c r="G547" s="219" t="s">
        <v>448</v>
      </c>
      <c r="H547" s="243"/>
      <c r="I547" s="172" t="s">
        <v>2939</v>
      </c>
      <c r="J547" s="172" t="s">
        <v>365</v>
      </c>
      <c r="K547" s="245" t="s">
        <v>2931</v>
      </c>
      <c r="L547" s="141" t="s">
        <v>15</v>
      </c>
      <c r="M547" s="193">
        <v>46042</v>
      </c>
      <c r="N547" s="194" t="s">
        <v>4</v>
      </c>
      <c r="O547" s="141" t="s">
        <v>15</v>
      </c>
      <c r="P547" s="117"/>
      <c r="Q547" s="407">
        <v>46038</v>
      </c>
      <c r="R547" s="40" t="s">
        <v>445</v>
      </c>
      <c r="S547" s="208"/>
      <c r="T547" s="357"/>
      <c r="U547" s="84"/>
      <c r="V547" s="84"/>
      <c r="W547" s="84"/>
      <c r="X547" s="84"/>
      <c r="Y547" s="84"/>
      <c r="Z547" s="84"/>
      <c r="AA547" s="81"/>
      <c r="AB547" s="81"/>
      <c r="AC547" s="81"/>
      <c r="AD547" s="81"/>
      <c r="AE547" s="81"/>
      <c r="AF547" s="81"/>
      <c r="AG547" s="81"/>
    </row>
    <row r="548" spans="1:33" ht="15.75" customHeight="1" x14ac:dyDescent="0.3">
      <c r="A548" s="104"/>
      <c r="B548" s="104"/>
      <c r="C548" s="130">
        <f t="shared" ca="1" si="8"/>
        <v>529</v>
      </c>
      <c r="D548" s="635"/>
      <c r="E548" s="635"/>
      <c r="F548" s="567" t="s">
        <v>459</v>
      </c>
      <c r="G548" s="219" t="s">
        <v>448</v>
      </c>
      <c r="H548" s="243"/>
      <c r="I548" s="172" t="s">
        <v>2940</v>
      </c>
      <c r="J548" s="172" t="s">
        <v>365</v>
      </c>
      <c r="K548" s="245" t="s">
        <v>2933</v>
      </c>
      <c r="L548" s="141" t="s">
        <v>15</v>
      </c>
      <c r="M548" s="193">
        <v>46042</v>
      </c>
      <c r="N548" s="194" t="s">
        <v>4</v>
      </c>
      <c r="O548" s="141" t="s">
        <v>15</v>
      </c>
      <c r="P548" s="117"/>
      <c r="Q548" s="407">
        <v>46038</v>
      </c>
      <c r="R548" s="40" t="s">
        <v>445</v>
      </c>
      <c r="S548" s="208"/>
      <c r="T548" s="357"/>
      <c r="U548" s="84"/>
      <c r="V548" s="84"/>
      <c r="W548" s="84"/>
      <c r="X548" s="84"/>
      <c r="Y548" s="84"/>
      <c r="Z548" s="84"/>
      <c r="AA548" s="81"/>
      <c r="AB548" s="81"/>
      <c r="AC548" s="81"/>
      <c r="AD548" s="81"/>
      <c r="AE548" s="81"/>
      <c r="AF548" s="81"/>
      <c r="AG548" s="81"/>
    </row>
    <row r="549" spans="1:33" ht="15.75" customHeight="1" x14ac:dyDescent="0.3">
      <c r="A549" s="104"/>
      <c r="B549" s="104"/>
      <c r="C549" s="130">
        <f t="shared" ca="1" si="8"/>
        <v>530</v>
      </c>
      <c r="D549" s="658" t="s">
        <v>350</v>
      </c>
      <c r="E549" s="251" t="s">
        <v>257</v>
      </c>
      <c r="F549" s="567" t="s">
        <v>457</v>
      </c>
      <c r="G549" s="219" t="s">
        <v>448</v>
      </c>
      <c r="H549" s="243"/>
      <c r="I549" s="172"/>
      <c r="J549" s="172" t="s">
        <v>261</v>
      </c>
      <c r="K549" s="245" t="s">
        <v>325</v>
      </c>
      <c r="L549" s="141" t="s">
        <v>15</v>
      </c>
      <c r="M549" s="193">
        <v>46042</v>
      </c>
      <c r="N549" s="194" t="s">
        <v>4</v>
      </c>
      <c r="O549" s="141" t="s">
        <v>15</v>
      </c>
      <c r="P549" s="117"/>
      <c r="Q549" s="407">
        <v>46038</v>
      </c>
      <c r="R549" s="40" t="s">
        <v>445</v>
      </c>
      <c r="S549" s="208"/>
      <c r="T549" s="357"/>
      <c r="U549" s="84"/>
      <c r="V549" s="84"/>
      <c r="W549" s="84"/>
      <c r="X549" s="84"/>
      <c r="Y549" s="84"/>
      <c r="Z549" s="84"/>
      <c r="AA549" s="81"/>
      <c r="AB549" s="81"/>
      <c r="AC549" s="81"/>
      <c r="AD549" s="81"/>
      <c r="AE549" s="81"/>
      <c r="AF549" s="81"/>
      <c r="AG549" s="81"/>
    </row>
    <row r="550" spans="1:33" ht="15.75" customHeight="1" x14ac:dyDescent="0.3">
      <c r="A550" s="104"/>
      <c r="B550" s="104"/>
      <c r="C550" s="130">
        <f t="shared" ca="1" si="8"/>
        <v>531</v>
      </c>
      <c r="D550" s="636"/>
      <c r="E550" s="665" t="s">
        <v>237</v>
      </c>
      <c r="F550" s="567" t="s">
        <v>459</v>
      </c>
      <c r="G550" s="219" t="s">
        <v>448</v>
      </c>
      <c r="H550" s="243"/>
      <c r="I550" s="213" t="s">
        <v>364</v>
      </c>
      <c r="J550" s="172" t="s">
        <v>365</v>
      </c>
      <c r="K550" s="245" t="s">
        <v>2941</v>
      </c>
      <c r="L550" s="141" t="s">
        <v>15</v>
      </c>
      <c r="M550" s="193">
        <v>46042</v>
      </c>
      <c r="N550" s="194" t="s">
        <v>4</v>
      </c>
      <c r="O550" s="141" t="s">
        <v>15</v>
      </c>
      <c r="P550" s="117"/>
      <c r="Q550" s="407">
        <v>46038</v>
      </c>
      <c r="R550" s="40" t="s">
        <v>445</v>
      </c>
      <c r="S550" s="208"/>
      <c r="T550" s="357"/>
      <c r="U550" s="84"/>
      <c r="V550" s="84"/>
      <c r="W550" s="84"/>
      <c r="X550" s="84"/>
      <c r="Y550" s="84"/>
      <c r="Z550" s="84"/>
      <c r="AA550" s="81"/>
      <c r="AB550" s="81"/>
      <c r="AC550" s="81"/>
      <c r="AD550" s="81"/>
      <c r="AE550" s="81"/>
      <c r="AF550" s="81"/>
      <c r="AG550" s="81"/>
    </row>
    <row r="551" spans="1:33" ht="15.75" customHeight="1" x14ac:dyDescent="0.3">
      <c r="A551" s="104"/>
      <c r="B551" s="104"/>
      <c r="C551" s="130">
        <f t="shared" ca="1" si="8"/>
        <v>532</v>
      </c>
      <c r="D551" s="636"/>
      <c r="E551" s="636"/>
      <c r="F551" s="567" t="s">
        <v>459</v>
      </c>
      <c r="G551" s="219" t="s">
        <v>448</v>
      </c>
      <c r="H551" s="243"/>
      <c r="I551" s="172" t="s">
        <v>2942</v>
      </c>
      <c r="J551" s="172" t="s">
        <v>365</v>
      </c>
      <c r="K551" s="245" t="s">
        <v>2590</v>
      </c>
      <c r="L551" s="141" t="s">
        <v>15</v>
      </c>
      <c r="M551" s="193">
        <v>46042</v>
      </c>
      <c r="N551" s="194" t="s">
        <v>4</v>
      </c>
      <c r="O551" s="141" t="s">
        <v>158</v>
      </c>
      <c r="P551" s="117" t="s">
        <v>211</v>
      </c>
      <c r="Q551" s="407">
        <v>46038</v>
      </c>
      <c r="R551" s="40" t="s">
        <v>445</v>
      </c>
      <c r="S551" s="208" t="s">
        <v>2943</v>
      </c>
      <c r="T551" s="357"/>
      <c r="U551" s="84"/>
      <c r="V551" s="84"/>
      <c r="W551" s="84"/>
      <c r="X551" s="84"/>
      <c r="Y551" s="84"/>
      <c r="Z551" s="84"/>
      <c r="AA551" s="81"/>
      <c r="AB551" s="81"/>
      <c r="AC551" s="81"/>
      <c r="AD551" s="81"/>
      <c r="AE551" s="81"/>
      <c r="AF551" s="81"/>
      <c r="AG551" s="81"/>
    </row>
    <row r="552" spans="1:33" ht="15.75" customHeight="1" x14ac:dyDescent="0.3">
      <c r="A552" s="104"/>
      <c r="B552" s="104"/>
      <c r="C552" s="130">
        <f t="shared" ca="1" si="8"/>
        <v>533</v>
      </c>
      <c r="D552" s="636"/>
      <c r="E552" s="636"/>
      <c r="F552" s="567" t="s">
        <v>459</v>
      </c>
      <c r="G552" s="219" t="s">
        <v>448</v>
      </c>
      <c r="H552" s="243"/>
      <c r="I552" s="172" t="s">
        <v>2944</v>
      </c>
      <c r="J552" s="172" t="s">
        <v>365</v>
      </c>
      <c r="K552" s="245" t="s">
        <v>2945</v>
      </c>
      <c r="L552" s="141" t="s">
        <v>15</v>
      </c>
      <c r="M552" s="193">
        <v>46042</v>
      </c>
      <c r="N552" s="194" t="s">
        <v>4</v>
      </c>
      <c r="O552" s="141" t="s">
        <v>15</v>
      </c>
      <c r="P552" s="117"/>
      <c r="Q552" s="407">
        <v>46038</v>
      </c>
      <c r="R552" s="40" t="s">
        <v>445</v>
      </c>
      <c r="S552" s="208"/>
      <c r="T552" s="357"/>
      <c r="U552" s="84"/>
      <c r="V552" s="84"/>
      <c r="W552" s="84"/>
      <c r="X552" s="84"/>
      <c r="Y552" s="84"/>
      <c r="Z552" s="84"/>
      <c r="AA552" s="81"/>
      <c r="AB552" s="81"/>
      <c r="AC552" s="81"/>
      <c r="AD552" s="81"/>
      <c r="AE552" s="81"/>
      <c r="AF552" s="81"/>
      <c r="AG552" s="81"/>
    </row>
    <row r="553" spans="1:33" ht="15.75" customHeight="1" x14ac:dyDescent="0.3">
      <c r="A553" s="104"/>
      <c r="B553" s="104"/>
      <c r="C553" s="130">
        <f t="shared" ca="1" si="8"/>
        <v>534</v>
      </c>
      <c r="D553" s="636"/>
      <c r="E553" s="636"/>
      <c r="F553" s="567" t="s">
        <v>459</v>
      </c>
      <c r="G553" s="219" t="s">
        <v>448</v>
      </c>
      <c r="H553" s="243"/>
      <c r="I553" s="172" t="s">
        <v>2946</v>
      </c>
      <c r="J553" s="172" t="s">
        <v>365</v>
      </c>
      <c r="K553" s="245" t="s">
        <v>2947</v>
      </c>
      <c r="L553" s="141" t="s">
        <v>15</v>
      </c>
      <c r="M553" s="193">
        <v>46042</v>
      </c>
      <c r="N553" s="194" t="s">
        <v>4</v>
      </c>
      <c r="O553" s="141" t="s">
        <v>158</v>
      </c>
      <c r="P553" s="117" t="s">
        <v>211</v>
      </c>
      <c r="Q553" s="407">
        <v>46038</v>
      </c>
      <c r="R553" s="40" t="s">
        <v>445</v>
      </c>
      <c r="S553" s="208" t="s">
        <v>2948</v>
      </c>
      <c r="T553" s="357"/>
      <c r="U553" s="84"/>
      <c r="V553" s="84"/>
      <c r="W553" s="84"/>
      <c r="X553" s="84"/>
      <c r="Y553" s="84"/>
      <c r="Z553" s="84"/>
      <c r="AA553" s="81"/>
      <c r="AB553" s="81"/>
      <c r="AC553" s="81"/>
      <c r="AD553" s="81"/>
      <c r="AE553" s="81"/>
      <c r="AF553" s="81"/>
      <c r="AG553" s="81"/>
    </row>
    <row r="554" spans="1:33" ht="15.75" customHeight="1" x14ac:dyDescent="0.3">
      <c r="A554" s="104"/>
      <c r="B554" s="104"/>
      <c r="C554" s="130">
        <f t="shared" ca="1" si="8"/>
        <v>535</v>
      </c>
      <c r="D554" s="636"/>
      <c r="E554" s="636"/>
      <c r="F554" s="567" t="s">
        <v>459</v>
      </c>
      <c r="G554" s="219" t="s">
        <v>448</v>
      </c>
      <c r="H554" s="243"/>
      <c r="I554" s="172" t="s">
        <v>2949</v>
      </c>
      <c r="J554" s="172" t="s">
        <v>365</v>
      </c>
      <c r="K554" s="245" t="s">
        <v>2950</v>
      </c>
      <c r="L554" s="141" t="s">
        <v>15</v>
      </c>
      <c r="M554" s="193">
        <v>46042</v>
      </c>
      <c r="N554" s="194" t="s">
        <v>4</v>
      </c>
      <c r="O554" s="141" t="s">
        <v>15</v>
      </c>
      <c r="P554" s="117"/>
      <c r="Q554" s="407">
        <v>46038</v>
      </c>
      <c r="R554" s="40" t="s">
        <v>445</v>
      </c>
      <c r="S554" s="208"/>
      <c r="T554" s="357"/>
      <c r="U554" s="84"/>
      <c r="V554" s="84"/>
      <c r="W554" s="84"/>
      <c r="X554" s="84"/>
      <c r="Y554" s="84"/>
      <c r="Z554" s="84"/>
      <c r="AA554" s="81"/>
      <c r="AB554" s="81"/>
      <c r="AC554" s="81"/>
      <c r="AD554" s="81"/>
      <c r="AE554" s="81"/>
      <c r="AF554" s="81"/>
      <c r="AG554" s="81"/>
    </row>
    <row r="555" spans="1:33" ht="15.75" customHeight="1" x14ac:dyDescent="0.3">
      <c r="A555" s="104"/>
      <c r="B555" s="104"/>
      <c r="C555" s="130">
        <f t="shared" ca="1" si="8"/>
        <v>536</v>
      </c>
      <c r="D555" s="636"/>
      <c r="E555" s="636"/>
      <c r="F555" s="567" t="s">
        <v>459</v>
      </c>
      <c r="G555" s="219" t="s">
        <v>448</v>
      </c>
      <c r="H555" s="243"/>
      <c r="I555" s="172" t="s">
        <v>2951</v>
      </c>
      <c r="J555" s="172" t="s">
        <v>365</v>
      </c>
      <c r="K555" s="245" t="s">
        <v>2952</v>
      </c>
      <c r="L555" s="141" t="s">
        <v>15</v>
      </c>
      <c r="M555" s="193">
        <v>46042</v>
      </c>
      <c r="N555" s="194" t="s">
        <v>4</v>
      </c>
      <c r="O555" s="141" t="s">
        <v>15</v>
      </c>
      <c r="P555" s="117"/>
      <c r="Q555" s="407">
        <v>46038</v>
      </c>
      <c r="R555" s="40" t="s">
        <v>445</v>
      </c>
      <c r="S555" s="208"/>
      <c r="T555" s="357"/>
      <c r="U555" s="84"/>
      <c r="V555" s="84"/>
      <c r="W555" s="84"/>
      <c r="X555" s="84"/>
      <c r="Y555" s="84"/>
      <c r="Z555" s="84"/>
      <c r="AA555" s="81"/>
      <c r="AB555" s="81"/>
      <c r="AC555" s="81"/>
      <c r="AD555" s="81"/>
      <c r="AE555" s="81"/>
      <c r="AF555" s="81"/>
      <c r="AG555" s="81"/>
    </row>
    <row r="556" spans="1:33" ht="15.75" customHeight="1" x14ac:dyDescent="0.3">
      <c r="A556" s="104"/>
      <c r="B556" s="104"/>
      <c r="C556" s="130">
        <f t="shared" ca="1" si="8"/>
        <v>537</v>
      </c>
      <c r="D556" s="636"/>
      <c r="E556" s="636"/>
      <c r="F556" s="567" t="s">
        <v>459</v>
      </c>
      <c r="G556" s="219" t="s">
        <v>455</v>
      </c>
      <c r="H556" s="243"/>
      <c r="I556" s="210"/>
      <c r="J556" s="172" t="s">
        <v>310</v>
      </c>
      <c r="K556" s="226" t="s">
        <v>371</v>
      </c>
      <c r="L556" s="141" t="s">
        <v>15</v>
      </c>
      <c r="M556" s="193">
        <v>46042</v>
      </c>
      <c r="N556" s="194" t="s">
        <v>4</v>
      </c>
      <c r="O556" s="141" t="s">
        <v>15</v>
      </c>
      <c r="P556" s="117"/>
      <c r="Q556" s="407">
        <v>46038</v>
      </c>
      <c r="R556" s="40" t="s">
        <v>445</v>
      </c>
      <c r="S556" s="208"/>
      <c r="T556" s="357"/>
      <c r="U556" s="84"/>
      <c r="V556" s="84"/>
      <c r="W556" s="84"/>
      <c r="X556" s="84"/>
      <c r="Y556" s="84"/>
      <c r="Z556" s="84"/>
      <c r="AA556" s="81"/>
      <c r="AB556" s="81"/>
      <c r="AC556" s="81"/>
      <c r="AD556" s="81"/>
      <c r="AE556" s="81"/>
      <c r="AF556" s="81"/>
      <c r="AG556" s="81"/>
    </row>
    <row r="557" spans="1:33" ht="15.75" customHeight="1" x14ac:dyDescent="0.3">
      <c r="A557" s="104"/>
      <c r="B557" s="104"/>
      <c r="C557" s="130">
        <f t="shared" ca="1" si="8"/>
        <v>538</v>
      </c>
      <c r="D557" s="636"/>
      <c r="E557" s="636"/>
      <c r="F557" s="567" t="s">
        <v>459</v>
      </c>
      <c r="G557" s="219" t="s">
        <v>448</v>
      </c>
      <c r="H557" s="243"/>
      <c r="I557" s="213" t="s">
        <v>372</v>
      </c>
      <c r="J557" s="172" t="s">
        <v>311</v>
      </c>
      <c r="K557" s="245" t="s">
        <v>373</v>
      </c>
      <c r="L557" s="141" t="s">
        <v>15</v>
      </c>
      <c r="M557" s="193">
        <v>46042</v>
      </c>
      <c r="N557" s="194" t="s">
        <v>4</v>
      </c>
      <c r="O557" s="141" t="s">
        <v>15</v>
      </c>
      <c r="P557" s="117"/>
      <c r="Q557" s="407">
        <v>46038</v>
      </c>
      <c r="R557" s="40" t="s">
        <v>445</v>
      </c>
      <c r="S557" s="208"/>
      <c r="T557" s="357"/>
      <c r="U557" s="84"/>
      <c r="V557" s="84"/>
      <c r="W557" s="84"/>
      <c r="X557" s="84"/>
      <c r="Y557" s="84"/>
      <c r="Z557" s="84"/>
      <c r="AA557" s="81"/>
      <c r="AB557" s="81"/>
      <c r="AC557" s="81"/>
      <c r="AD557" s="81"/>
      <c r="AE557" s="81"/>
      <c r="AF557" s="81"/>
      <c r="AG557" s="81"/>
    </row>
    <row r="558" spans="1:33" ht="15.75" customHeight="1" x14ac:dyDescent="0.3">
      <c r="A558" s="104"/>
      <c r="B558" s="104"/>
      <c r="C558" s="130">
        <f t="shared" ca="1" si="8"/>
        <v>539</v>
      </c>
      <c r="D558" s="636"/>
      <c r="E558" s="636"/>
      <c r="F558" s="567" t="s">
        <v>459</v>
      </c>
      <c r="G558" s="219" t="s">
        <v>448</v>
      </c>
      <c r="H558" s="243"/>
      <c r="I558" s="569"/>
      <c r="J558" s="172" t="s">
        <v>313</v>
      </c>
      <c r="K558" s="245" t="s">
        <v>2599</v>
      </c>
      <c r="L558" s="141" t="s">
        <v>15</v>
      </c>
      <c r="M558" s="193">
        <v>46042</v>
      </c>
      <c r="N558" s="194" t="s">
        <v>4</v>
      </c>
      <c r="O558" s="141" t="s">
        <v>15</v>
      </c>
      <c r="P558" s="117"/>
      <c r="Q558" s="407">
        <v>46038</v>
      </c>
      <c r="R558" s="40" t="s">
        <v>445</v>
      </c>
      <c r="S558" s="208"/>
      <c r="T558" s="357"/>
      <c r="U558" s="84"/>
      <c r="V558" s="84"/>
      <c r="W558" s="84"/>
      <c r="X558" s="84"/>
      <c r="Y558" s="84"/>
      <c r="Z558" s="84"/>
      <c r="AA558" s="81"/>
      <c r="AB558" s="81"/>
      <c r="AC558" s="81"/>
      <c r="AD558" s="81"/>
      <c r="AE558" s="81"/>
      <c r="AF558" s="81"/>
      <c r="AG558" s="81"/>
    </row>
    <row r="559" spans="1:33" ht="15.75" customHeight="1" x14ac:dyDescent="0.3">
      <c r="A559" s="104"/>
      <c r="B559" s="104"/>
      <c r="C559" s="130">
        <f t="shared" ca="1" si="8"/>
        <v>540</v>
      </c>
      <c r="D559" s="636"/>
      <c r="E559" s="636"/>
      <c r="F559" s="567" t="s">
        <v>459</v>
      </c>
      <c r="G559" s="219" t="s">
        <v>455</v>
      </c>
      <c r="H559" s="243"/>
      <c r="I559" s="210"/>
      <c r="J559" s="172" t="s">
        <v>375</v>
      </c>
      <c r="K559" s="226" t="s">
        <v>371</v>
      </c>
      <c r="L559" s="141" t="s">
        <v>15</v>
      </c>
      <c r="M559" s="193">
        <v>46042</v>
      </c>
      <c r="N559" s="194" t="s">
        <v>4</v>
      </c>
      <c r="O559" s="141" t="s">
        <v>15</v>
      </c>
      <c r="P559" s="117"/>
      <c r="Q559" s="407">
        <v>46038</v>
      </c>
      <c r="R559" s="40" t="s">
        <v>445</v>
      </c>
      <c r="S559" s="208"/>
      <c r="T559" s="357"/>
      <c r="U559" s="84"/>
      <c r="V559" s="84"/>
      <c r="W559" s="84"/>
      <c r="X559" s="84"/>
      <c r="Y559" s="84"/>
      <c r="Z559" s="84"/>
      <c r="AA559" s="81"/>
      <c r="AB559" s="81"/>
      <c r="AC559" s="81"/>
      <c r="AD559" s="81"/>
      <c r="AE559" s="81"/>
      <c r="AF559" s="81"/>
      <c r="AG559" s="81"/>
    </row>
    <row r="560" spans="1:33" ht="15.75" customHeight="1" x14ac:dyDescent="0.3">
      <c r="A560" s="104"/>
      <c r="B560" s="104"/>
      <c r="C560" s="130">
        <f t="shared" ca="1" si="8"/>
        <v>541</v>
      </c>
      <c r="D560" s="636"/>
      <c r="E560" s="636"/>
      <c r="F560" s="567" t="s">
        <v>459</v>
      </c>
      <c r="G560" s="219" t="s">
        <v>448</v>
      </c>
      <c r="H560" s="243"/>
      <c r="I560" s="172" t="s">
        <v>2953</v>
      </c>
      <c r="J560" s="172" t="s">
        <v>365</v>
      </c>
      <c r="K560" s="245" t="s">
        <v>2590</v>
      </c>
      <c r="L560" s="141" t="s">
        <v>15</v>
      </c>
      <c r="M560" s="193">
        <v>46042</v>
      </c>
      <c r="N560" s="194" t="s">
        <v>4</v>
      </c>
      <c r="O560" s="141" t="s">
        <v>158</v>
      </c>
      <c r="P560" s="117" t="s">
        <v>211</v>
      </c>
      <c r="Q560" s="407">
        <v>46038</v>
      </c>
      <c r="R560" s="40" t="s">
        <v>445</v>
      </c>
      <c r="S560" s="208" t="s">
        <v>2954</v>
      </c>
      <c r="T560" s="357"/>
      <c r="U560" s="84"/>
      <c r="V560" s="84"/>
      <c r="W560" s="84"/>
      <c r="X560" s="84"/>
      <c r="Y560" s="84"/>
      <c r="Z560" s="84"/>
      <c r="AA560" s="81"/>
      <c r="AB560" s="81"/>
      <c r="AC560" s="81"/>
      <c r="AD560" s="81"/>
      <c r="AE560" s="81"/>
      <c r="AF560" s="81"/>
      <c r="AG560" s="81"/>
    </row>
    <row r="561" spans="1:33" ht="15.75" customHeight="1" x14ac:dyDescent="0.3">
      <c r="A561" s="104"/>
      <c r="B561" s="104"/>
      <c r="C561" s="130">
        <f t="shared" ca="1" si="8"/>
        <v>542</v>
      </c>
      <c r="D561" s="636"/>
      <c r="E561" s="636"/>
      <c r="F561" s="567" t="s">
        <v>459</v>
      </c>
      <c r="G561" s="219" t="s">
        <v>448</v>
      </c>
      <c r="H561" s="243"/>
      <c r="I561" s="172" t="s">
        <v>2955</v>
      </c>
      <c r="J561" s="172" t="s">
        <v>365</v>
      </c>
      <c r="K561" s="245" t="s">
        <v>2945</v>
      </c>
      <c r="L561" s="141" t="s">
        <v>15</v>
      </c>
      <c r="M561" s="193">
        <v>46042</v>
      </c>
      <c r="N561" s="194" t="s">
        <v>4</v>
      </c>
      <c r="O561" s="141" t="s">
        <v>15</v>
      </c>
      <c r="P561" s="117"/>
      <c r="Q561" s="407">
        <v>46038</v>
      </c>
      <c r="R561" s="40" t="s">
        <v>445</v>
      </c>
      <c r="S561" s="208"/>
      <c r="T561" s="357"/>
      <c r="U561" s="84"/>
      <c r="V561" s="84"/>
      <c r="W561" s="84"/>
      <c r="X561" s="84"/>
      <c r="Y561" s="84"/>
      <c r="Z561" s="84"/>
      <c r="AA561" s="81"/>
      <c r="AB561" s="81"/>
      <c r="AC561" s="81"/>
      <c r="AD561" s="81"/>
      <c r="AE561" s="81"/>
      <c r="AF561" s="81"/>
      <c r="AG561" s="81"/>
    </row>
    <row r="562" spans="1:33" ht="15.75" customHeight="1" x14ac:dyDescent="0.3">
      <c r="A562" s="104"/>
      <c r="B562" s="104"/>
      <c r="C562" s="130">
        <f t="shared" ca="1" si="8"/>
        <v>543</v>
      </c>
      <c r="D562" s="636"/>
      <c r="E562" s="636"/>
      <c r="F562" s="567" t="s">
        <v>459</v>
      </c>
      <c r="G562" s="219" t="s">
        <v>448</v>
      </c>
      <c r="H562" s="243"/>
      <c r="I562" s="172" t="s">
        <v>2956</v>
      </c>
      <c r="J562" s="172" t="s">
        <v>365</v>
      </c>
      <c r="K562" s="245" t="s">
        <v>2947</v>
      </c>
      <c r="L562" s="141" t="s">
        <v>15</v>
      </c>
      <c r="M562" s="193">
        <v>46042</v>
      </c>
      <c r="N562" s="194" t="s">
        <v>4</v>
      </c>
      <c r="O562" s="141" t="s">
        <v>158</v>
      </c>
      <c r="P562" s="117" t="s">
        <v>211</v>
      </c>
      <c r="Q562" s="407">
        <v>46038</v>
      </c>
      <c r="R562" s="40" t="s">
        <v>445</v>
      </c>
      <c r="S562" s="208" t="s">
        <v>2957</v>
      </c>
      <c r="T562" s="357"/>
      <c r="U562" s="84"/>
      <c r="V562" s="84"/>
      <c r="W562" s="84"/>
      <c r="X562" s="84"/>
      <c r="Y562" s="84"/>
      <c r="Z562" s="84"/>
      <c r="AA562" s="81"/>
      <c r="AB562" s="81"/>
      <c r="AC562" s="81"/>
      <c r="AD562" s="81"/>
      <c r="AE562" s="81"/>
      <c r="AF562" s="81"/>
      <c r="AG562" s="81"/>
    </row>
    <row r="563" spans="1:33" ht="15.75" customHeight="1" x14ac:dyDescent="0.3">
      <c r="A563" s="104"/>
      <c r="B563" s="104"/>
      <c r="C563" s="130">
        <f t="shared" ca="1" si="8"/>
        <v>544</v>
      </c>
      <c r="D563" s="636"/>
      <c r="E563" s="636"/>
      <c r="F563" s="567" t="s">
        <v>459</v>
      </c>
      <c r="G563" s="219" t="s">
        <v>448</v>
      </c>
      <c r="H563" s="243"/>
      <c r="I563" s="172" t="s">
        <v>2958</v>
      </c>
      <c r="J563" s="172" t="s">
        <v>365</v>
      </c>
      <c r="K563" s="245" t="s">
        <v>2950</v>
      </c>
      <c r="L563" s="141" t="s">
        <v>15</v>
      </c>
      <c r="M563" s="193">
        <v>46042</v>
      </c>
      <c r="N563" s="194" t="s">
        <v>4</v>
      </c>
      <c r="O563" s="141" t="s">
        <v>15</v>
      </c>
      <c r="P563" s="117"/>
      <c r="Q563" s="407">
        <v>46038</v>
      </c>
      <c r="R563" s="40" t="s">
        <v>445</v>
      </c>
      <c r="S563" s="208"/>
      <c r="T563" s="357"/>
      <c r="U563" s="84"/>
      <c r="V563" s="84"/>
      <c r="W563" s="84"/>
      <c r="X563" s="84"/>
      <c r="Y563" s="84"/>
      <c r="Z563" s="84"/>
      <c r="AA563" s="81"/>
      <c r="AB563" s="81"/>
      <c r="AC563" s="81"/>
      <c r="AD563" s="81"/>
      <c r="AE563" s="81"/>
      <c r="AF563" s="81"/>
      <c r="AG563" s="81"/>
    </row>
    <row r="564" spans="1:33" ht="15.75" customHeight="1" x14ac:dyDescent="0.3">
      <c r="A564" s="104"/>
      <c r="B564" s="104"/>
      <c r="C564" s="130">
        <f t="shared" ca="1" si="8"/>
        <v>545</v>
      </c>
      <c r="D564" s="635"/>
      <c r="E564" s="635"/>
      <c r="F564" s="567" t="s">
        <v>459</v>
      </c>
      <c r="G564" s="219" t="s">
        <v>448</v>
      </c>
      <c r="H564" s="243"/>
      <c r="I564" s="172" t="s">
        <v>2959</v>
      </c>
      <c r="J564" s="172" t="s">
        <v>365</v>
      </c>
      <c r="K564" s="245" t="s">
        <v>2952</v>
      </c>
      <c r="L564" s="141" t="s">
        <v>15</v>
      </c>
      <c r="M564" s="193">
        <v>46042</v>
      </c>
      <c r="N564" s="194" t="s">
        <v>4</v>
      </c>
      <c r="O564" s="141" t="s">
        <v>15</v>
      </c>
      <c r="P564" s="117"/>
      <c r="Q564" s="407">
        <v>46038</v>
      </c>
      <c r="R564" s="40" t="s">
        <v>445</v>
      </c>
      <c r="S564" s="208"/>
      <c r="T564" s="357"/>
      <c r="U564" s="84"/>
      <c r="V564" s="84"/>
      <c r="W564" s="84"/>
      <c r="X564" s="84"/>
      <c r="Y564" s="84"/>
      <c r="Z564" s="84"/>
      <c r="AA564" s="81"/>
      <c r="AB564" s="81"/>
      <c r="AC564" s="81"/>
      <c r="AD564" s="81"/>
      <c r="AE564" s="81"/>
      <c r="AF564" s="81"/>
      <c r="AG564" s="81"/>
    </row>
    <row r="565" spans="1:33" ht="15.75" customHeight="1" x14ac:dyDescent="0.3">
      <c r="A565" s="104"/>
      <c r="B565" s="104"/>
      <c r="C565" s="130">
        <f t="shared" ca="1" si="8"/>
        <v>546</v>
      </c>
      <c r="D565" s="658" t="s">
        <v>351</v>
      </c>
      <c r="E565" s="251" t="s">
        <v>257</v>
      </c>
      <c r="F565" s="567" t="s">
        <v>457</v>
      </c>
      <c r="G565" s="219" t="s">
        <v>448</v>
      </c>
      <c r="H565" s="243"/>
      <c r="I565" s="172"/>
      <c r="J565" s="172" t="s">
        <v>261</v>
      </c>
      <c r="K565" s="245" t="s">
        <v>2960</v>
      </c>
      <c r="L565" s="141" t="s">
        <v>15</v>
      </c>
      <c r="M565" s="193">
        <v>46042</v>
      </c>
      <c r="N565" s="194" t="s">
        <v>4</v>
      </c>
      <c r="O565" s="141" t="s">
        <v>15</v>
      </c>
      <c r="P565" s="117"/>
      <c r="Q565" s="407">
        <v>46038</v>
      </c>
      <c r="R565" s="40" t="s">
        <v>445</v>
      </c>
      <c r="S565" s="208"/>
      <c r="T565" s="357"/>
      <c r="U565" s="84"/>
      <c r="V565" s="84"/>
      <c r="W565" s="84"/>
      <c r="X565" s="84"/>
      <c r="Y565" s="84"/>
      <c r="Z565" s="84"/>
      <c r="AA565" s="81"/>
      <c r="AB565" s="81"/>
      <c r="AC565" s="81"/>
      <c r="AD565" s="81"/>
      <c r="AE565" s="81"/>
      <c r="AF565" s="81"/>
      <c r="AG565" s="81"/>
    </row>
    <row r="566" spans="1:33" ht="15.75" customHeight="1" x14ac:dyDescent="0.3">
      <c r="A566" s="104"/>
      <c r="B566" s="104"/>
      <c r="C566" s="130">
        <f t="shared" ca="1" si="8"/>
        <v>547</v>
      </c>
      <c r="D566" s="636"/>
      <c r="E566" s="665" t="s">
        <v>237</v>
      </c>
      <c r="F566" s="567" t="s">
        <v>459</v>
      </c>
      <c r="G566" s="219" t="s">
        <v>448</v>
      </c>
      <c r="H566" s="243"/>
      <c r="I566" s="213" t="s">
        <v>364</v>
      </c>
      <c r="J566" s="172" t="s">
        <v>365</v>
      </c>
      <c r="K566" s="245" t="s">
        <v>2961</v>
      </c>
      <c r="L566" s="141" t="s">
        <v>15</v>
      </c>
      <c r="M566" s="193">
        <v>46042</v>
      </c>
      <c r="N566" s="194" t="s">
        <v>4</v>
      </c>
      <c r="O566" s="141" t="s">
        <v>15</v>
      </c>
      <c r="P566" s="117"/>
      <c r="Q566" s="407">
        <v>46038</v>
      </c>
      <c r="R566" s="40" t="s">
        <v>445</v>
      </c>
      <c r="S566" s="208"/>
      <c r="T566" s="357"/>
      <c r="U566" s="84"/>
      <c r="V566" s="84"/>
      <c r="W566" s="84"/>
      <c r="X566" s="84"/>
      <c r="Y566" s="84"/>
      <c r="Z566" s="84"/>
      <c r="AA566" s="81"/>
      <c r="AB566" s="81"/>
      <c r="AC566" s="81"/>
      <c r="AD566" s="81"/>
      <c r="AE566" s="81"/>
      <c r="AF566" s="81"/>
      <c r="AG566" s="81"/>
    </row>
    <row r="567" spans="1:33" ht="15.75" customHeight="1" x14ac:dyDescent="0.3">
      <c r="A567" s="104"/>
      <c r="B567" s="104"/>
      <c r="C567" s="130">
        <f t="shared" ca="1" si="8"/>
        <v>548</v>
      </c>
      <c r="D567" s="636"/>
      <c r="E567" s="636"/>
      <c r="F567" s="567" t="s">
        <v>459</v>
      </c>
      <c r="G567" s="219" t="s">
        <v>448</v>
      </c>
      <c r="H567" s="243"/>
      <c r="I567" s="172" t="s">
        <v>2962</v>
      </c>
      <c r="J567" s="172" t="s">
        <v>365</v>
      </c>
      <c r="K567" s="245" t="s">
        <v>2590</v>
      </c>
      <c r="L567" s="141" t="s">
        <v>15</v>
      </c>
      <c r="M567" s="193">
        <v>46042</v>
      </c>
      <c r="N567" s="194" t="s">
        <v>4</v>
      </c>
      <c r="O567" s="141" t="s">
        <v>158</v>
      </c>
      <c r="P567" s="117" t="s">
        <v>211</v>
      </c>
      <c r="Q567" s="407">
        <v>46038</v>
      </c>
      <c r="R567" s="40" t="s">
        <v>445</v>
      </c>
      <c r="S567" s="208" t="s">
        <v>2963</v>
      </c>
      <c r="T567" s="357"/>
      <c r="U567" s="84"/>
      <c r="V567" s="84"/>
      <c r="W567" s="84"/>
      <c r="X567" s="84"/>
      <c r="Y567" s="84"/>
      <c r="Z567" s="84"/>
      <c r="AA567" s="81"/>
      <c r="AB567" s="81"/>
      <c r="AC567" s="81"/>
      <c r="AD567" s="81"/>
      <c r="AE567" s="81"/>
      <c r="AF567" s="81"/>
      <c r="AG567" s="81"/>
    </row>
    <row r="568" spans="1:33" ht="15.75" customHeight="1" x14ac:dyDescent="0.3">
      <c r="A568" s="104"/>
      <c r="B568" s="104"/>
      <c r="C568" s="130">
        <f t="shared" ca="1" si="8"/>
        <v>549</v>
      </c>
      <c r="D568" s="636"/>
      <c r="E568" s="636"/>
      <c r="F568" s="567" t="s">
        <v>459</v>
      </c>
      <c r="G568" s="219" t="s">
        <v>448</v>
      </c>
      <c r="H568" s="243"/>
      <c r="I568" s="172" t="s">
        <v>2964</v>
      </c>
      <c r="J568" s="172" t="s">
        <v>365</v>
      </c>
      <c r="K568" s="245" t="s">
        <v>2965</v>
      </c>
      <c r="L568" s="141" t="s">
        <v>15</v>
      </c>
      <c r="M568" s="193">
        <v>46042</v>
      </c>
      <c r="N568" s="194" t="s">
        <v>4</v>
      </c>
      <c r="O568" s="141" t="s">
        <v>15</v>
      </c>
      <c r="P568" s="117"/>
      <c r="Q568" s="407">
        <v>46038</v>
      </c>
      <c r="R568" s="40" t="s">
        <v>445</v>
      </c>
      <c r="S568" s="208"/>
      <c r="T568" s="357"/>
      <c r="U568" s="84"/>
      <c r="V568" s="84"/>
      <c r="W568" s="84"/>
      <c r="X568" s="84"/>
      <c r="Y568" s="84"/>
      <c r="Z568" s="84"/>
      <c r="AA568" s="81"/>
      <c r="AB568" s="81"/>
      <c r="AC568" s="81"/>
      <c r="AD568" s="81"/>
      <c r="AE568" s="81"/>
      <c r="AF568" s="81"/>
      <c r="AG568" s="81"/>
    </row>
    <row r="569" spans="1:33" ht="15.75" customHeight="1" x14ac:dyDescent="0.3">
      <c r="A569" s="104"/>
      <c r="B569" s="104"/>
      <c r="C569" s="130">
        <f t="shared" ca="1" si="8"/>
        <v>550</v>
      </c>
      <c r="D569" s="636"/>
      <c r="E569" s="636"/>
      <c r="F569" s="567" t="s">
        <v>459</v>
      </c>
      <c r="G569" s="219" t="s">
        <v>448</v>
      </c>
      <c r="H569" s="243"/>
      <c r="I569" s="172" t="s">
        <v>2966</v>
      </c>
      <c r="J569" s="172" t="s">
        <v>365</v>
      </c>
      <c r="K569" s="245" t="s">
        <v>2967</v>
      </c>
      <c r="L569" s="141" t="s">
        <v>15</v>
      </c>
      <c r="M569" s="193">
        <v>46042</v>
      </c>
      <c r="N569" s="194" t="s">
        <v>4</v>
      </c>
      <c r="O569" s="141" t="s">
        <v>158</v>
      </c>
      <c r="P569" s="117" t="s">
        <v>211</v>
      </c>
      <c r="Q569" s="407">
        <v>46038</v>
      </c>
      <c r="R569" s="40" t="s">
        <v>445</v>
      </c>
      <c r="S569" s="208" t="s">
        <v>2968</v>
      </c>
      <c r="T569" s="357"/>
      <c r="U569" s="84"/>
      <c r="V569" s="84"/>
      <c r="W569" s="84"/>
      <c r="X569" s="84"/>
      <c r="Y569" s="84"/>
      <c r="Z569" s="84"/>
      <c r="AA569" s="81"/>
      <c r="AB569" s="81"/>
      <c r="AC569" s="81"/>
      <c r="AD569" s="81"/>
      <c r="AE569" s="81"/>
      <c r="AF569" s="81"/>
      <c r="AG569" s="81"/>
    </row>
    <row r="570" spans="1:33" ht="15.75" customHeight="1" x14ac:dyDescent="0.3">
      <c r="A570" s="104"/>
      <c r="B570" s="104"/>
      <c r="C570" s="130">
        <f t="shared" ca="1" si="8"/>
        <v>551</v>
      </c>
      <c r="D570" s="636"/>
      <c r="E570" s="636"/>
      <c r="F570" s="567" t="s">
        <v>459</v>
      </c>
      <c r="G570" s="219" t="s">
        <v>448</v>
      </c>
      <c r="H570" s="243"/>
      <c r="I570" s="172" t="s">
        <v>2969</v>
      </c>
      <c r="J570" s="172" t="s">
        <v>365</v>
      </c>
      <c r="K570" s="245" t="s">
        <v>2970</v>
      </c>
      <c r="L570" s="141" t="s">
        <v>15</v>
      </c>
      <c r="M570" s="193">
        <v>46042</v>
      </c>
      <c r="N570" s="194" t="s">
        <v>4</v>
      </c>
      <c r="O570" s="141" t="s">
        <v>15</v>
      </c>
      <c r="P570" s="117"/>
      <c r="Q570" s="407">
        <v>46038</v>
      </c>
      <c r="R570" s="40" t="s">
        <v>445</v>
      </c>
      <c r="S570" s="208"/>
      <c r="T570" s="357"/>
      <c r="U570" s="84"/>
      <c r="V570" s="84"/>
      <c r="W570" s="84"/>
      <c r="X570" s="84"/>
      <c r="Y570" s="84"/>
      <c r="Z570" s="84"/>
      <c r="AA570" s="81"/>
      <c r="AB570" s="81"/>
      <c r="AC570" s="81"/>
      <c r="AD570" s="81"/>
      <c r="AE570" s="81"/>
      <c r="AF570" s="81"/>
      <c r="AG570" s="81"/>
    </row>
    <row r="571" spans="1:33" ht="15.75" customHeight="1" x14ac:dyDescent="0.3">
      <c r="A571" s="104"/>
      <c r="B571" s="104"/>
      <c r="C571" s="130">
        <f t="shared" ca="1" si="8"/>
        <v>552</v>
      </c>
      <c r="D571" s="636"/>
      <c r="E571" s="636"/>
      <c r="F571" s="567" t="s">
        <v>459</v>
      </c>
      <c r="G571" s="219" t="s">
        <v>448</v>
      </c>
      <c r="H571" s="243"/>
      <c r="I571" s="172" t="s">
        <v>2971</v>
      </c>
      <c r="J571" s="172" t="s">
        <v>365</v>
      </c>
      <c r="K571" s="245" t="s">
        <v>2972</v>
      </c>
      <c r="L571" s="141" t="s">
        <v>15</v>
      </c>
      <c r="M571" s="193">
        <v>46042</v>
      </c>
      <c r="N571" s="194" t="s">
        <v>4</v>
      </c>
      <c r="O571" s="141" t="s">
        <v>15</v>
      </c>
      <c r="P571" s="117"/>
      <c r="Q571" s="407">
        <v>46038</v>
      </c>
      <c r="R571" s="40" t="s">
        <v>445</v>
      </c>
      <c r="S571" s="208"/>
      <c r="T571" s="357"/>
      <c r="U571" s="84"/>
      <c r="V571" s="84"/>
      <c r="W571" s="84"/>
      <c r="X571" s="84"/>
      <c r="Y571" s="84"/>
      <c r="Z571" s="84"/>
      <c r="AA571" s="81"/>
      <c r="AB571" s="81"/>
      <c r="AC571" s="81"/>
      <c r="AD571" s="81"/>
      <c r="AE571" s="81"/>
      <c r="AF571" s="81"/>
      <c r="AG571" s="81"/>
    </row>
    <row r="572" spans="1:33" ht="15.75" customHeight="1" x14ac:dyDescent="0.3">
      <c r="A572" s="104"/>
      <c r="B572" s="104"/>
      <c r="C572" s="130">
        <f t="shared" ca="1" si="8"/>
        <v>553</v>
      </c>
      <c r="D572" s="636"/>
      <c r="E572" s="636"/>
      <c r="F572" s="567" t="s">
        <v>459</v>
      </c>
      <c r="G572" s="219" t="s">
        <v>455</v>
      </c>
      <c r="H572" s="243"/>
      <c r="I572" s="210"/>
      <c r="J572" s="172" t="s">
        <v>310</v>
      </c>
      <c r="K572" s="226" t="s">
        <v>371</v>
      </c>
      <c r="L572" s="141" t="s">
        <v>15</v>
      </c>
      <c r="M572" s="193">
        <v>46042</v>
      </c>
      <c r="N572" s="194" t="s">
        <v>4</v>
      </c>
      <c r="O572" s="141" t="s">
        <v>15</v>
      </c>
      <c r="P572" s="117"/>
      <c r="Q572" s="407">
        <v>46038</v>
      </c>
      <c r="R572" s="40" t="s">
        <v>445</v>
      </c>
      <c r="S572" s="208"/>
      <c r="T572" s="357"/>
      <c r="U572" s="84"/>
      <c r="V572" s="84"/>
      <c r="W572" s="84"/>
      <c r="X572" s="84"/>
      <c r="Y572" s="84"/>
      <c r="Z572" s="84"/>
      <c r="AA572" s="81"/>
      <c r="AB572" s="81"/>
      <c r="AC572" s="81"/>
      <c r="AD572" s="81"/>
      <c r="AE572" s="81"/>
      <c r="AF572" s="81"/>
      <c r="AG572" s="81"/>
    </row>
    <row r="573" spans="1:33" ht="15.75" customHeight="1" x14ac:dyDescent="0.3">
      <c r="A573" s="104"/>
      <c r="B573" s="104"/>
      <c r="C573" s="130">
        <f t="shared" ca="1" si="8"/>
        <v>554</v>
      </c>
      <c r="D573" s="636"/>
      <c r="E573" s="636"/>
      <c r="F573" s="567" t="s">
        <v>459</v>
      </c>
      <c r="G573" s="219" t="s">
        <v>448</v>
      </c>
      <c r="H573" s="243"/>
      <c r="I573" s="657" t="s">
        <v>372</v>
      </c>
      <c r="J573" s="172" t="s">
        <v>311</v>
      </c>
      <c r="K573" s="245" t="s">
        <v>373</v>
      </c>
      <c r="L573" s="141" t="s">
        <v>15</v>
      </c>
      <c r="M573" s="193">
        <v>46042</v>
      </c>
      <c r="N573" s="194" t="s">
        <v>4</v>
      </c>
      <c r="O573" s="141" t="s">
        <v>15</v>
      </c>
      <c r="P573" s="117"/>
      <c r="Q573" s="407">
        <v>46038</v>
      </c>
      <c r="R573" s="40" t="s">
        <v>445</v>
      </c>
      <c r="S573" s="208"/>
      <c r="T573" s="357"/>
      <c r="U573" s="84"/>
      <c r="V573" s="84"/>
      <c r="W573" s="84"/>
      <c r="X573" s="84"/>
      <c r="Y573" s="84"/>
      <c r="Z573" s="84"/>
      <c r="AA573" s="81"/>
      <c r="AB573" s="81"/>
      <c r="AC573" s="81"/>
      <c r="AD573" s="81"/>
      <c r="AE573" s="81"/>
      <c r="AF573" s="81"/>
      <c r="AG573" s="81"/>
    </row>
    <row r="574" spans="1:33" ht="15.75" customHeight="1" x14ac:dyDescent="0.3">
      <c r="A574" s="104"/>
      <c r="B574" s="104"/>
      <c r="C574" s="130">
        <f t="shared" ca="1" si="8"/>
        <v>555</v>
      </c>
      <c r="D574" s="636"/>
      <c r="E574" s="636"/>
      <c r="F574" s="567" t="s">
        <v>459</v>
      </c>
      <c r="G574" s="219" t="s">
        <v>448</v>
      </c>
      <c r="H574" s="243"/>
      <c r="I574" s="606"/>
      <c r="J574" s="172" t="s">
        <v>313</v>
      </c>
      <c r="K574" s="245" t="s">
        <v>2599</v>
      </c>
      <c r="L574" s="141" t="s">
        <v>15</v>
      </c>
      <c r="M574" s="193">
        <v>46042</v>
      </c>
      <c r="N574" s="194" t="s">
        <v>4</v>
      </c>
      <c r="O574" s="141" t="s">
        <v>15</v>
      </c>
      <c r="P574" s="117"/>
      <c r="Q574" s="407">
        <v>46038</v>
      </c>
      <c r="R574" s="40" t="s">
        <v>445</v>
      </c>
      <c r="S574" s="208"/>
      <c r="T574" s="357"/>
      <c r="U574" s="84"/>
      <c r="V574" s="84"/>
      <c r="W574" s="84"/>
      <c r="X574" s="84"/>
      <c r="Y574" s="84"/>
      <c r="Z574" s="84"/>
      <c r="AA574" s="81"/>
      <c r="AB574" s="81"/>
      <c r="AC574" s="81"/>
      <c r="AD574" s="81"/>
      <c r="AE574" s="81"/>
      <c r="AF574" s="81"/>
      <c r="AG574" s="81"/>
    </row>
    <row r="575" spans="1:33" ht="15.75" customHeight="1" x14ac:dyDescent="0.3">
      <c r="A575" s="104"/>
      <c r="B575" s="104"/>
      <c r="C575" s="130">
        <f t="shared" ca="1" si="8"/>
        <v>556</v>
      </c>
      <c r="D575" s="636"/>
      <c r="E575" s="636"/>
      <c r="F575" s="567" t="s">
        <v>459</v>
      </c>
      <c r="G575" s="219" t="s">
        <v>455</v>
      </c>
      <c r="H575" s="243"/>
      <c r="I575" s="608"/>
      <c r="J575" s="172" t="s">
        <v>375</v>
      </c>
      <c r="K575" s="226" t="s">
        <v>371</v>
      </c>
      <c r="L575" s="141" t="s">
        <v>15</v>
      </c>
      <c r="M575" s="193">
        <v>46042</v>
      </c>
      <c r="N575" s="194" t="s">
        <v>4</v>
      </c>
      <c r="O575" s="141" t="s">
        <v>15</v>
      </c>
      <c r="P575" s="117"/>
      <c r="Q575" s="407">
        <v>46038</v>
      </c>
      <c r="R575" s="40" t="s">
        <v>445</v>
      </c>
      <c r="S575" s="208"/>
      <c r="T575" s="357"/>
      <c r="U575" s="84"/>
      <c r="V575" s="84"/>
      <c r="W575" s="84"/>
      <c r="X575" s="84"/>
      <c r="Y575" s="84"/>
      <c r="Z575" s="84"/>
      <c r="AA575" s="81"/>
      <c r="AB575" s="81"/>
      <c r="AC575" s="81"/>
      <c r="AD575" s="81"/>
      <c r="AE575" s="81"/>
      <c r="AF575" s="81"/>
      <c r="AG575" s="81"/>
    </row>
    <row r="576" spans="1:33" ht="15.75" customHeight="1" x14ac:dyDescent="0.3">
      <c r="A576" s="104"/>
      <c r="B576" s="104"/>
      <c r="C576" s="130">
        <f t="shared" ca="1" si="8"/>
        <v>557</v>
      </c>
      <c r="D576" s="636"/>
      <c r="E576" s="636"/>
      <c r="F576" s="567" t="s">
        <v>459</v>
      </c>
      <c r="G576" s="219" t="s">
        <v>448</v>
      </c>
      <c r="H576" s="243"/>
      <c r="I576" s="172" t="s">
        <v>2973</v>
      </c>
      <c r="J576" s="172" t="s">
        <v>365</v>
      </c>
      <c r="K576" s="245" t="s">
        <v>2590</v>
      </c>
      <c r="L576" s="141" t="s">
        <v>15</v>
      </c>
      <c r="M576" s="193">
        <v>46042</v>
      </c>
      <c r="N576" s="194" t="s">
        <v>4</v>
      </c>
      <c r="O576" s="141" t="s">
        <v>158</v>
      </c>
      <c r="P576" s="117" t="s">
        <v>211</v>
      </c>
      <c r="Q576" s="407">
        <v>46038</v>
      </c>
      <c r="R576" s="40" t="s">
        <v>445</v>
      </c>
      <c r="S576" s="208" t="s">
        <v>2974</v>
      </c>
      <c r="T576" s="357"/>
      <c r="U576" s="84"/>
      <c r="V576" s="84"/>
      <c r="W576" s="84"/>
      <c r="X576" s="84"/>
      <c r="Y576" s="84"/>
      <c r="Z576" s="84"/>
      <c r="AA576" s="81"/>
      <c r="AB576" s="81"/>
      <c r="AC576" s="81"/>
      <c r="AD576" s="81"/>
      <c r="AE576" s="81"/>
      <c r="AF576" s="81"/>
      <c r="AG576" s="81"/>
    </row>
    <row r="577" spans="1:33" ht="15.75" customHeight="1" x14ac:dyDescent="0.3">
      <c r="A577" s="104"/>
      <c r="B577" s="104"/>
      <c r="C577" s="130">
        <f t="shared" ca="1" si="8"/>
        <v>558</v>
      </c>
      <c r="D577" s="636"/>
      <c r="E577" s="636"/>
      <c r="F577" s="567" t="s">
        <v>459</v>
      </c>
      <c r="G577" s="219" t="s">
        <v>448</v>
      </c>
      <c r="H577" s="243"/>
      <c r="I577" s="172" t="s">
        <v>2975</v>
      </c>
      <c r="J577" s="172" t="s">
        <v>365</v>
      </c>
      <c r="K577" s="245" t="s">
        <v>2965</v>
      </c>
      <c r="L577" s="141" t="s">
        <v>15</v>
      </c>
      <c r="M577" s="193">
        <v>46042</v>
      </c>
      <c r="N577" s="194" t="s">
        <v>4</v>
      </c>
      <c r="O577" s="141" t="s">
        <v>15</v>
      </c>
      <c r="P577" s="117"/>
      <c r="Q577" s="407">
        <v>46038</v>
      </c>
      <c r="R577" s="40" t="s">
        <v>445</v>
      </c>
      <c r="S577" s="208"/>
      <c r="T577" s="357"/>
      <c r="U577" s="84"/>
      <c r="V577" s="84"/>
      <c r="W577" s="84"/>
      <c r="X577" s="84"/>
      <c r="Y577" s="84"/>
      <c r="Z577" s="84"/>
      <c r="AA577" s="81"/>
      <c r="AB577" s="81"/>
      <c r="AC577" s="81"/>
      <c r="AD577" s="81"/>
      <c r="AE577" s="81"/>
      <c r="AF577" s="81"/>
      <c r="AG577" s="81"/>
    </row>
    <row r="578" spans="1:33" ht="15.75" customHeight="1" x14ac:dyDescent="0.3">
      <c r="A578" s="104"/>
      <c r="B578" s="104"/>
      <c r="C578" s="130">
        <f t="shared" ca="1" si="8"/>
        <v>559</v>
      </c>
      <c r="D578" s="636"/>
      <c r="E578" s="636"/>
      <c r="F578" s="567" t="s">
        <v>459</v>
      </c>
      <c r="G578" s="219" t="s">
        <v>448</v>
      </c>
      <c r="H578" s="243"/>
      <c r="I578" s="172" t="s">
        <v>2976</v>
      </c>
      <c r="J578" s="172" t="s">
        <v>365</v>
      </c>
      <c r="K578" s="245" t="s">
        <v>2967</v>
      </c>
      <c r="L578" s="141" t="s">
        <v>15</v>
      </c>
      <c r="M578" s="193">
        <v>46042</v>
      </c>
      <c r="N578" s="194" t="s">
        <v>4</v>
      </c>
      <c r="O578" s="141" t="s">
        <v>158</v>
      </c>
      <c r="P578" s="117" t="s">
        <v>211</v>
      </c>
      <c r="Q578" s="407">
        <v>46038</v>
      </c>
      <c r="R578" s="40" t="s">
        <v>445</v>
      </c>
      <c r="S578" s="208" t="s">
        <v>2977</v>
      </c>
      <c r="T578" s="357"/>
      <c r="U578" s="84"/>
      <c r="V578" s="84"/>
      <c r="W578" s="84"/>
      <c r="X578" s="84"/>
      <c r="Y578" s="84"/>
      <c r="Z578" s="84"/>
      <c r="AA578" s="81"/>
      <c r="AB578" s="81"/>
      <c r="AC578" s="81"/>
      <c r="AD578" s="81"/>
      <c r="AE578" s="81"/>
      <c r="AF578" s="81"/>
      <c r="AG578" s="81"/>
    </row>
    <row r="579" spans="1:33" ht="15.75" customHeight="1" x14ac:dyDescent="0.3">
      <c r="A579" s="104"/>
      <c r="B579" s="104"/>
      <c r="C579" s="130">
        <f t="shared" ca="1" si="8"/>
        <v>560</v>
      </c>
      <c r="D579" s="636"/>
      <c r="E579" s="636"/>
      <c r="F579" s="567" t="s">
        <v>459</v>
      </c>
      <c r="G579" s="219" t="s">
        <v>448</v>
      </c>
      <c r="H579" s="243"/>
      <c r="I579" s="172" t="s">
        <v>2978</v>
      </c>
      <c r="J579" s="172" t="s">
        <v>365</v>
      </c>
      <c r="K579" s="245" t="s">
        <v>2970</v>
      </c>
      <c r="L579" s="141" t="s">
        <v>15</v>
      </c>
      <c r="M579" s="193">
        <v>46042</v>
      </c>
      <c r="N579" s="194" t="s">
        <v>4</v>
      </c>
      <c r="O579" s="141" t="s">
        <v>15</v>
      </c>
      <c r="P579" s="117"/>
      <c r="Q579" s="407">
        <v>46038</v>
      </c>
      <c r="R579" s="40" t="s">
        <v>445</v>
      </c>
      <c r="S579" s="208"/>
      <c r="T579" s="357"/>
      <c r="U579" s="84"/>
      <c r="V579" s="84"/>
      <c r="W579" s="84"/>
      <c r="X579" s="84"/>
      <c r="Y579" s="84"/>
      <c r="Z579" s="84"/>
      <c r="AA579" s="81"/>
      <c r="AB579" s="81"/>
      <c r="AC579" s="81"/>
      <c r="AD579" s="81"/>
      <c r="AE579" s="81"/>
      <c r="AF579" s="81"/>
      <c r="AG579" s="81"/>
    </row>
    <row r="580" spans="1:33" ht="15.75" customHeight="1" x14ac:dyDescent="0.3">
      <c r="A580" s="104"/>
      <c r="B580" s="104"/>
      <c r="C580" s="130">
        <f t="shared" ca="1" si="8"/>
        <v>561</v>
      </c>
      <c r="D580" s="635"/>
      <c r="E580" s="635"/>
      <c r="F580" s="567" t="s">
        <v>459</v>
      </c>
      <c r="G580" s="219" t="s">
        <v>448</v>
      </c>
      <c r="H580" s="243"/>
      <c r="I580" s="172" t="s">
        <v>2979</v>
      </c>
      <c r="J580" s="172" t="s">
        <v>365</v>
      </c>
      <c r="K580" s="245" t="s">
        <v>2972</v>
      </c>
      <c r="L580" s="141" t="s">
        <v>15</v>
      </c>
      <c r="M580" s="193">
        <v>46042</v>
      </c>
      <c r="N580" s="194" t="s">
        <v>4</v>
      </c>
      <c r="O580" s="141" t="s">
        <v>15</v>
      </c>
      <c r="P580" s="117"/>
      <c r="Q580" s="407">
        <v>46038</v>
      </c>
      <c r="R580" s="40" t="s">
        <v>445</v>
      </c>
      <c r="S580" s="208"/>
      <c r="T580" s="357"/>
      <c r="U580" s="84"/>
      <c r="V580" s="84"/>
      <c r="W580" s="84"/>
      <c r="X580" s="84"/>
      <c r="Y580" s="84"/>
      <c r="Z580" s="84"/>
      <c r="AA580" s="81"/>
      <c r="AB580" s="81"/>
      <c r="AC580" s="81"/>
      <c r="AD580" s="81"/>
      <c r="AE580" s="81"/>
      <c r="AF580" s="81"/>
      <c r="AG580" s="81"/>
    </row>
    <row r="581" spans="1:33" ht="15.75" customHeight="1" x14ac:dyDescent="0.3">
      <c r="A581" s="104"/>
      <c r="B581" s="104"/>
      <c r="C581" s="130">
        <f t="shared" ca="1" si="8"/>
        <v>562</v>
      </c>
      <c r="D581" s="658" t="s">
        <v>352</v>
      </c>
      <c r="E581" s="251" t="s">
        <v>257</v>
      </c>
      <c r="F581" s="567" t="s">
        <v>457</v>
      </c>
      <c r="G581" s="219" t="s">
        <v>448</v>
      </c>
      <c r="H581" s="243"/>
      <c r="I581" s="172"/>
      <c r="J581" s="172" t="s">
        <v>261</v>
      </c>
      <c r="K581" s="245" t="s">
        <v>2980</v>
      </c>
      <c r="L581" s="141" t="s">
        <v>15</v>
      </c>
      <c r="M581" s="193">
        <v>46042</v>
      </c>
      <c r="N581" s="194" t="s">
        <v>4</v>
      </c>
      <c r="O581" s="141" t="s">
        <v>15</v>
      </c>
      <c r="P581" s="117"/>
      <c r="Q581" s="407">
        <v>46038</v>
      </c>
      <c r="R581" s="40" t="s">
        <v>445</v>
      </c>
      <c r="S581" s="208"/>
      <c r="T581" s="357"/>
      <c r="U581" s="84"/>
      <c r="V581" s="84"/>
      <c r="W581" s="84"/>
      <c r="X581" s="84"/>
      <c r="Y581" s="84"/>
      <c r="Z581" s="84"/>
      <c r="AA581" s="81"/>
      <c r="AB581" s="81"/>
      <c r="AC581" s="81"/>
      <c r="AD581" s="81"/>
      <c r="AE581" s="81"/>
      <c r="AF581" s="81"/>
      <c r="AG581" s="81"/>
    </row>
    <row r="582" spans="1:33" ht="15.75" customHeight="1" x14ac:dyDescent="0.3">
      <c r="A582" s="104"/>
      <c r="B582" s="104"/>
      <c r="C582" s="130">
        <f t="shared" ca="1" si="8"/>
        <v>563</v>
      </c>
      <c r="D582" s="636"/>
      <c r="E582" s="665" t="s">
        <v>237</v>
      </c>
      <c r="F582" s="567" t="s">
        <v>459</v>
      </c>
      <c r="G582" s="219" t="s">
        <v>448</v>
      </c>
      <c r="H582" s="243"/>
      <c r="I582" s="213" t="s">
        <v>364</v>
      </c>
      <c r="J582" s="172" t="s">
        <v>365</v>
      </c>
      <c r="K582" s="245" t="s">
        <v>2981</v>
      </c>
      <c r="L582" s="141" t="s">
        <v>15</v>
      </c>
      <c r="M582" s="193">
        <v>46042</v>
      </c>
      <c r="N582" s="194" t="s">
        <v>4</v>
      </c>
      <c r="O582" s="141" t="s">
        <v>15</v>
      </c>
      <c r="P582" s="117"/>
      <c r="Q582" s="407">
        <v>46038</v>
      </c>
      <c r="R582" s="40" t="s">
        <v>445</v>
      </c>
      <c r="S582" s="208"/>
      <c r="T582" s="357"/>
      <c r="U582" s="84"/>
      <c r="V582" s="84"/>
      <c r="W582" s="84"/>
      <c r="X582" s="84"/>
      <c r="Y582" s="84"/>
      <c r="Z582" s="84"/>
      <c r="AA582" s="81"/>
      <c r="AB582" s="81"/>
      <c r="AC582" s="81"/>
      <c r="AD582" s="81"/>
      <c r="AE582" s="81"/>
      <c r="AF582" s="81"/>
      <c r="AG582" s="81"/>
    </row>
    <row r="583" spans="1:33" ht="15.75" customHeight="1" x14ac:dyDescent="0.3">
      <c r="A583" s="104"/>
      <c r="B583" s="104"/>
      <c r="C583" s="130">
        <f t="shared" ca="1" si="8"/>
        <v>564</v>
      </c>
      <c r="D583" s="636"/>
      <c r="E583" s="636"/>
      <c r="F583" s="567" t="s">
        <v>459</v>
      </c>
      <c r="G583" s="219" t="s">
        <v>448</v>
      </c>
      <c r="H583" s="243"/>
      <c r="I583" s="172" t="s">
        <v>2982</v>
      </c>
      <c r="J583" s="172" t="s">
        <v>365</v>
      </c>
      <c r="K583" s="245" t="s">
        <v>2590</v>
      </c>
      <c r="L583" s="141" t="s">
        <v>15</v>
      </c>
      <c r="M583" s="193">
        <v>46042</v>
      </c>
      <c r="N583" s="194" t="s">
        <v>4</v>
      </c>
      <c r="O583" s="141" t="s">
        <v>158</v>
      </c>
      <c r="P583" s="117" t="s">
        <v>211</v>
      </c>
      <c r="Q583" s="407">
        <v>46038</v>
      </c>
      <c r="R583" s="40" t="s">
        <v>445</v>
      </c>
      <c r="S583" s="208" t="s">
        <v>2983</v>
      </c>
      <c r="T583" s="357"/>
      <c r="U583" s="84"/>
      <c r="V583" s="84"/>
      <c r="W583" s="84"/>
      <c r="X583" s="84"/>
      <c r="Y583" s="84"/>
      <c r="Z583" s="84"/>
      <c r="AA583" s="81"/>
      <c r="AB583" s="81"/>
      <c r="AC583" s="81"/>
      <c r="AD583" s="81"/>
      <c r="AE583" s="81"/>
      <c r="AF583" s="81"/>
      <c r="AG583" s="81"/>
    </row>
    <row r="584" spans="1:33" ht="15.75" customHeight="1" x14ac:dyDescent="0.3">
      <c r="A584" s="104"/>
      <c r="B584" s="104"/>
      <c r="C584" s="130">
        <f t="shared" ca="1" si="8"/>
        <v>565</v>
      </c>
      <c r="D584" s="636"/>
      <c r="E584" s="636"/>
      <c r="F584" s="567" t="s">
        <v>459</v>
      </c>
      <c r="G584" s="219" t="s">
        <v>448</v>
      </c>
      <c r="H584" s="243"/>
      <c r="I584" s="172" t="s">
        <v>2984</v>
      </c>
      <c r="J584" s="172" t="s">
        <v>365</v>
      </c>
      <c r="K584" s="245" t="s">
        <v>2985</v>
      </c>
      <c r="L584" s="141" t="s">
        <v>15</v>
      </c>
      <c r="M584" s="193">
        <v>46042</v>
      </c>
      <c r="N584" s="194" t="s">
        <v>4</v>
      </c>
      <c r="O584" s="141" t="s">
        <v>15</v>
      </c>
      <c r="P584" s="117"/>
      <c r="Q584" s="407">
        <v>46038</v>
      </c>
      <c r="R584" s="40" t="s">
        <v>445</v>
      </c>
      <c r="S584" s="208"/>
      <c r="T584" s="357"/>
      <c r="U584" s="84"/>
      <c r="V584" s="84"/>
      <c r="W584" s="84"/>
      <c r="X584" s="84"/>
      <c r="Y584" s="84"/>
      <c r="Z584" s="84"/>
      <c r="AA584" s="81"/>
      <c r="AB584" s="81"/>
      <c r="AC584" s="81"/>
      <c r="AD584" s="81"/>
      <c r="AE584" s="81"/>
      <c r="AF584" s="81"/>
      <c r="AG584" s="81"/>
    </row>
    <row r="585" spans="1:33" ht="15.75" customHeight="1" x14ac:dyDescent="0.3">
      <c r="A585" s="104"/>
      <c r="B585" s="104"/>
      <c r="C585" s="130">
        <f t="shared" ca="1" si="8"/>
        <v>566</v>
      </c>
      <c r="D585" s="636"/>
      <c r="E585" s="636"/>
      <c r="F585" s="567" t="s">
        <v>459</v>
      </c>
      <c r="G585" s="219" t="s">
        <v>448</v>
      </c>
      <c r="H585" s="243"/>
      <c r="I585" s="172" t="s">
        <v>2986</v>
      </c>
      <c r="J585" s="172" t="s">
        <v>365</v>
      </c>
      <c r="K585" s="245" t="s">
        <v>2987</v>
      </c>
      <c r="L585" s="141" t="s">
        <v>15</v>
      </c>
      <c r="M585" s="193">
        <v>46042</v>
      </c>
      <c r="N585" s="194" t="s">
        <v>4</v>
      </c>
      <c r="O585" s="141" t="s">
        <v>158</v>
      </c>
      <c r="P585" s="117" t="s">
        <v>211</v>
      </c>
      <c r="Q585" s="407">
        <v>46038</v>
      </c>
      <c r="R585" s="40" t="s">
        <v>445</v>
      </c>
      <c r="S585" s="208" t="s">
        <v>2988</v>
      </c>
      <c r="T585" s="357"/>
      <c r="U585" s="84"/>
      <c r="V585" s="84"/>
      <c r="W585" s="84"/>
      <c r="X585" s="84"/>
      <c r="Y585" s="84"/>
      <c r="Z585" s="84"/>
      <c r="AA585" s="81"/>
      <c r="AB585" s="81"/>
      <c r="AC585" s="81"/>
      <c r="AD585" s="81"/>
      <c r="AE585" s="81"/>
      <c r="AF585" s="81"/>
      <c r="AG585" s="81"/>
    </row>
    <row r="586" spans="1:33" ht="15.75" customHeight="1" x14ac:dyDescent="0.3">
      <c r="A586" s="104"/>
      <c r="B586" s="104"/>
      <c r="C586" s="130">
        <f t="shared" ca="1" si="8"/>
        <v>567</v>
      </c>
      <c r="D586" s="636"/>
      <c r="E586" s="636"/>
      <c r="F586" s="567" t="s">
        <v>459</v>
      </c>
      <c r="G586" s="219" t="s">
        <v>448</v>
      </c>
      <c r="H586" s="243"/>
      <c r="I586" s="172" t="s">
        <v>2989</v>
      </c>
      <c r="J586" s="172" t="s">
        <v>365</v>
      </c>
      <c r="K586" s="245" t="s">
        <v>2990</v>
      </c>
      <c r="L586" s="141" t="s">
        <v>15</v>
      </c>
      <c r="M586" s="193">
        <v>46042</v>
      </c>
      <c r="N586" s="194" t="s">
        <v>4</v>
      </c>
      <c r="O586" s="141" t="s">
        <v>15</v>
      </c>
      <c r="P586" s="117"/>
      <c r="Q586" s="407">
        <v>46038</v>
      </c>
      <c r="R586" s="40" t="s">
        <v>445</v>
      </c>
      <c r="S586" s="208"/>
      <c r="T586" s="357"/>
      <c r="U586" s="84"/>
      <c r="V586" s="84"/>
      <c r="W586" s="84"/>
      <c r="X586" s="84"/>
      <c r="Y586" s="84"/>
      <c r="Z586" s="84"/>
      <c r="AA586" s="81"/>
      <c r="AB586" s="81"/>
      <c r="AC586" s="81"/>
      <c r="AD586" s="81"/>
      <c r="AE586" s="81"/>
      <c r="AF586" s="81"/>
      <c r="AG586" s="81"/>
    </row>
    <row r="587" spans="1:33" ht="15.75" customHeight="1" x14ac:dyDescent="0.3">
      <c r="A587" s="104"/>
      <c r="B587" s="104"/>
      <c r="C587" s="130">
        <f t="shared" ca="1" si="8"/>
        <v>568</v>
      </c>
      <c r="D587" s="636"/>
      <c r="E587" s="636"/>
      <c r="F587" s="567" t="s">
        <v>459</v>
      </c>
      <c r="G587" s="219" t="s">
        <v>448</v>
      </c>
      <c r="H587" s="243"/>
      <c r="I587" s="172" t="s">
        <v>2991</v>
      </c>
      <c r="J587" s="172" t="s">
        <v>365</v>
      </c>
      <c r="K587" s="245" t="s">
        <v>2992</v>
      </c>
      <c r="L587" s="141" t="s">
        <v>15</v>
      </c>
      <c r="M587" s="193">
        <v>46042</v>
      </c>
      <c r="N587" s="194" t="s">
        <v>4</v>
      </c>
      <c r="O587" s="141" t="s">
        <v>15</v>
      </c>
      <c r="P587" s="117"/>
      <c r="Q587" s="407">
        <v>46038</v>
      </c>
      <c r="R587" s="40" t="s">
        <v>445</v>
      </c>
      <c r="S587" s="208"/>
      <c r="T587" s="357"/>
      <c r="U587" s="84"/>
      <c r="V587" s="84"/>
      <c r="W587" s="84"/>
      <c r="X587" s="84"/>
      <c r="Y587" s="84"/>
      <c r="Z587" s="84"/>
      <c r="AA587" s="81"/>
      <c r="AB587" s="81"/>
      <c r="AC587" s="81"/>
      <c r="AD587" s="81"/>
      <c r="AE587" s="81"/>
      <c r="AF587" s="81"/>
      <c r="AG587" s="81"/>
    </row>
    <row r="588" spans="1:33" ht="15.75" customHeight="1" x14ac:dyDescent="0.3">
      <c r="A588" s="104"/>
      <c r="B588" s="104"/>
      <c r="C588" s="130">
        <f t="shared" ca="1" si="8"/>
        <v>569</v>
      </c>
      <c r="D588" s="636"/>
      <c r="E588" s="636"/>
      <c r="F588" s="567" t="s">
        <v>459</v>
      </c>
      <c r="G588" s="219" t="s">
        <v>455</v>
      </c>
      <c r="H588" s="243"/>
      <c r="I588" s="210"/>
      <c r="J588" s="172" t="s">
        <v>365</v>
      </c>
      <c r="K588" s="226" t="s">
        <v>371</v>
      </c>
      <c r="L588" s="141" t="s">
        <v>15</v>
      </c>
      <c r="M588" s="193">
        <v>46042</v>
      </c>
      <c r="N588" s="194" t="s">
        <v>4</v>
      </c>
      <c r="O588" s="141" t="s">
        <v>15</v>
      </c>
      <c r="P588" s="117"/>
      <c r="Q588" s="407">
        <v>46038</v>
      </c>
      <c r="R588" s="40" t="s">
        <v>445</v>
      </c>
      <c r="S588" s="208"/>
      <c r="T588" s="357"/>
      <c r="U588" s="84"/>
      <c r="V588" s="84"/>
      <c r="W588" s="84"/>
      <c r="X588" s="84"/>
      <c r="Y588" s="84"/>
      <c r="Z588" s="84"/>
      <c r="AA588" s="81"/>
      <c r="AB588" s="81"/>
      <c r="AC588" s="81"/>
      <c r="AD588" s="81"/>
      <c r="AE588" s="81"/>
      <c r="AF588" s="81"/>
      <c r="AG588" s="81"/>
    </row>
    <row r="589" spans="1:33" ht="15.75" customHeight="1" x14ac:dyDescent="0.3">
      <c r="A589" s="104"/>
      <c r="B589" s="104"/>
      <c r="C589" s="130">
        <f t="shared" ca="1" si="8"/>
        <v>570</v>
      </c>
      <c r="D589" s="636"/>
      <c r="E589" s="636"/>
      <c r="F589" s="567" t="s">
        <v>459</v>
      </c>
      <c r="G589" s="219" t="s">
        <v>448</v>
      </c>
      <c r="H589" s="243"/>
      <c r="I589" s="213" t="s">
        <v>372</v>
      </c>
      <c r="J589" s="172" t="s">
        <v>311</v>
      </c>
      <c r="K589" s="245" t="s">
        <v>373</v>
      </c>
      <c r="L589" s="141" t="s">
        <v>15</v>
      </c>
      <c r="M589" s="193">
        <v>46042</v>
      </c>
      <c r="N589" s="194" t="s">
        <v>4</v>
      </c>
      <c r="O589" s="141" t="s">
        <v>15</v>
      </c>
      <c r="P589" s="117"/>
      <c r="Q589" s="407">
        <v>46038</v>
      </c>
      <c r="R589" s="40" t="s">
        <v>445</v>
      </c>
      <c r="S589" s="208"/>
      <c r="T589" s="357"/>
      <c r="U589" s="84"/>
      <c r="V589" s="84"/>
      <c r="W589" s="84"/>
      <c r="X589" s="84"/>
      <c r="Y589" s="84"/>
      <c r="Z589" s="84"/>
      <c r="AA589" s="81"/>
      <c r="AB589" s="81"/>
      <c r="AC589" s="81"/>
      <c r="AD589" s="81"/>
      <c r="AE589" s="81"/>
      <c r="AF589" s="81"/>
      <c r="AG589" s="81"/>
    </row>
    <row r="590" spans="1:33" ht="15.75" customHeight="1" x14ac:dyDescent="0.3">
      <c r="A590" s="104"/>
      <c r="B590" s="104"/>
      <c r="C590" s="130">
        <f t="shared" ca="1" si="8"/>
        <v>571</v>
      </c>
      <c r="D590" s="636"/>
      <c r="E590" s="636"/>
      <c r="F590" s="567" t="s">
        <v>459</v>
      </c>
      <c r="G590" s="219" t="s">
        <v>448</v>
      </c>
      <c r="H590" s="243"/>
      <c r="I590" s="569"/>
      <c r="J590" s="172" t="s">
        <v>313</v>
      </c>
      <c r="K590" s="245" t="s">
        <v>2599</v>
      </c>
      <c r="L590" s="141" t="s">
        <v>15</v>
      </c>
      <c r="M590" s="193">
        <v>46042</v>
      </c>
      <c r="N590" s="194" t="s">
        <v>4</v>
      </c>
      <c r="O590" s="141" t="s">
        <v>15</v>
      </c>
      <c r="P590" s="117"/>
      <c r="Q590" s="407">
        <v>46038</v>
      </c>
      <c r="R590" s="40" t="s">
        <v>445</v>
      </c>
      <c r="S590" s="208"/>
      <c r="T590" s="357"/>
      <c r="U590" s="84"/>
      <c r="V590" s="84"/>
      <c r="W590" s="84"/>
      <c r="X590" s="84"/>
      <c r="Y590" s="84"/>
      <c r="Z590" s="84"/>
      <c r="AA590" s="81"/>
      <c r="AB590" s="81"/>
      <c r="AC590" s="81"/>
      <c r="AD590" s="81"/>
      <c r="AE590" s="81"/>
      <c r="AF590" s="81"/>
      <c r="AG590" s="81"/>
    </row>
    <row r="591" spans="1:33" ht="15.75" customHeight="1" x14ac:dyDescent="0.3">
      <c r="A591" s="104"/>
      <c r="B591" s="104"/>
      <c r="C591" s="130">
        <f t="shared" ca="1" si="8"/>
        <v>572</v>
      </c>
      <c r="D591" s="636"/>
      <c r="E591" s="636"/>
      <c r="F591" s="567" t="s">
        <v>459</v>
      </c>
      <c r="G591" s="219" t="s">
        <v>455</v>
      </c>
      <c r="H591" s="243"/>
      <c r="I591" s="210"/>
      <c r="J591" s="172" t="s">
        <v>375</v>
      </c>
      <c r="K591" s="226" t="s">
        <v>371</v>
      </c>
      <c r="L591" s="141" t="s">
        <v>15</v>
      </c>
      <c r="M591" s="193">
        <v>46042</v>
      </c>
      <c r="N591" s="194" t="s">
        <v>4</v>
      </c>
      <c r="O591" s="141" t="s">
        <v>15</v>
      </c>
      <c r="P591" s="117"/>
      <c r="Q591" s="407">
        <v>46038</v>
      </c>
      <c r="R591" s="40" t="s">
        <v>445</v>
      </c>
      <c r="S591" s="208"/>
      <c r="T591" s="357"/>
      <c r="U591" s="84"/>
      <c r="V591" s="84"/>
      <c r="W591" s="84"/>
      <c r="X591" s="84"/>
      <c r="Y591" s="84"/>
      <c r="Z591" s="84"/>
      <c r="AA591" s="81"/>
      <c r="AB591" s="81"/>
      <c r="AC591" s="81"/>
      <c r="AD591" s="81"/>
      <c r="AE591" s="81"/>
      <c r="AF591" s="81"/>
      <c r="AG591" s="81"/>
    </row>
    <row r="592" spans="1:33" ht="15.75" customHeight="1" x14ac:dyDescent="0.3">
      <c r="A592" s="104"/>
      <c r="B592" s="104"/>
      <c r="C592" s="130">
        <f t="shared" ca="1" si="8"/>
        <v>573</v>
      </c>
      <c r="D592" s="636"/>
      <c r="E592" s="636"/>
      <c r="F592" s="567" t="s">
        <v>459</v>
      </c>
      <c r="G592" s="219" t="s">
        <v>448</v>
      </c>
      <c r="H592" s="243"/>
      <c r="I592" s="172" t="s">
        <v>2993</v>
      </c>
      <c r="J592" s="172" t="s">
        <v>365</v>
      </c>
      <c r="K592" s="245" t="s">
        <v>2590</v>
      </c>
      <c r="L592" s="141" t="s">
        <v>15</v>
      </c>
      <c r="M592" s="193">
        <v>46042</v>
      </c>
      <c r="N592" s="194" t="s">
        <v>4</v>
      </c>
      <c r="O592" s="141" t="s">
        <v>158</v>
      </c>
      <c r="P592" s="117" t="s">
        <v>211</v>
      </c>
      <c r="Q592" s="407">
        <v>46038</v>
      </c>
      <c r="R592" s="40" t="s">
        <v>445</v>
      </c>
      <c r="S592" s="208" t="s">
        <v>2994</v>
      </c>
      <c r="T592" s="357"/>
      <c r="U592" s="84"/>
      <c r="V592" s="84"/>
      <c r="W592" s="84"/>
      <c r="X592" s="84"/>
      <c r="Y592" s="84"/>
      <c r="Z592" s="84"/>
      <c r="AA592" s="81"/>
      <c r="AB592" s="81"/>
      <c r="AC592" s="81"/>
      <c r="AD592" s="81"/>
      <c r="AE592" s="81"/>
      <c r="AF592" s="81"/>
      <c r="AG592" s="81"/>
    </row>
    <row r="593" spans="1:33" ht="15.75" customHeight="1" x14ac:dyDescent="0.3">
      <c r="A593" s="104"/>
      <c r="B593" s="104"/>
      <c r="C593" s="130">
        <f t="shared" ca="1" si="8"/>
        <v>574</v>
      </c>
      <c r="D593" s="636"/>
      <c r="E593" s="636"/>
      <c r="F593" s="567" t="s">
        <v>459</v>
      </c>
      <c r="G593" s="219" t="s">
        <v>448</v>
      </c>
      <c r="H593" s="243"/>
      <c r="I593" s="172" t="s">
        <v>2995</v>
      </c>
      <c r="J593" s="172" t="s">
        <v>365</v>
      </c>
      <c r="K593" s="245" t="s">
        <v>2985</v>
      </c>
      <c r="L593" s="141" t="s">
        <v>15</v>
      </c>
      <c r="M593" s="193">
        <v>46042</v>
      </c>
      <c r="N593" s="194" t="s">
        <v>4</v>
      </c>
      <c r="O593" s="141" t="s">
        <v>15</v>
      </c>
      <c r="P593" s="117"/>
      <c r="Q593" s="407">
        <v>46038</v>
      </c>
      <c r="R593" s="40" t="s">
        <v>445</v>
      </c>
      <c r="S593" s="208"/>
      <c r="T593" s="357"/>
      <c r="U593" s="84"/>
      <c r="V593" s="84"/>
      <c r="W593" s="84"/>
      <c r="X593" s="84"/>
      <c r="Y593" s="84"/>
      <c r="Z593" s="84"/>
      <c r="AA593" s="81"/>
      <c r="AB593" s="81"/>
      <c r="AC593" s="81"/>
      <c r="AD593" s="81"/>
      <c r="AE593" s="81"/>
      <c r="AF593" s="81"/>
      <c r="AG593" s="81"/>
    </row>
    <row r="594" spans="1:33" ht="15.75" customHeight="1" x14ac:dyDescent="0.3">
      <c r="A594" s="104"/>
      <c r="B594" s="104"/>
      <c r="C594" s="130">
        <f t="shared" ca="1" si="8"/>
        <v>575</v>
      </c>
      <c r="D594" s="636"/>
      <c r="E594" s="636"/>
      <c r="F594" s="567" t="s">
        <v>459</v>
      </c>
      <c r="G594" s="219" t="s">
        <v>448</v>
      </c>
      <c r="H594" s="243"/>
      <c r="I594" s="172" t="s">
        <v>2996</v>
      </c>
      <c r="J594" s="172" t="s">
        <v>365</v>
      </c>
      <c r="K594" s="245" t="s">
        <v>2987</v>
      </c>
      <c r="L594" s="141" t="s">
        <v>15</v>
      </c>
      <c r="M594" s="193">
        <v>46042</v>
      </c>
      <c r="N594" s="194" t="s">
        <v>4</v>
      </c>
      <c r="O594" s="141" t="s">
        <v>158</v>
      </c>
      <c r="P594" s="117" t="s">
        <v>211</v>
      </c>
      <c r="Q594" s="407">
        <v>46038</v>
      </c>
      <c r="R594" s="40" t="s">
        <v>445</v>
      </c>
      <c r="S594" s="208" t="s">
        <v>2997</v>
      </c>
      <c r="T594" s="357"/>
      <c r="U594" s="84"/>
      <c r="V594" s="84"/>
      <c r="W594" s="84"/>
      <c r="X594" s="84"/>
      <c r="Y594" s="84"/>
      <c r="Z594" s="84"/>
      <c r="AA594" s="81"/>
      <c r="AB594" s="81"/>
      <c r="AC594" s="81"/>
      <c r="AD594" s="81"/>
      <c r="AE594" s="81"/>
      <c r="AF594" s="81"/>
      <c r="AG594" s="81"/>
    </row>
    <row r="595" spans="1:33" ht="15.75" customHeight="1" x14ac:dyDescent="0.3">
      <c r="A595" s="104"/>
      <c r="B595" s="104"/>
      <c r="C595" s="130">
        <f t="shared" ca="1" si="8"/>
        <v>576</v>
      </c>
      <c r="D595" s="636"/>
      <c r="E595" s="636"/>
      <c r="F595" s="567" t="s">
        <v>459</v>
      </c>
      <c r="G595" s="219" t="s">
        <v>448</v>
      </c>
      <c r="H595" s="243"/>
      <c r="I595" s="172" t="s">
        <v>2998</v>
      </c>
      <c r="J595" s="172" t="s">
        <v>365</v>
      </c>
      <c r="K595" s="245" t="s">
        <v>2990</v>
      </c>
      <c r="L595" s="141" t="s">
        <v>15</v>
      </c>
      <c r="M595" s="193">
        <v>46042</v>
      </c>
      <c r="N595" s="194" t="s">
        <v>4</v>
      </c>
      <c r="O595" s="141" t="s">
        <v>15</v>
      </c>
      <c r="P595" s="117"/>
      <c r="Q595" s="407">
        <v>46038</v>
      </c>
      <c r="R595" s="40" t="s">
        <v>445</v>
      </c>
      <c r="S595" s="208"/>
      <c r="T595" s="357"/>
      <c r="U595" s="84"/>
      <c r="V595" s="84"/>
      <c r="W595" s="84"/>
      <c r="X595" s="84"/>
      <c r="Y595" s="84"/>
      <c r="Z595" s="84"/>
      <c r="AA595" s="81"/>
      <c r="AB595" s="81"/>
      <c r="AC595" s="81"/>
      <c r="AD595" s="81"/>
      <c r="AE595" s="81"/>
      <c r="AF595" s="81"/>
      <c r="AG595" s="81"/>
    </row>
    <row r="596" spans="1:33" ht="15.75" customHeight="1" x14ac:dyDescent="0.3">
      <c r="A596" s="104"/>
      <c r="B596" s="104"/>
      <c r="C596" s="130">
        <f t="shared" ca="1" si="8"/>
        <v>577</v>
      </c>
      <c r="D596" s="635"/>
      <c r="E596" s="635"/>
      <c r="F596" s="567" t="s">
        <v>459</v>
      </c>
      <c r="G596" s="219" t="s">
        <v>448</v>
      </c>
      <c r="H596" s="243"/>
      <c r="I596" s="172" t="s">
        <v>2999</v>
      </c>
      <c r="J596" s="172" t="s">
        <v>365</v>
      </c>
      <c r="K596" s="245" t="s">
        <v>2992</v>
      </c>
      <c r="L596" s="141" t="s">
        <v>15</v>
      </c>
      <c r="M596" s="193">
        <v>46042</v>
      </c>
      <c r="N596" s="194" t="s">
        <v>4</v>
      </c>
      <c r="O596" s="141" t="s">
        <v>15</v>
      </c>
      <c r="P596" s="117"/>
      <c r="Q596" s="407">
        <v>46038</v>
      </c>
      <c r="R596" s="40" t="s">
        <v>445</v>
      </c>
      <c r="S596" s="208"/>
      <c r="T596" s="357"/>
      <c r="U596" s="84"/>
      <c r="V596" s="84"/>
      <c r="W596" s="84"/>
      <c r="X596" s="84"/>
      <c r="Y596" s="84"/>
      <c r="Z596" s="84"/>
      <c r="AA596" s="81"/>
      <c r="AB596" s="81"/>
      <c r="AC596" s="81"/>
      <c r="AD596" s="81"/>
      <c r="AE596" s="81"/>
      <c r="AF596" s="81"/>
      <c r="AG596" s="81"/>
    </row>
    <row r="597" spans="1:33" ht="15.75" customHeight="1" x14ac:dyDescent="0.3">
      <c r="A597" s="104"/>
      <c r="B597" s="104"/>
      <c r="C597" s="130">
        <f t="shared" ca="1" si="8"/>
        <v>578</v>
      </c>
      <c r="D597" s="658" t="s">
        <v>353</v>
      </c>
      <c r="E597" s="251" t="s">
        <v>257</v>
      </c>
      <c r="F597" s="567" t="s">
        <v>457</v>
      </c>
      <c r="G597" s="219" t="s">
        <v>448</v>
      </c>
      <c r="H597" s="243"/>
      <c r="I597" s="172"/>
      <c r="J597" s="172" t="s">
        <v>261</v>
      </c>
      <c r="K597" s="245" t="s">
        <v>3000</v>
      </c>
      <c r="L597" s="141" t="s">
        <v>15</v>
      </c>
      <c r="M597" s="193">
        <v>46042</v>
      </c>
      <c r="N597" s="194" t="s">
        <v>4</v>
      </c>
      <c r="O597" s="141" t="s">
        <v>15</v>
      </c>
      <c r="P597" s="117"/>
      <c r="Q597" s="407">
        <v>46038</v>
      </c>
      <c r="R597" s="40" t="s">
        <v>445</v>
      </c>
      <c r="S597" s="208"/>
      <c r="T597" s="357"/>
      <c r="U597" s="84"/>
      <c r="V597" s="84"/>
      <c r="W597" s="84"/>
      <c r="X597" s="84"/>
      <c r="Y597" s="84"/>
      <c r="Z597" s="84"/>
      <c r="AA597" s="81"/>
      <c r="AB597" s="81"/>
      <c r="AC597" s="81"/>
      <c r="AD597" s="81"/>
      <c r="AE597" s="81"/>
      <c r="AF597" s="81"/>
      <c r="AG597" s="81"/>
    </row>
    <row r="598" spans="1:33" ht="15.75" customHeight="1" x14ac:dyDescent="0.3">
      <c r="A598" s="104"/>
      <c r="B598" s="104"/>
      <c r="C598" s="130">
        <f t="shared" ca="1" si="8"/>
        <v>579</v>
      </c>
      <c r="D598" s="636"/>
      <c r="E598" s="665" t="s">
        <v>237</v>
      </c>
      <c r="F598" s="567" t="s">
        <v>459</v>
      </c>
      <c r="G598" s="219" t="s">
        <v>448</v>
      </c>
      <c r="H598" s="243"/>
      <c r="I598" s="213" t="s">
        <v>364</v>
      </c>
      <c r="J598" s="172" t="s">
        <v>365</v>
      </c>
      <c r="K598" s="245" t="s">
        <v>3001</v>
      </c>
      <c r="L598" s="141" t="s">
        <v>15</v>
      </c>
      <c r="M598" s="193">
        <v>46042</v>
      </c>
      <c r="N598" s="194" t="s">
        <v>4</v>
      </c>
      <c r="O598" s="141" t="s">
        <v>15</v>
      </c>
      <c r="P598" s="117"/>
      <c r="Q598" s="407">
        <v>46038</v>
      </c>
      <c r="R598" s="40" t="s">
        <v>445</v>
      </c>
      <c r="S598" s="208"/>
      <c r="T598" s="357"/>
      <c r="U598" s="84"/>
      <c r="V598" s="84"/>
      <c r="W598" s="84"/>
      <c r="X598" s="84"/>
      <c r="Y598" s="84"/>
      <c r="Z598" s="84"/>
      <c r="AA598" s="81"/>
      <c r="AB598" s="81"/>
      <c r="AC598" s="81"/>
      <c r="AD598" s="81"/>
      <c r="AE598" s="81"/>
      <c r="AF598" s="81"/>
      <c r="AG598" s="81"/>
    </row>
    <row r="599" spans="1:33" ht="15.75" customHeight="1" x14ac:dyDescent="0.3">
      <c r="A599" s="104"/>
      <c r="B599" s="104"/>
      <c r="C599" s="130">
        <f t="shared" ca="1" si="8"/>
        <v>580</v>
      </c>
      <c r="D599" s="636"/>
      <c r="E599" s="636"/>
      <c r="F599" s="567" t="s">
        <v>459</v>
      </c>
      <c r="G599" s="219" t="s">
        <v>448</v>
      </c>
      <c r="H599" s="243"/>
      <c r="I599" s="172" t="s">
        <v>3002</v>
      </c>
      <c r="J599" s="172" t="s">
        <v>365</v>
      </c>
      <c r="K599" s="245" t="s">
        <v>2590</v>
      </c>
      <c r="L599" s="141" t="s">
        <v>15</v>
      </c>
      <c r="M599" s="193">
        <v>46042</v>
      </c>
      <c r="N599" s="194" t="s">
        <v>4</v>
      </c>
      <c r="O599" s="141" t="s">
        <v>158</v>
      </c>
      <c r="P599" s="117" t="s">
        <v>211</v>
      </c>
      <c r="Q599" s="407">
        <v>46038</v>
      </c>
      <c r="R599" s="40" t="s">
        <v>445</v>
      </c>
      <c r="S599" s="208" t="s">
        <v>3003</v>
      </c>
      <c r="T599" s="357"/>
      <c r="U599" s="84"/>
      <c r="V599" s="84"/>
      <c r="W599" s="84"/>
      <c r="X599" s="84"/>
      <c r="Y599" s="84"/>
      <c r="Z599" s="84"/>
      <c r="AA599" s="81"/>
      <c r="AB599" s="81"/>
      <c r="AC599" s="81"/>
      <c r="AD599" s="81"/>
      <c r="AE599" s="81"/>
      <c r="AF599" s="81"/>
      <c r="AG599" s="81"/>
    </row>
    <row r="600" spans="1:33" ht="15.75" customHeight="1" x14ac:dyDescent="0.3">
      <c r="A600" s="104"/>
      <c r="B600" s="104"/>
      <c r="C600" s="130">
        <f t="shared" ca="1" si="8"/>
        <v>581</v>
      </c>
      <c r="D600" s="636"/>
      <c r="E600" s="636"/>
      <c r="F600" s="567" t="s">
        <v>459</v>
      </c>
      <c r="G600" s="219" t="s">
        <v>448</v>
      </c>
      <c r="H600" s="243"/>
      <c r="I600" s="172" t="s">
        <v>3004</v>
      </c>
      <c r="J600" s="172" t="s">
        <v>365</v>
      </c>
      <c r="K600" s="245" t="s">
        <v>3005</v>
      </c>
      <c r="L600" s="141" t="s">
        <v>15</v>
      </c>
      <c r="M600" s="193">
        <v>46042</v>
      </c>
      <c r="N600" s="194" t="s">
        <v>4</v>
      </c>
      <c r="O600" s="141" t="s">
        <v>15</v>
      </c>
      <c r="P600" s="117"/>
      <c r="Q600" s="407">
        <v>46038</v>
      </c>
      <c r="R600" s="40" t="s">
        <v>445</v>
      </c>
      <c r="S600" s="208"/>
      <c r="T600" s="357"/>
      <c r="U600" s="84"/>
      <c r="V600" s="84"/>
      <c r="W600" s="84"/>
      <c r="X600" s="84"/>
      <c r="Y600" s="84"/>
      <c r="Z600" s="84"/>
      <c r="AA600" s="81"/>
      <c r="AB600" s="81"/>
      <c r="AC600" s="81"/>
      <c r="AD600" s="81"/>
      <c r="AE600" s="81"/>
      <c r="AF600" s="81"/>
      <c r="AG600" s="81"/>
    </row>
    <row r="601" spans="1:33" ht="15.75" customHeight="1" x14ac:dyDescent="0.3">
      <c r="A601" s="104"/>
      <c r="B601" s="104"/>
      <c r="C601" s="130">
        <f t="shared" ca="1" si="8"/>
        <v>582</v>
      </c>
      <c r="D601" s="636"/>
      <c r="E601" s="636"/>
      <c r="F601" s="567" t="s">
        <v>459</v>
      </c>
      <c r="G601" s="219" t="s">
        <v>448</v>
      </c>
      <c r="H601" s="243"/>
      <c r="I601" s="172" t="s">
        <v>3006</v>
      </c>
      <c r="J601" s="172" t="s">
        <v>365</v>
      </c>
      <c r="K601" s="245" t="s">
        <v>3007</v>
      </c>
      <c r="L601" s="141" t="s">
        <v>15</v>
      </c>
      <c r="M601" s="193">
        <v>46042</v>
      </c>
      <c r="N601" s="194" t="s">
        <v>4</v>
      </c>
      <c r="O601" s="141" t="s">
        <v>158</v>
      </c>
      <c r="P601" s="117" t="s">
        <v>211</v>
      </c>
      <c r="Q601" s="407">
        <v>46038</v>
      </c>
      <c r="R601" s="40" t="s">
        <v>445</v>
      </c>
      <c r="S601" s="208" t="s">
        <v>3008</v>
      </c>
      <c r="T601" s="357"/>
      <c r="U601" s="84"/>
      <c r="V601" s="84"/>
      <c r="W601" s="84"/>
      <c r="X601" s="84"/>
      <c r="Y601" s="84"/>
      <c r="Z601" s="84"/>
      <c r="AA601" s="81"/>
      <c r="AB601" s="81"/>
      <c r="AC601" s="81"/>
      <c r="AD601" s="81"/>
      <c r="AE601" s="81"/>
      <c r="AF601" s="81"/>
      <c r="AG601" s="81"/>
    </row>
    <row r="602" spans="1:33" ht="15.75" customHeight="1" x14ac:dyDescent="0.3">
      <c r="A602" s="104"/>
      <c r="B602" s="104"/>
      <c r="C602" s="130">
        <f t="shared" ca="1" si="8"/>
        <v>583</v>
      </c>
      <c r="D602" s="636"/>
      <c r="E602" s="636"/>
      <c r="F602" s="567" t="s">
        <v>459</v>
      </c>
      <c r="G602" s="219" t="s">
        <v>448</v>
      </c>
      <c r="H602" s="243"/>
      <c r="I602" s="172" t="s">
        <v>3009</v>
      </c>
      <c r="J602" s="172" t="s">
        <v>365</v>
      </c>
      <c r="K602" s="245" t="s">
        <v>3010</v>
      </c>
      <c r="L602" s="141" t="s">
        <v>15</v>
      </c>
      <c r="M602" s="193">
        <v>46042</v>
      </c>
      <c r="N602" s="194" t="s">
        <v>4</v>
      </c>
      <c r="O602" s="141" t="s">
        <v>15</v>
      </c>
      <c r="P602" s="117"/>
      <c r="Q602" s="407">
        <v>46038</v>
      </c>
      <c r="R602" s="40" t="s">
        <v>445</v>
      </c>
      <c r="S602" s="208"/>
      <c r="T602" s="357"/>
      <c r="U602" s="84"/>
      <c r="V602" s="84"/>
      <c r="W602" s="84"/>
      <c r="X602" s="84"/>
      <c r="Y602" s="84"/>
      <c r="Z602" s="84"/>
      <c r="AA602" s="81"/>
      <c r="AB602" s="81"/>
      <c r="AC602" s="81"/>
      <c r="AD602" s="81"/>
      <c r="AE602" s="81"/>
      <c r="AF602" s="81"/>
      <c r="AG602" s="81"/>
    </row>
    <row r="603" spans="1:33" ht="15.75" customHeight="1" x14ac:dyDescent="0.3">
      <c r="A603" s="104"/>
      <c r="B603" s="104"/>
      <c r="C603" s="130">
        <f t="shared" ca="1" si="8"/>
        <v>584</v>
      </c>
      <c r="D603" s="636"/>
      <c r="E603" s="636"/>
      <c r="F603" s="567" t="s">
        <v>459</v>
      </c>
      <c r="G603" s="219" t="s">
        <v>448</v>
      </c>
      <c r="H603" s="243"/>
      <c r="I603" s="172" t="s">
        <v>3011</v>
      </c>
      <c r="J603" s="172" t="s">
        <v>365</v>
      </c>
      <c r="K603" s="245" t="s">
        <v>3012</v>
      </c>
      <c r="L603" s="141" t="s">
        <v>15</v>
      </c>
      <c r="M603" s="193">
        <v>46042</v>
      </c>
      <c r="N603" s="194" t="s">
        <v>4</v>
      </c>
      <c r="O603" s="141" t="s">
        <v>15</v>
      </c>
      <c r="P603" s="117"/>
      <c r="Q603" s="407">
        <v>46038</v>
      </c>
      <c r="R603" s="40" t="s">
        <v>445</v>
      </c>
      <c r="S603" s="208"/>
      <c r="T603" s="357"/>
      <c r="U603" s="84"/>
      <c r="V603" s="84"/>
      <c r="W603" s="84"/>
      <c r="X603" s="84"/>
      <c r="Y603" s="84"/>
      <c r="Z603" s="84"/>
      <c r="AA603" s="81"/>
      <c r="AB603" s="81"/>
      <c r="AC603" s="81"/>
      <c r="AD603" s="81"/>
      <c r="AE603" s="81"/>
      <c r="AF603" s="81"/>
      <c r="AG603" s="81"/>
    </row>
    <row r="604" spans="1:33" ht="15.75" customHeight="1" x14ac:dyDescent="0.3">
      <c r="A604" s="104"/>
      <c r="B604" s="104"/>
      <c r="C604" s="130">
        <f t="shared" ca="1" si="8"/>
        <v>585</v>
      </c>
      <c r="D604" s="636"/>
      <c r="E604" s="636"/>
      <c r="F604" s="567" t="s">
        <v>459</v>
      </c>
      <c r="G604" s="219" t="s">
        <v>455</v>
      </c>
      <c r="H604" s="243"/>
      <c r="I604" s="210"/>
      <c r="J604" s="172" t="s">
        <v>310</v>
      </c>
      <c r="K604" s="226" t="s">
        <v>371</v>
      </c>
      <c r="L604" s="141" t="s">
        <v>15</v>
      </c>
      <c r="M604" s="193">
        <v>46042</v>
      </c>
      <c r="N604" s="194" t="s">
        <v>4</v>
      </c>
      <c r="O604" s="141" t="s">
        <v>15</v>
      </c>
      <c r="P604" s="117"/>
      <c r="Q604" s="407">
        <v>46038</v>
      </c>
      <c r="R604" s="40" t="s">
        <v>445</v>
      </c>
      <c r="S604" s="208"/>
      <c r="T604" s="357"/>
      <c r="U604" s="84"/>
      <c r="V604" s="84"/>
      <c r="W604" s="84"/>
      <c r="X604" s="84"/>
      <c r="Y604" s="84"/>
      <c r="Z604" s="84"/>
      <c r="AA604" s="81"/>
      <c r="AB604" s="81"/>
      <c r="AC604" s="81"/>
      <c r="AD604" s="81"/>
      <c r="AE604" s="81"/>
      <c r="AF604" s="81"/>
      <c r="AG604" s="81"/>
    </row>
    <row r="605" spans="1:33" ht="15.75" customHeight="1" x14ac:dyDescent="0.3">
      <c r="A605" s="104"/>
      <c r="B605" s="104"/>
      <c r="C605" s="130">
        <f t="shared" ca="1" si="8"/>
        <v>586</v>
      </c>
      <c r="D605" s="636"/>
      <c r="E605" s="636"/>
      <c r="F605" s="567" t="s">
        <v>459</v>
      </c>
      <c r="G605" s="219" t="s">
        <v>448</v>
      </c>
      <c r="H605" s="243"/>
      <c r="I605" s="657" t="s">
        <v>372</v>
      </c>
      <c r="J605" s="172" t="s">
        <v>311</v>
      </c>
      <c r="K605" s="245" t="s">
        <v>373</v>
      </c>
      <c r="L605" s="141" t="s">
        <v>15</v>
      </c>
      <c r="M605" s="193">
        <v>46042</v>
      </c>
      <c r="N605" s="194" t="s">
        <v>4</v>
      </c>
      <c r="O605" s="141" t="s">
        <v>15</v>
      </c>
      <c r="P605" s="117"/>
      <c r="Q605" s="407">
        <v>46038</v>
      </c>
      <c r="R605" s="40" t="s">
        <v>445</v>
      </c>
      <c r="S605" s="208"/>
      <c r="T605" s="357"/>
      <c r="U605" s="84"/>
      <c r="V605" s="84"/>
      <c r="W605" s="84"/>
      <c r="X605" s="84"/>
      <c r="Y605" s="84"/>
      <c r="Z605" s="84"/>
      <c r="AA605" s="81"/>
      <c r="AB605" s="81"/>
      <c r="AC605" s="81"/>
      <c r="AD605" s="81"/>
      <c r="AE605" s="81"/>
      <c r="AF605" s="81"/>
      <c r="AG605" s="81"/>
    </row>
    <row r="606" spans="1:33" ht="15.75" customHeight="1" x14ac:dyDescent="0.3">
      <c r="A606" s="104"/>
      <c r="B606" s="104"/>
      <c r="C606" s="130">
        <f t="shared" ca="1" si="8"/>
        <v>587</v>
      </c>
      <c r="D606" s="636"/>
      <c r="E606" s="636"/>
      <c r="F606" s="567" t="s">
        <v>459</v>
      </c>
      <c r="G606" s="219" t="s">
        <v>448</v>
      </c>
      <c r="H606" s="243"/>
      <c r="I606" s="606"/>
      <c r="J606" s="172" t="s">
        <v>313</v>
      </c>
      <c r="K606" s="245" t="s">
        <v>2599</v>
      </c>
      <c r="L606" s="141" t="s">
        <v>15</v>
      </c>
      <c r="M606" s="193">
        <v>46042</v>
      </c>
      <c r="N606" s="194" t="s">
        <v>4</v>
      </c>
      <c r="O606" s="141" t="s">
        <v>15</v>
      </c>
      <c r="P606" s="117"/>
      <c r="Q606" s="407">
        <v>46038</v>
      </c>
      <c r="R606" s="40" t="s">
        <v>445</v>
      </c>
      <c r="S606" s="208"/>
      <c r="T606" s="357"/>
      <c r="U606" s="84"/>
      <c r="V606" s="84"/>
      <c r="W606" s="84"/>
      <c r="X606" s="84"/>
      <c r="Y606" s="84"/>
      <c r="Z606" s="84"/>
      <c r="AA606" s="81"/>
      <c r="AB606" s="81"/>
      <c r="AC606" s="81"/>
      <c r="AD606" s="81"/>
      <c r="AE606" s="81"/>
      <c r="AF606" s="81"/>
      <c r="AG606" s="81"/>
    </row>
    <row r="607" spans="1:33" ht="15.75" customHeight="1" x14ac:dyDescent="0.3">
      <c r="A607" s="104"/>
      <c r="B607" s="104"/>
      <c r="C607" s="130">
        <f t="shared" ca="1" si="8"/>
        <v>588</v>
      </c>
      <c r="D607" s="636"/>
      <c r="E607" s="636"/>
      <c r="F607" s="567" t="s">
        <v>459</v>
      </c>
      <c r="G607" s="219" t="s">
        <v>455</v>
      </c>
      <c r="H607" s="243"/>
      <c r="I607" s="608"/>
      <c r="J607" s="172" t="s">
        <v>375</v>
      </c>
      <c r="K607" s="226" t="s">
        <v>371</v>
      </c>
      <c r="L607" s="141" t="s">
        <v>15</v>
      </c>
      <c r="M607" s="193">
        <v>46042</v>
      </c>
      <c r="N607" s="194" t="s">
        <v>4</v>
      </c>
      <c r="O607" s="141" t="s">
        <v>15</v>
      </c>
      <c r="P607" s="117"/>
      <c r="Q607" s="407">
        <v>46038</v>
      </c>
      <c r="R607" s="40" t="s">
        <v>445</v>
      </c>
      <c r="S607" s="208"/>
      <c r="T607" s="357"/>
      <c r="U607" s="84"/>
      <c r="V607" s="84"/>
      <c r="W607" s="84"/>
      <c r="X607" s="84"/>
      <c r="Y607" s="84"/>
      <c r="Z607" s="84"/>
      <c r="AA607" s="81"/>
      <c r="AB607" s="81"/>
      <c r="AC607" s="81"/>
      <c r="AD607" s="81"/>
      <c r="AE607" s="81"/>
      <c r="AF607" s="81"/>
      <c r="AG607" s="81"/>
    </row>
    <row r="608" spans="1:33" ht="15.75" customHeight="1" x14ac:dyDescent="0.3">
      <c r="A608" s="104"/>
      <c r="B608" s="104"/>
      <c r="C608" s="130">
        <f t="shared" ca="1" si="8"/>
        <v>589</v>
      </c>
      <c r="D608" s="636"/>
      <c r="E608" s="636"/>
      <c r="F608" s="567" t="s">
        <v>459</v>
      </c>
      <c r="G608" s="219" t="s">
        <v>448</v>
      </c>
      <c r="H608" s="243"/>
      <c r="I608" s="172" t="s">
        <v>3013</v>
      </c>
      <c r="J608" s="172" t="s">
        <v>365</v>
      </c>
      <c r="K608" s="245" t="s">
        <v>2590</v>
      </c>
      <c r="L608" s="141" t="s">
        <v>15</v>
      </c>
      <c r="M608" s="193">
        <v>46042</v>
      </c>
      <c r="N608" s="194" t="s">
        <v>4</v>
      </c>
      <c r="O608" s="141" t="s">
        <v>158</v>
      </c>
      <c r="P608" s="117" t="s">
        <v>211</v>
      </c>
      <c r="Q608" s="407">
        <v>46038</v>
      </c>
      <c r="R608" s="40" t="s">
        <v>445</v>
      </c>
      <c r="S608" s="208" t="s">
        <v>3014</v>
      </c>
      <c r="T608" s="357"/>
      <c r="U608" s="84"/>
      <c r="V608" s="84"/>
      <c r="W608" s="84"/>
      <c r="X608" s="84"/>
      <c r="Y608" s="84"/>
      <c r="Z608" s="84"/>
      <c r="AA608" s="81"/>
      <c r="AB608" s="81"/>
      <c r="AC608" s="81"/>
      <c r="AD608" s="81"/>
      <c r="AE608" s="81"/>
      <c r="AF608" s="81"/>
      <c r="AG608" s="81"/>
    </row>
    <row r="609" spans="1:33" ht="15.75" customHeight="1" x14ac:dyDescent="0.3">
      <c r="A609" s="104"/>
      <c r="B609" s="104"/>
      <c r="C609" s="130">
        <f t="shared" ca="1" si="8"/>
        <v>590</v>
      </c>
      <c r="D609" s="636"/>
      <c r="E609" s="636"/>
      <c r="F609" s="567" t="s">
        <v>459</v>
      </c>
      <c r="G609" s="219" t="s">
        <v>448</v>
      </c>
      <c r="H609" s="243"/>
      <c r="I609" s="172" t="s">
        <v>3015</v>
      </c>
      <c r="J609" s="172" t="s">
        <v>365</v>
      </c>
      <c r="K609" s="245" t="s">
        <v>3005</v>
      </c>
      <c r="L609" s="141" t="s">
        <v>15</v>
      </c>
      <c r="M609" s="193">
        <v>46042</v>
      </c>
      <c r="N609" s="194" t="s">
        <v>4</v>
      </c>
      <c r="O609" s="141" t="s">
        <v>15</v>
      </c>
      <c r="P609" s="117"/>
      <c r="Q609" s="407">
        <v>46038</v>
      </c>
      <c r="R609" s="40" t="s">
        <v>445</v>
      </c>
      <c r="S609" s="208"/>
      <c r="T609" s="357"/>
      <c r="U609" s="84"/>
      <c r="V609" s="84"/>
      <c r="W609" s="84"/>
      <c r="X609" s="84"/>
      <c r="Y609" s="84"/>
      <c r="Z609" s="84"/>
      <c r="AA609" s="81"/>
      <c r="AB609" s="81"/>
      <c r="AC609" s="81"/>
      <c r="AD609" s="81"/>
      <c r="AE609" s="81"/>
      <c r="AF609" s="81"/>
      <c r="AG609" s="81"/>
    </row>
    <row r="610" spans="1:33" ht="15.75" customHeight="1" x14ac:dyDescent="0.3">
      <c r="A610" s="104"/>
      <c r="B610" s="104"/>
      <c r="C610" s="130">
        <f t="shared" ca="1" si="8"/>
        <v>591</v>
      </c>
      <c r="D610" s="636"/>
      <c r="E610" s="636"/>
      <c r="F610" s="567" t="s">
        <v>459</v>
      </c>
      <c r="G610" s="219" t="s">
        <v>448</v>
      </c>
      <c r="H610" s="243"/>
      <c r="I610" s="172" t="s">
        <v>3016</v>
      </c>
      <c r="J610" s="172" t="s">
        <v>365</v>
      </c>
      <c r="K610" s="245" t="s">
        <v>3007</v>
      </c>
      <c r="L610" s="141" t="s">
        <v>15</v>
      </c>
      <c r="M610" s="193">
        <v>46042</v>
      </c>
      <c r="N610" s="194" t="s">
        <v>4</v>
      </c>
      <c r="O610" s="141" t="s">
        <v>158</v>
      </c>
      <c r="P610" s="117" t="s">
        <v>211</v>
      </c>
      <c r="Q610" s="407">
        <v>46038</v>
      </c>
      <c r="R610" s="40" t="s">
        <v>445</v>
      </c>
      <c r="S610" s="208" t="s">
        <v>3017</v>
      </c>
      <c r="T610" s="357"/>
      <c r="U610" s="84"/>
      <c r="V610" s="84"/>
      <c r="W610" s="84"/>
      <c r="X610" s="84"/>
      <c r="Y610" s="84"/>
      <c r="Z610" s="84"/>
      <c r="AA610" s="81"/>
      <c r="AB610" s="81"/>
      <c r="AC610" s="81"/>
      <c r="AD610" s="81"/>
      <c r="AE610" s="81"/>
      <c r="AF610" s="81"/>
      <c r="AG610" s="81"/>
    </row>
    <row r="611" spans="1:33" ht="15.75" customHeight="1" x14ac:dyDescent="0.3">
      <c r="A611" s="104"/>
      <c r="B611" s="104"/>
      <c r="C611" s="130">
        <f t="shared" ca="1" si="8"/>
        <v>592</v>
      </c>
      <c r="D611" s="636"/>
      <c r="E611" s="636"/>
      <c r="F611" s="567" t="s">
        <v>459</v>
      </c>
      <c r="G611" s="219" t="s">
        <v>448</v>
      </c>
      <c r="H611" s="243"/>
      <c r="I611" s="172" t="s">
        <v>3018</v>
      </c>
      <c r="J611" s="172" t="s">
        <v>365</v>
      </c>
      <c r="K611" s="245" t="s">
        <v>3010</v>
      </c>
      <c r="L611" s="141" t="s">
        <v>15</v>
      </c>
      <c r="M611" s="193">
        <v>46042</v>
      </c>
      <c r="N611" s="194" t="s">
        <v>4</v>
      </c>
      <c r="O611" s="141" t="s">
        <v>15</v>
      </c>
      <c r="P611" s="117"/>
      <c r="Q611" s="407">
        <v>46038</v>
      </c>
      <c r="R611" s="40" t="s">
        <v>445</v>
      </c>
      <c r="S611" s="208"/>
      <c r="T611" s="357"/>
      <c r="U611" s="84"/>
      <c r="V611" s="84"/>
      <c r="W611" s="84"/>
      <c r="X611" s="84"/>
      <c r="Y611" s="84"/>
      <c r="Z611" s="84"/>
      <c r="AA611" s="81"/>
      <c r="AB611" s="81"/>
      <c r="AC611" s="81"/>
      <c r="AD611" s="81"/>
      <c r="AE611" s="81"/>
      <c r="AF611" s="81"/>
      <c r="AG611" s="81"/>
    </row>
    <row r="612" spans="1:33" ht="15.75" customHeight="1" x14ac:dyDescent="0.3">
      <c r="A612" s="104"/>
      <c r="B612" s="104"/>
      <c r="C612" s="130">
        <f t="shared" ca="1" si="8"/>
        <v>593</v>
      </c>
      <c r="D612" s="635"/>
      <c r="E612" s="635"/>
      <c r="F612" s="567" t="s">
        <v>459</v>
      </c>
      <c r="G612" s="219" t="s">
        <v>448</v>
      </c>
      <c r="H612" s="243"/>
      <c r="I612" s="172" t="s">
        <v>3019</v>
      </c>
      <c r="J612" s="172" t="s">
        <v>365</v>
      </c>
      <c r="K612" s="245" t="s">
        <v>3012</v>
      </c>
      <c r="L612" s="141" t="s">
        <v>15</v>
      </c>
      <c r="M612" s="193">
        <v>46042</v>
      </c>
      <c r="N612" s="194" t="s">
        <v>4</v>
      </c>
      <c r="O612" s="141" t="s">
        <v>15</v>
      </c>
      <c r="P612" s="117"/>
      <c r="Q612" s="407">
        <v>46038</v>
      </c>
      <c r="R612" s="40" t="s">
        <v>445</v>
      </c>
      <c r="S612" s="208"/>
      <c r="T612" s="357"/>
      <c r="U612" s="84"/>
      <c r="V612" s="84"/>
      <c r="W612" s="84"/>
      <c r="X612" s="84"/>
      <c r="Y612" s="84"/>
      <c r="Z612" s="84"/>
      <c r="AA612" s="81"/>
      <c r="AB612" s="81"/>
      <c r="AC612" s="81"/>
      <c r="AD612" s="81"/>
      <c r="AE612" s="81"/>
      <c r="AF612" s="81"/>
      <c r="AG612" s="81"/>
    </row>
    <row r="613" spans="1:33" ht="15.75" customHeight="1" x14ac:dyDescent="0.3">
      <c r="A613" s="104"/>
      <c r="B613" s="104"/>
      <c r="C613" s="130">
        <f t="shared" ca="1" si="8"/>
        <v>594</v>
      </c>
      <c r="D613" s="658" t="s">
        <v>354</v>
      </c>
      <c r="E613" s="251" t="s">
        <v>257</v>
      </c>
      <c r="F613" s="567" t="s">
        <v>457</v>
      </c>
      <c r="G613" s="219" t="s">
        <v>448</v>
      </c>
      <c r="H613" s="243"/>
      <c r="I613" s="172"/>
      <c r="J613" s="172" t="s">
        <v>261</v>
      </c>
      <c r="K613" s="245" t="s">
        <v>3020</v>
      </c>
      <c r="L613" s="141" t="s">
        <v>15</v>
      </c>
      <c r="M613" s="193">
        <v>46042</v>
      </c>
      <c r="N613" s="194" t="s">
        <v>4</v>
      </c>
      <c r="O613" s="141" t="s">
        <v>15</v>
      </c>
      <c r="P613" s="117"/>
      <c r="Q613" s="407">
        <v>46038</v>
      </c>
      <c r="R613" s="40" t="s">
        <v>445</v>
      </c>
      <c r="S613" s="208"/>
      <c r="T613" s="357"/>
      <c r="U613" s="84"/>
      <c r="V613" s="84"/>
      <c r="W613" s="84"/>
      <c r="X613" s="84"/>
      <c r="Y613" s="84"/>
      <c r="Z613" s="84"/>
      <c r="AA613" s="81"/>
      <c r="AB613" s="81"/>
      <c r="AC613" s="81"/>
      <c r="AD613" s="81"/>
      <c r="AE613" s="81"/>
      <c r="AF613" s="81"/>
      <c r="AG613" s="81"/>
    </row>
    <row r="614" spans="1:33" ht="15.75" customHeight="1" x14ac:dyDescent="0.3">
      <c r="A614" s="104"/>
      <c r="B614" s="104"/>
      <c r="C614" s="130">
        <f t="shared" ca="1" si="8"/>
        <v>595</v>
      </c>
      <c r="D614" s="636"/>
      <c r="E614" s="665" t="s">
        <v>237</v>
      </c>
      <c r="F614" s="567" t="s">
        <v>459</v>
      </c>
      <c r="G614" s="219" t="s">
        <v>448</v>
      </c>
      <c r="H614" s="243"/>
      <c r="I614" s="213" t="s">
        <v>364</v>
      </c>
      <c r="J614" s="172" t="s">
        <v>365</v>
      </c>
      <c r="K614" s="245" t="s">
        <v>3021</v>
      </c>
      <c r="L614" s="141" t="s">
        <v>15</v>
      </c>
      <c r="M614" s="193">
        <v>46042</v>
      </c>
      <c r="N614" s="194" t="s">
        <v>4</v>
      </c>
      <c r="O614" s="141" t="s">
        <v>15</v>
      </c>
      <c r="P614" s="117"/>
      <c r="Q614" s="407">
        <v>46038</v>
      </c>
      <c r="R614" s="40" t="s">
        <v>445</v>
      </c>
      <c r="S614" s="208"/>
      <c r="T614" s="357"/>
      <c r="U614" s="84"/>
      <c r="V614" s="84"/>
      <c r="W614" s="84"/>
      <c r="X614" s="84"/>
      <c r="Y614" s="84"/>
      <c r="Z614" s="84"/>
      <c r="AA614" s="81"/>
      <c r="AB614" s="81"/>
      <c r="AC614" s="81"/>
      <c r="AD614" s="81"/>
      <c r="AE614" s="81"/>
      <c r="AF614" s="81"/>
      <c r="AG614" s="81"/>
    </row>
    <row r="615" spans="1:33" ht="15.75" customHeight="1" x14ac:dyDescent="0.3">
      <c r="A615" s="104"/>
      <c r="B615" s="104"/>
      <c r="C615" s="130">
        <f t="shared" ca="1" si="8"/>
        <v>596</v>
      </c>
      <c r="D615" s="636"/>
      <c r="E615" s="636"/>
      <c r="F615" s="567" t="s">
        <v>459</v>
      </c>
      <c r="G615" s="219" t="s">
        <v>448</v>
      </c>
      <c r="H615" s="243"/>
      <c r="I615" s="172" t="s">
        <v>3022</v>
      </c>
      <c r="J615" s="172" t="s">
        <v>365</v>
      </c>
      <c r="K615" s="245" t="s">
        <v>2590</v>
      </c>
      <c r="L615" s="141" t="s">
        <v>15</v>
      </c>
      <c r="M615" s="193">
        <v>46042</v>
      </c>
      <c r="N615" s="194" t="s">
        <v>4</v>
      </c>
      <c r="O615" s="141" t="s">
        <v>158</v>
      </c>
      <c r="P615" s="117" t="s">
        <v>211</v>
      </c>
      <c r="Q615" s="407">
        <v>46038</v>
      </c>
      <c r="R615" s="40" t="s">
        <v>445</v>
      </c>
      <c r="S615" s="208" t="s">
        <v>3023</v>
      </c>
      <c r="T615" s="357"/>
      <c r="U615" s="84"/>
      <c r="V615" s="84"/>
      <c r="W615" s="84"/>
      <c r="X615" s="84"/>
      <c r="Y615" s="84"/>
      <c r="Z615" s="84"/>
      <c r="AA615" s="81"/>
      <c r="AB615" s="81"/>
      <c r="AC615" s="81"/>
      <c r="AD615" s="81"/>
      <c r="AE615" s="81"/>
      <c r="AF615" s="81"/>
      <c r="AG615" s="81"/>
    </row>
    <row r="616" spans="1:33" ht="15.75" customHeight="1" x14ac:dyDescent="0.3">
      <c r="A616" s="104"/>
      <c r="B616" s="104"/>
      <c r="C616" s="130">
        <f t="shared" ca="1" si="8"/>
        <v>597</v>
      </c>
      <c r="D616" s="636"/>
      <c r="E616" s="636"/>
      <c r="F616" s="567" t="s">
        <v>459</v>
      </c>
      <c r="G616" s="219" t="s">
        <v>448</v>
      </c>
      <c r="H616" s="243"/>
      <c r="I616" s="172" t="s">
        <v>3024</v>
      </c>
      <c r="J616" s="172" t="s">
        <v>365</v>
      </c>
      <c r="K616" s="245" t="s">
        <v>3025</v>
      </c>
      <c r="L616" s="141" t="s">
        <v>15</v>
      </c>
      <c r="M616" s="193">
        <v>46042</v>
      </c>
      <c r="N616" s="194" t="s">
        <v>4</v>
      </c>
      <c r="O616" s="141" t="s">
        <v>15</v>
      </c>
      <c r="P616" s="117"/>
      <c r="Q616" s="407">
        <v>46038</v>
      </c>
      <c r="R616" s="40" t="s">
        <v>445</v>
      </c>
      <c r="S616" s="208"/>
      <c r="T616" s="357"/>
      <c r="U616" s="84"/>
      <c r="V616" s="84"/>
      <c r="W616" s="84"/>
      <c r="X616" s="84"/>
      <c r="Y616" s="84"/>
      <c r="Z616" s="84"/>
      <c r="AA616" s="81"/>
      <c r="AB616" s="81"/>
      <c r="AC616" s="81"/>
      <c r="AD616" s="81"/>
      <c r="AE616" s="81"/>
      <c r="AF616" s="81"/>
      <c r="AG616" s="81"/>
    </row>
    <row r="617" spans="1:33" ht="15.75" customHeight="1" x14ac:dyDescent="0.3">
      <c r="A617" s="104"/>
      <c r="B617" s="104"/>
      <c r="C617" s="130">
        <f t="shared" ca="1" si="8"/>
        <v>598</v>
      </c>
      <c r="D617" s="636"/>
      <c r="E617" s="636"/>
      <c r="F617" s="567" t="s">
        <v>459</v>
      </c>
      <c r="G617" s="219" t="s">
        <v>448</v>
      </c>
      <c r="H617" s="243"/>
      <c r="I617" s="172" t="s">
        <v>3026</v>
      </c>
      <c r="J617" s="172" t="s">
        <v>365</v>
      </c>
      <c r="K617" s="245" t="s">
        <v>3027</v>
      </c>
      <c r="L617" s="141" t="s">
        <v>15</v>
      </c>
      <c r="M617" s="193">
        <v>46042</v>
      </c>
      <c r="N617" s="194" t="s">
        <v>4</v>
      </c>
      <c r="O617" s="141" t="s">
        <v>158</v>
      </c>
      <c r="P617" s="117" t="s">
        <v>211</v>
      </c>
      <c r="Q617" s="407">
        <v>46038</v>
      </c>
      <c r="R617" s="40" t="s">
        <v>445</v>
      </c>
      <c r="S617" s="208" t="s">
        <v>3028</v>
      </c>
      <c r="T617" s="357"/>
      <c r="U617" s="84"/>
      <c r="V617" s="84"/>
      <c r="W617" s="84"/>
      <c r="X617" s="84"/>
      <c r="Y617" s="84"/>
      <c r="Z617" s="84"/>
      <c r="AA617" s="81"/>
      <c r="AB617" s="81"/>
      <c r="AC617" s="81"/>
      <c r="AD617" s="81"/>
      <c r="AE617" s="81"/>
      <c r="AF617" s="81"/>
      <c r="AG617" s="81"/>
    </row>
    <row r="618" spans="1:33" ht="15.75" customHeight="1" x14ac:dyDescent="0.3">
      <c r="A618" s="104"/>
      <c r="B618" s="104"/>
      <c r="C618" s="130">
        <f t="shared" ca="1" si="8"/>
        <v>599</v>
      </c>
      <c r="D618" s="636"/>
      <c r="E618" s="636"/>
      <c r="F618" s="567" t="s">
        <v>459</v>
      </c>
      <c r="G618" s="219" t="s">
        <v>448</v>
      </c>
      <c r="H618" s="243"/>
      <c r="I618" s="172" t="s">
        <v>3029</v>
      </c>
      <c r="J618" s="172" t="s">
        <v>365</v>
      </c>
      <c r="K618" s="245" t="s">
        <v>3030</v>
      </c>
      <c r="L618" s="141" t="s">
        <v>15</v>
      </c>
      <c r="M618" s="193">
        <v>46042</v>
      </c>
      <c r="N618" s="194" t="s">
        <v>4</v>
      </c>
      <c r="O618" s="141" t="s">
        <v>15</v>
      </c>
      <c r="P618" s="117"/>
      <c r="Q618" s="407">
        <v>46038</v>
      </c>
      <c r="R618" s="40" t="s">
        <v>445</v>
      </c>
      <c r="S618" s="208"/>
      <c r="T618" s="357"/>
      <c r="U618" s="84"/>
      <c r="V618" s="84"/>
      <c r="W618" s="84"/>
      <c r="X618" s="84"/>
      <c r="Y618" s="84"/>
      <c r="Z618" s="84"/>
      <c r="AA618" s="81"/>
      <c r="AB618" s="81"/>
      <c r="AC618" s="81"/>
      <c r="AD618" s="81"/>
      <c r="AE618" s="81"/>
      <c r="AF618" s="81"/>
      <c r="AG618" s="81"/>
    </row>
    <row r="619" spans="1:33" ht="15.75" customHeight="1" x14ac:dyDescent="0.3">
      <c r="A619" s="104"/>
      <c r="B619" s="104"/>
      <c r="C619" s="130">
        <f t="shared" ca="1" si="8"/>
        <v>600</v>
      </c>
      <c r="D619" s="636"/>
      <c r="E619" s="636"/>
      <c r="F619" s="567" t="s">
        <v>459</v>
      </c>
      <c r="G619" s="219" t="s">
        <v>448</v>
      </c>
      <c r="H619" s="243"/>
      <c r="I619" s="172" t="s">
        <v>3031</v>
      </c>
      <c r="J619" s="172" t="s">
        <v>365</v>
      </c>
      <c r="K619" s="245" t="s">
        <v>3032</v>
      </c>
      <c r="L619" s="141" t="s">
        <v>15</v>
      </c>
      <c r="M619" s="193">
        <v>46042</v>
      </c>
      <c r="N619" s="194" t="s">
        <v>4</v>
      </c>
      <c r="O619" s="141" t="s">
        <v>15</v>
      </c>
      <c r="P619" s="117"/>
      <c r="Q619" s="407">
        <v>46038</v>
      </c>
      <c r="R619" s="40" t="s">
        <v>445</v>
      </c>
      <c r="S619" s="208"/>
      <c r="T619" s="357"/>
      <c r="U619" s="84"/>
      <c r="V619" s="84"/>
      <c r="W619" s="84"/>
      <c r="X619" s="84"/>
      <c r="Y619" s="84"/>
      <c r="Z619" s="84"/>
      <c r="AA619" s="81"/>
      <c r="AB619" s="81"/>
      <c r="AC619" s="81"/>
      <c r="AD619" s="81"/>
      <c r="AE619" s="81"/>
      <c r="AF619" s="81"/>
      <c r="AG619" s="81"/>
    </row>
    <row r="620" spans="1:33" ht="15.75" customHeight="1" x14ac:dyDescent="0.3">
      <c r="A620" s="104"/>
      <c r="B620" s="104"/>
      <c r="C620" s="130">
        <f t="shared" ca="1" si="8"/>
        <v>601</v>
      </c>
      <c r="D620" s="636"/>
      <c r="E620" s="636"/>
      <c r="F620" s="567" t="s">
        <v>459</v>
      </c>
      <c r="G620" s="219" t="s">
        <v>455</v>
      </c>
      <c r="H620" s="243"/>
      <c r="I620" s="210"/>
      <c r="J620" s="172" t="s">
        <v>310</v>
      </c>
      <c r="K620" s="226" t="s">
        <v>371</v>
      </c>
      <c r="L620" s="141" t="s">
        <v>15</v>
      </c>
      <c r="M620" s="193">
        <v>46042</v>
      </c>
      <c r="N620" s="194" t="s">
        <v>4</v>
      </c>
      <c r="O620" s="141" t="s">
        <v>15</v>
      </c>
      <c r="P620" s="117"/>
      <c r="Q620" s="407">
        <v>46038</v>
      </c>
      <c r="R620" s="40" t="s">
        <v>445</v>
      </c>
      <c r="S620" s="208"/>
      <c r="T620" s="357"/>
      <c r="U620" s="84"/>
      <c r="V620" s="84"/>
      <c r="W620" s="84"/>
      <c r="X620" s="84"/>
      <c r="Y620" s="84"/>
      <c r="Z620" s="84"/>
      <c r="AA620" s="81"/>
      <c r="AB620" s="81"/>
      <c r="AC620" s="81"/>
      <c r="AD620" s="81"/>
      <c r="AE620" s="81"/>
      <c r="AF620" s="81"/>
      <c r="AG620" s="81"/>
    </row>
    <row r="621" spans="1:33" ht="15.75" customHeight="1" x14ac:dyDescent="0.3">
      <c r="A621" s="104"/>
      <c r="B621" s="104"/>
      <c r="C621" s="130">
        <f t="shared" ca="1" si="8"/>
        <v>602</v>
      </c>
      <c r="D621" s="636"/>
      <c r="E621" s="636"/>
      <c r="F621" s="567" t="s">
        <v>459</v>
      </c>
      <c r="G621" s="219" t="s">
        <v>448</v>
      </c>
      <c r="H621" s="243"/>
      <c r="I621" s="213" t="s">
        <v>372</v>
      </c>
      <c r="J621" s="172" t="s">
        <v>311</v>
      </c>
      <c r="K621" s="245" t="s">
        <v>373</v>
      </c>
      <c r="L621" s="141" t="s">
        <v>15</v>
      </c>
      <c r="M621" s="193">
        <v>46042</v>
      </c>
      <c r="N621" s="194" t="s">
        <v>4</v>
      </c>
      <c r="O621" s="141" t="s">
        <v>15</v>
      </c>
      <c r="P621" s="117"/>
      <c r="Q621" s="407">
        <v>46038</v>
      </c>
      <c r="R621" s="40" t="s">
        <v>445</v>
      </c>
      <c r="S621" s="208"/>
      <c r="T621" s="357"/>
      <c r="U621" s="84"/>
      <c r="V621" s="84"/>
      <c r="W621" s="84"/>
      <c r="X621" s="84"/>
      <c r="Y621" s="84"/>
      <c r="Z621" s="84"/>
      <c r="AA621" s="81"/>
      <c r="AB621" s="81"/>
      <c r="AC621" s="81"/>
      <c r="AD621" s="81"/>
      <c r="AE621" s="81"/>
      <c r="AF621" s="81"/>
      <c r="AG621" s="81"/>
    </row>
    <row r="622" spans="1:33" ht="15.75" customHeight="1" x14ac:dyDescent="0.3">
      <c r="A622" s="104"/>
      <c r="B622" s="104"/>
      <c r="C622" s="130">
        <f t="shared" ca="1" si="8"/>
        <v>603</v>
      </c>
      <c r="D622" s="636"/>
      <c r="E622" s="636"/>
      <c r="F622" s="567" t="s">
        <v>459</v>
      </c>
      <c r="G622" s="219" t="s">
        <v>448</v>
      </c>
      <c r="H622" s="243"/>
      <c r="I622" s="569"/>
      <c r="J622" s="172" t="s">
        <v>313</v>
      </c>
      <c r="K622" s="245" t="s">
        <v>2599</v>
      </c>
      <c r="L622" s="141" t="s">
        <v>15</v>
      </c>
      <c r="M622" s="193">
        <v>46042</v>
      </c>
      <c r="N622" s="194" t="s">
        <v>4</v>
      </c>
      <c r="O622" s="141" t="s">
        <v>15</v>
      </c>
      <c r="P622" s="117"/>
      <c r="Q622" s="407">
        <v>46038</v>
      </c>
      <c r="R622" s="40" t="s">
        <v>445</v>
      </c>
      <c r="S622" s="208"/>
      <c r="T622" s="357"/>
      <c r="U622" s="84"/>
      <c r="V622" s="84"/>
      <c r="W622" s="84"/>
      <c r="X622" s="84"/>
      <c r="Y622" s="84"/>
      <c r="Z622" s="84"/>
      <c r="AA622" s="81"/>
      <c r="AB622" s="81"/>
      <c r="AC622" s="81"/>
      <c r="AD622" s="81"/>
      <c r="AE622" s="81"/>
      <c r="AF622" s="81"/>
      <c r="AG622" s="81"/>
    </row>
    <row r="623" spans="1:33" ht="15.75" customHeight="1" x14ac:dyDescent="0.3">
      <c r="A623" s="104"/>
      <c r="B623" s="104"/>
      <c r="C623" s="130">
        <f t="shared" ca="1" si="8"/>
        <v>604</v>
      </c>
      <c r="D623" s="636"/>
      <c r="E623" s="636"/>
      <c r="F623" s="567" t="s">
        <v>459</v>
      </c>
      <c r="G623" s="219" t="s">
        <v>455</v>
      </c>
      <c r="H623" s="243"/>
      <c r="I623" s="210"/>
      <c r="J623" s="172" t="s">
        <v>375</v>
      </c>
      <c r="K623" s="226" t="s">
        <v>371</v>
      </c>
      <c r="L623" s="141" t="s">
        <v>15</v>
      </c>
      <c r="M623" s="193">
        <v>46042</v>
      </c>
      <c r="N623" s="194" t="s">
        <v>4</v>
      </c>
      <c r="O623" s="141" t="s">
        <v>15</v>
      </c>
      <c r="P623" s="117"/>
      <c r="Q623" s="407">
        <v>46038</v>
      </c>
      <c r="R623" s="40" t="s">
        <v>445</v>
      </c>
      <c r="S623" s="208"/>
      <c r="T623" s="357"/>
      <c r="U623" s="84"/>
      <c r="V623" s="84"/>
      <c r="W623" s="84"/>
      <c r="X623" s="84"/>
      <c r="Y623" s="84"/>
      <c r="Z623" s="84"/>
      <c r="AA623" s="81"/>
      <c r="AB623" s="81"/>
      <c r="AC623" s="81"/>
      <c r="AD623" s="81"/>
      <c r="AE623" s="81"/>
      <c r="AF623" s="81"/>
      <c r="AG623" s="81"/>
    </row>
    <row r="624" spans="1:33" ht="15.75" customHeight="1" x14ac:dyDescent="0.3">
      <c r="A624" s="104"/>
      <c r="B624" s="104"/>
      <c r="C624" s="130">
        <f t="shared" ca="1" si="8"/>
        <v>605</v>
      </c>
      <c r="D624" s="636"/>
      <c r="E624" s="636"/>
      <c r="F624" s="567" t="s">
        <v>459</v>
      </c>
      <c r="G624" s="219" t="s">
        <v>448</v>
      </c>
      <c r="H624" s="243"/>
      <c r="I624" s="172" t="s">
        <v>3033</v>
      </c>
      <c r="J624" s="172" t="s">
        <v>365</v>
      </c>
      <c r="K624" s="245" t="s">
        <v>2590</v>
      </c>
      <c r="L624" s="141" t="s">
        <v>15</v>
      </c>
      <c r="M624" s="193">
        <v>46042</v>
      </c>
      <c r="N624" s="194" t="s">
        <v>4</v>
      </c>
      <c r="O624" s="141" t="s">
        <v>158</v>
      </c>
      <c r="P624" s="117" t="s">
        <v>211</v>
      </c>
      <c r="Q624" s="407">
        <v>46038</v>
      </c>
      <c r="R624" s="40" t="s">
        <v>445</v>
      </c>
      <c r="S624" s="208" t="s">
        <v>3034</v>
      </c>
      <c r="T624" s="357"/>
      <c r="U624" s="84"/>
      <c r="V624" s="84"/>
      <c r="W624" s="84"/>
      <c r="X624" s="84"/>
      <c r="Y624" s="84"/>
      <c r="Z624" s="84"/>
      <c r="AA624" s="81"/>
      <c r="AB624" s="81"/>
      <c r="AC624" s="81"/>
      <c r="AD624" s="81"/>
      <c r="AE624" s="81"/>
      <c r="AF624" s="81"/>
      <c r="AG624" s="81"/>
    </row>
    <row r="625" spans="1:33" ht="15.75" customHeight="1" x14ac:dyDescent="0.3">
      <c r="A625" s="104"/>
      <c r="B625" s="104"/>
      <c r="C625" s="130">
        <f t="shared" ca="1" si="8"/>
        <v>606</v>
      </c>
      <c r="D625" s="636"/>
      <c r="E625" s="636"/>
      <c r="F625" s="567" t="s">
        <v>459</v>
      </c>
      <c r="G625" s="219" t="s">
        <v>448</v>
      </c>
      <c r="H625" s="243"/>
      <c r="I625" s="172" t="s">
        <v>3035</v>
      </c>
      <c r="J625" s="172" t="s">
        <v>365</v>
      </c>
      <c r="K625" s="245" t="s">
        <v>3025</v>
      </c>
      <c r="L625" s="141" t="s">
        <v>15</v>
      </c>
      <c r="M625" s="193">
        <v>46042</v>
      </c>
      <c r="N625" s="194" t="s">
        <v>4</v>
      </c>
      <c r="O625" s="141" t="s">
        <v>15</v>
      </c>
      <c r="P625" s="117"/>
      <c r="Q625" s="407">
        <v>46038</v>
      </c>
      <c r="R625" s="40" t="s">
        <v>445</v>
      </c>
      <c r="S625" s="208"/>
      <c r="T625" s="357"/>
      <c r="U625" s="84"/>
      <c r="V625" s="84"/>
      <c r="W625" s="84"/>
      <c r="X625" s="84"/>
      <c r="Y625" s="84"/>
      <c r="Z625" s="84"/>
      <c r="AA625" s="81"/>
      <c r="AB625" s="81"/>
      <c r="AC625" s="81"/>
      <c r="AD625" s="81"/>
      <c r="AE625" s="81"/>
      <c r="AF625" s="81"/>
      <c r="AG625" s="81"/>
    </row>
    <row r="626" spans="1:33" ht="15.75" customHeight="1" x14ac:dyDescent="0.3">
      <c r="A626" s="104"/>
      <c r="B626" s="104"/>
      <c r="C626" s="130">
        <f t="shared" ca="1" si="8"/>
        <v>607</v>
      </c>
      <c r="D626" s="636"/>
      <c r="E626" s="636"/>
      <c r="F626" s="567" t="s">
        <v>459</v>
      </c>
      <c r="G626" s="219" t="s">
        <v>448</v>
      </c>
      <c r="H626" s="243"/>
      <c r="I626" s="172" t="s">
        <v>3036</v>
      </c>
      <c r="J626" s="172" t="s">
        <v>365</v>
      </c>
      <c r="K626" s="245" t="s">
        <v>3027</v>
      </c>
      <c r="L626" s="141" t="s">
        <v>15</v>
      </c>
      <c r="M626" s="193">
        <v>46042</v>
      </c>
      <c r="N626" s="194" t="s">
        <v>4</v>
      </c>
      <c r="O626" s="141" t="s">
        <v>158</v>
      </c>
      <c r="P626" s="117" t="s">
        <v>211</v>
      </c>
      <c r="Q626" s="407">
        <v>46038</v>
      </c>
      <c r="R626" s="40" t="s">
        <v>445</v>
      </c>
      <c r="S626" s="208" t="s">
        <v>3037</v>
      </c>
      <c r="T626" s="357"/>
      <c r="U626" s="84"/>
      <c r="V626" s="84"/>
      <c r="W626" s="84"/>
      <c r="X626" s="84"/>
      <c r="Y626" s="84"/>
      <c r="Z626" s="84"/>
      <c r="AA626" s="81"/>
      <c r="AB626" s="81"/>
      <c r="AC626" s="81"/>
      <c r="AD626" s="81"/>
      <c r="AE626" s="81"/>
      <c r="AF626" s="81"/>
      <c r="AG626" s="81"/>
    </row>
    <row r="627" spans="1:33" ht="15.75" customHeight="1" x14ac:dyDescent="0.3">
      <c r="A627" s="104"/>
      <c r="B627" s="104"/>
      <c r="C627" s="130">
        <f t="shared" ca="1" si="8"/>
        <v>608</v>
      </c>
      <c r="D627" s="636"/>
      <c r="E627" s="636"/>
      <c r="F627" s="567" t="s">
        <v>459</v>
      </c>
      <c r="G627" s="219" t="s">
        <v>448</v>
      </c>
      <c r="H627" s="243"/>
      <c r="I627" s="172" t="s">
        <v>3038</v>
      </c>
      <c r="J627" s="172" t="s">
        <v>365</v>
      </c>
      <c r="K627" s="245" t="s">
        <v>3030</v>
      </c>
      <c r="L627" s="141" t="s">
        <v>15</v>
      </c>
      <c r="M627" s="193">
        <v>46042</v>
      </c>
      <c r="N627" s="194" t="s">
        <v>4</v>
      </c>
      <c r="O627" s="141" t="s">
        <v>15</v>
      </c>
      <c r="P627" s="117"/>
      <c r="Q627" s="407">
        <v>46038</v>
      </c>
      <c r="R627" s="40" t="s">
        <v>445</v>
      </c>
      <c r="S627" s="208"/>
      <c r="T627" s="357"/>
      <c r="U627" s="84"/>
      <c r="V627" s="84"/>
      <c r="W627" s="84"/>
      <c r="X627" s="84"/>
      <c r="Y627" s="84"/>
      <c r="Z627" s="84"/>
      <c r="AA627" s="81"/>
      <c r="AB627" s="81"/>
      <c r="AC627" s="81"/>
      <c r="AD627" s="81"/>
      <c r="AE627" s="81"/>
      <c r="AF627" s="81"/>
      <c r="AG627" s="81"/>
    </row>
    <row r="628" spans="1:33" ht="15.75" customHeight="1" x14ac:dyDescent="0.3">
      <c r="A628" s="104"/>
      <c r="B628" s="104"/>
      <c r="C628" s="130">
        <f t="shared" ca="1" si="8"/>
        <v>609</v>
      </c>
      <c r="D628" s="635"/>
      <c r="E628" s="635"/>
      <c r="F628" s="567" t="s">
        <v>459</v>
      </c>
      <c r="G628" s="219" t="s">
        <v>448</v>
      </c>
      <c r="H628" s="243"/>
      <c r="I628" s="172" t="s">
        <v>3039</v>
      </c>
      <c r="J628" s="172" t="s">
        <v>365</v>
      </c>
      <c r="K628" s="245" t="s">
        <v>3032</v>
      </c>
      <c r="L628" s="141" t="s">
        <v>15</v>
      </c>
      <c r="M628" s="193">
        <v>46042</v>
      </c>
      <c r="N628" s="194" t="s">
        <v>4</v>
      </c>
      <c r="O628" s="141" t="s">
        <v>15</v>
      </c>
      <c r="P628" s="117"/>
      <c r="Q628" s="407">
        <v>46038</v>
      </c>
      <c r="R628" s="40" t="s">
        <v>445</v>
      </c>
      <c r="S628" s="208"/>
      <c r="T628" s="357"/>
      <c r="U628" s="84"/>
      <c r="V628" s="84"/>
      <c r="W628" s="84"/>
      <c r="X628" s="84"/>
      <c r="Y628" s="84"/>
      <c r="Z628" s="84"/>
      <c r="AA628" s="81"/>
      <c r="AB628" s="81"/>
      <c r="AC628" s="81"/>
      <c r="AD628" s="81"/>
      <c r="AE628" s="81"/>
      <c r="AF628" s="81"/>
      <c r="AG628" s="81"/>
    </row>
    <row r="629" spans="1:33" ht="15.75" customHeight="1" x14ac:dyDescent="0.3">
      <c r="A629" s="104"/>
      <c r="B629" s="104"/>
      <c r="C629" s="130">
        <f t="shared" ca="1" si="8"/>
        <v>610</v>
      </c>
      <c r="D629" s="658" t="s">
        <v>355</v>
      </c>
      <c r="E629" s="251" t="s">
        <v>257</v>
      </c>
      <c r="F629" s="567" t="s">
        <v>457</v>
      </c>
      <c r="G629" s="219" t="s">
        <v>448</v>
      </c>
      <c r="H629" s="243"/>
      <c r="I629" s="172"/>
      <c r="J629" s="172" t="s">
        <v>261</v>
      </c>
      <c r="K629" s="245" t="s">
        <v>3040</v>
      </c>
      <c r="L629" s="141" t="s">
        <v>15</v>
      </c>
      <c r="M629" s="193">
        <v>46042</v>
      </c>
      <c r="N629" s="194" t="s">
        <v>4</v>
      </c>
      <c r="O629" s="141" t="s">
        <v>15</v>
      </c>
      <c r="P629" s="117"/>
      <c r="Q629" s="407">
        <v>46038</v>
      </c>
      <c r="R629" s="40" t="s">
        <v>445</v>
      </c>
      <c r="S629" s="208"/>
      <c r="T629" s="357"/>
      <c r="U629" s="84"/>
      <c r="V629" s="84"/>
      <c r="W629" s="84"/>
      <c r="X629" s="84"/>
      <c r="Y629" s="84"/>
      <c r="Z629" s="84"/>
      <c r="AA629" s="81"/>
      <c r="AB629" s="81"/>
      <c r="AC629" s="81"/>
      <c r="AD629" s="81"/>
      <c r="AE629" s="81"/>
      <c r="AF629" s="81"/>
      <c r="AG629" s="81"/>
    </row>
    <row r="630" spans="1:33" ht="15.75" customHeight="1" x14ac:dyDescent="0.3">
      <c r="A630" s="104"/>
      <c r="B630" s="104"/>
      <c r="C630" s="130">
        <f t="shared" ca="1" si="8"/>
        <v>611</v>
      </c>
      <c r="D630" s="636"/>
      <c r="E630" s="665" t="s">
        <v>237</v>
      </c>
      <c r="F630" s="567" t="s">
        <v>459</v>
      </c>
      <c r="G630" s="219" t="s">
        <v>448</v>
      </c>
      <c r="H630" s="243"/>
      <c r="I630" s="213" t="s">
        <v>364</v>
      </c>
      <c r="J630" s="172" t="s">
        <v>365</v>
      </c>
      <c r="K630" s="245" t="s">
        <v>3041</v>
      </c>
      <c r="L630" s="141" t="s">
        <v>15</v>
      </c>
      <c r="M630" s="193">
        <v>46042</v>
      </c>
      <c r="N630" s="194" t="s">
        <v>4</v>
      </c>
      <c r="O630" s="141" t="s">
        <v>15</v>
      </c>
      <c r="P630" s="117"/>
      <c r="Q630" s="407">
        <v>46038</v>
      </c>
      <c r="R630" s="40" t="s">
        <v>445</v>
      </c>
      <c r="S630" s="208"/>
      <c r="T630" s="357"/>
      <c r="U630" s="84"/>
      <c r="V630" s="84"/>
      <c r="W630" s="84"/>
      <c r="X630" s="84"/>
      <c r="Y630" s="84"/>
      <c r="Z630" s="84"/>
      <c r="AA630" s="81"/>
      <c r="AB630" s="81"/>
      <c r="AC630" s="81"/>
      <c r="AD630" s="81"/>
      <c r="AE630" s="81"/>
      <c r="AF630" s="81"/>
      <c r="AG630" s="81"/>
    </row>
    <row r="631" spans="1:33" ht="15.75" customHeight="1" x14ac:dyDescent="0.3">
      <c r="A631" s="104"/>
      <c r="B631" s="104"/>
      <c r="C631" s="130">
        <f t="shared" ca="1" si="8"/>
        <v>612</v>
      </c>
      <c r="D631" s="636"/>
      <c r="E631" s="636"/>
      <c r="F631" s="567" t="s">
        <v>459</v>
      </c>
      <c r="G631" s="219" t="s">
        <v>448</v>
      </c>
      <c r="H631" s="243"/>
      <c r="I631" s="172" t="s">
        <v>3042</v>
      </c>
      <c r="J631" s="172" t="s">
        <v>365</v>
      </c>
      <c r="K631" s="245" t="s">
        <v>2590</v>
      </c>
      <c r="L631" s="141" t="s">
        <v>15</v>
      </c>
      <c r="M631" s="193">
        <v>46042</v>
      </c>
      <c r="N631" s="194" t="s">
        <v>4</v>
      </c>
      <c r="O631" s="141" t="s">
        <v>158</v>
      </c>
      <c r="P631" s="117" t="s">
        <v>211</v>
      </c>
      <c r="Q631" s="407">
        <v>46038</v>
      </c>
      <c r="R631" s="40" t="s">
        <v>445</v>
      </c>
      <c r="S631" s="208" t="s">
        <v>3043</v>
      </c>
      <c r="T631" s="357"/>
      <c r="U631" s="84"/>
      <c r="V631" s="84"/>
      <c r="W631" s="84"/>
      <c r="X631" s="84"/>
      <c r="Y631" s="84"/>
      <c r="Z631" s="84"/>
      <c r="AA631" s="81"/>
      <c r="AB631" s="81"/>
      <c r="AC631" s="81"/>
      <c r="AD631" s="81"/>
      <c r="AE631" s="81"/>
      <c r="AF631" s="81"/>
      <c r="AG631" s="81"/>
    </row>
    <row r="632" spans="1:33" ht="15.75" customHeight="1" x14ac:dyDescent="0.3">
      <c r="A632" s="104"/>
      <c r="B632" s="104"/>
      <c r="C632" s="130">
        <f t="shared" ca="1" si="8"/>
        <v>613</v>
      </c>
      <c r="D632" s="636"/>
      <c r="E632" s="636"/>
      <c r="F632" s="567" t="s">
        <v>459</v>
      </c>
      <c r="G632" s="219" t="s">
        <v>448</v>
      </c>
      <c r="H632" s="243"/>
      <c r="I632" s="172" t="s">
        <v>3044</v>
      </c>
      <c r="J632" s="172" t="s">
        <v>365</v>
      </c>
      <c r="K632" s="245" t="s">
        <v>3045</v>
      </c>
      <c r="L632" s="141" t="s">
        <v>15</v>
      </c>
      <c r="M632" s="193">
        <v>46042</v>
      </c>
      <c r="N632" s="194" t="s">
        <v>4</v>
      </c>
      <c r="O632" s="141" t="s">
        <v>15</v>
      </c>
      <c r="P632" s="117"/>
      <c r="Q632" s="407">
        <v>46038</v>
      </c>
      <c r="R632" s="40" t="s">
        <v>445</v>
      </c>
      <c r="S632" s="208"/>
      <c r="T632" s="357"/>
      <c r="U632" s="84"/>
      <c r="V632" s="84"/>
      <c r="W632" s="84"/>
      <c r="X632" s="84"/>
      <c r="Y632" s="84"/>
      <c r="Z632" s="84"/>
      <c r="AA632" s="81"/>
      <c r="AB632" s="81"/>
      <c r="AC632" s="81"/>
      <c r="AD632" s="81"/>
      <c r="AE632" s="81"/>
      <c r="AF632" s="81"/>
      <c r="AG632" s="81"/>
    </row>
    <row r="633" spans="1:33" ht="15.75" customHeight="1" x14ac:dyDescent="0.3">
      <c r="A633" s="104"/>
      <c r="B633" s="104"/>
      <c r="C633" s="130">
        <f t="shared" ca="1" si="8"/>
        <v>614</v>
      </c>
      <c r="D633" s="636"/>
      <c r="E633" s="636"/>
      <c r="F633" s="567" t="s">
        <v>459</v>
      </c>
      <c r="G633" s="219" t="s">
        <v>448</v>
      </c>
      <c r="H633" s="243"/>
      <c r="I633" s="172" t="s">
        <v>3046</v>
      </c>
      <c r="J633" s="172" t="s">
        <v>365</v>
      </c>
      <c r="K633" s="245" t="s">
        <v>3047</v>
      </c>
      <c r="L633" s="141" t="s">
        <v>15</v>
      </c>
      <c r="M633" s="193">
        <v>46042</v>
      </c>
      <c r="N633" s="194" t="s">
        <v>4</v>
      </c>
      <c r="O633" s="141" t="s">
        <v>158</v>
      </c>
      <c r="P633" s="117" t="s">
        <v>211</v>
      </c>
      <c r="Q633" s="407">
        <v>46038</v>
      </c>
      <c r="R633" s="40" t="s">
        <v>445</v>
      </c>
      <c r="S633" s="208" t="s">
        <v>3048</v>
      </c>
      <c r="T633" s="357"/>
      <c r="U633" s="84"/>
      <c r="V633" s="84"/>
      <c r="W633" s="84"/>
      <c r="X633" s="84"/>
      <c r="Y633" s="84"/>
      <c r="Z633" s="84"/>
      <c r="AA633" s="81"/>
      <c r="AB633" s="81"/>
      <c r="AC633" s="81"/>
      <c r="AD633" s="81"/>
      <c r="AE633" s="81"/>
      <c r="AF633" s="81"/>
      <c r="AG633" s="81"/>
    </row>
    <row r="634" spans="1:33" ht="15.75" customHeight="1" x14ac:dyDescent="0.3">
      <c r="A634" s="104"/>
      <c r="B634" s="104"/>
      <c r="C634" s="130">
        <f t="shared" ca="1" si="8"/>
        <v>615</v>
      </c>
      <c r="D634" s="636"/>
      <c r="E634" s="636"/>
      <c r="F634" s="567" t="s">
        <v>459</v>
      </c>
      <c r="G634" s="219" t="s">
        <v>448</v>
      </c>
      <c r="H634" s="243"/>
      <c r="I634" s="172" t="s">
        <v>3049</v>
      </c>
      <c r="J634" s="172" t="s">
        <v>365</v>
      </c>
      <c r="K634" s="245" t="s">
        <v>3050</v>
      </c>
      <c r="L634" s="141" t="s">
        <v>15</v>
      </c>
      <c r="M634" s="193">
        <v>46042</v>
      </c>
      <c r="N634" s="194" t="s">
        <v>4</v>
      </c>
      <c r="O634" s="141" t="s">
        <v>15</v>
      </c>
      <c r="P634" s="117"/>
      <c r="Q634" s="407">
        <v>46038</v>
      </c>
      <c r="R634" s="40" t="s">
        <v>445</v>
      </c>
      <c r="S634" s="208"/>
      <c r="T634" s="357"/>
      <c r="U634" s="84"/>
      <c r="V634" s="84"/>
      <c r="W634" s="84"/>
      <c r="X634" s="84"/>
      <c r="Y634" s="84"/>
      <c r="Z634" s="84"/>
      <c r="AA634" s="81"/>
      <c r="AB634" s="81"/>
      <c r="AC634" s="81"/>
      <c r="AD634" s="81"/>
      <c r="AE634" s="81"/>
      <c r="AF634" s="81"/>
      <c r="AG634" s="81"/>
    </row>
    <row r="635" spans="1:33" ht="15.75" customHeight="1" x14ac:dyDescent="0.3">
      <c r="A635" s="104"/>
      <c r="B635" s="104"/>
      <c r="C635" s="130">
        <f t="shared" ca="1" si="8"/>
        <v>616</v>
      </c>
      <c r="D635" s="636"/>
      <c r="E635" s="636"/>
      <c r="F635" s="567" t="s">
        <v>459</v>
      </c>
      <c r="G635" s="219" t="s">
        <v>448</v>
      </c>
      <c r="H635" s="243"/>
      <c r="I635" s="172" t="s">
        <v>3051</v>
      </c>
      <c r="J635" s="172" t="s">
        <v>365</v>
      </c>
      <c r="K635" s="245" t="s">
        <v>3052</v>
      </c>
      <c r="L635" s="141" t="s">
        <v>15</v>
      </c>
      <c r="M635" s="193">
        <v>46042</v>
      </c>
      <c r="N635" s="194" t="s">
        <v>4</v>
      </c>
      <c r="O635" s="141" t="s">
        <v>15</v>
      </c>
      <c r="P635" s="117"/>
      <c r="Q635" s="407">
        <v>46038</v>
      </c>
      <c r="R635" s="40" t="s">
        <v>445</v>
      </c>
      <c r="S635" s="208"/>
      <c r="T635" s="357"/>
      <c r="U635" s="84"/>
      <c r="V635" s="84"/>
      <c r="W635" s="84"/>
      <c r="X635" s="84"/>
      <c r="Y635" s="84"/>
      <c r="Z635" s="84"/>
      <c r="AA635" s="81"/>
      <c r="AB635" s="81"/>
      <c r="AC635" s="81"/>
      <c r="AD635" s="81"/>
      <c r="AE635" s="81"/>
      <c r="AF635" s="81"/>
      <c r="AG635" s="81"/>
    </row>
    <row r="636" spans="1:33" ht="15.75" customHeight="1" x14ac:dyDescent="0.3">
      <c r="A636" s="104"/>
      <c r="B636" s="104"/>
      <c r="C636" s="130">
        <f t="shared" ca="1" si="8"/>
        <v>617</v>
      </c>
      <c r="D636" s="636"/>
      <c r="E636" s="636"/>
      <c r="F636" s="567" t="s">
        <v>459</v>
      </c>
      <c r="G636" s="219" t="s">
        <v>455</v>
      </c>
      <c r="H636" s="243"/>
      <c r="I636" s="210"/>
      <c r="J636" s="172" t="s">
        <v>310</v>
      </c>
      <c r="K636" s="226" t="s">
        <v>371</v>
      </c>
      <c r="L636" s="141" t="s">
        <v>15</v>
      </c>
      <c r="M636" s="193">
        <v>46042</v>
      </c>
      <c r="N636" s="194" t="s">
        <v>4</v>
      </c>
      <c r="O636" s="141" t="s">
        <v>15</v>
      </c>
      <c r="P636" s="117"/>
      <c r="Q636" s="407">
        <v>46038</v>
      </c>
      <c r="R636" s="40" t="s">
        <v>445</v>
      </c>
      <c r="S636" s="208"/>
      <c r="T636" s="357"/>
      <c r="U636" s="84"/>
      <c r="V636" s="84"/>
      <c r="W636" s="84"/>
      <c r="X636" s="84"/>
      <c r="Y636" s="84"/>
      <c r="Z636" s="84"/>
      <c r="AA636" s="81"/>
      <c r="AB636" s="81"/>
      <c r="AC636" s="81"/>
      <c r="AD636" s="81"/>
      <c r="AE636" s="81"/>
      <c r="AF636" s="81"/>
      <c r="AG636" s="81"/>
    </row>
    <row r="637" spans="1:33" ht="15.75" customHeight="1" x14ac:dyDescent="0.3">
      <c r="A637" s="104"/>
      <c r="B637" s="104"/>
      <c r="C637" s="130">
        <f t="shared" ca="1" si="8"/>
        <v>618</v>
      </c>
      <c r="D637" s="636"/>
      <c r="E637" s="636"/>
      <c r="F637" s="567" t="s">
        <v>459</v>
      </c>
      <c r="G637" s="219" t="s">
        <v>448</v>
      </c>
      <c r="H637" s="243"/>
      <c r="I637" s="657" t="s">
        <v>372</v>
      </c>
      <c r="J637" s="172" t="s">
        <v>311</v>
      </c>
      <c r="K637" s="245" t="s">
        <v>373</v>
      </c>
      <c r="L637" s="141" t="s">
        <v>15</v>
      </c>
      <c r="M637" s="193">
        <v>46042</v>
      </c>
      <c r="N637" s="194" t="s">
        <v>4</v>
      </c>
      <c r="O637" s="141" t="s">
        <v>15</v>
      </c>
      <c r="P637" s="117"/>
      <c r="Q637" s="407">
        <v>46038</v>
      </c>
      <c r="R637" s="40" t="s">
        <v>445</v>
      </c>
      <c r="S637" s="208"/>
      <c r="T637" s="357"/>
      <c r="U637" s="84"/>
      <c r="V637" s="84"/>
      <c r="W637" s="84"/>
      <c r="X637" s="84"/>
      <c r="Y637" s="84"/>
      <c r="Z637" s="84"/>
      <c r="AA637" s="81"/>
      <c r="AB637" s="81"/>
      <c r="AC637" s="81"/>
      <c r="AD637" s="81"/>
      <c r="AE637" s="81"/>
      <c r="AF637" s="81"/>
      <c r="AG637" s="81"/>
    </row>
    <row r="638" spans="1:33" ht="15.75" customHeight="1" x14ac:dyDescent="0.3">
      <c r="A638" s="104"/>
      <c r="B638" s="104"/>
      <c r="C638" s="130">
        <f t="shared" ca="1" si="8"/>
        <v>619</v>
      </c>
      <c r="D638" s="636"/>
      <c r="E638" s="636"/>
      <c r="F638" s="567" t="s">
        <v>459</v>
      </c>
      <c r="G638" s="219" t="s">
        <v>448</v>
      </c>
      <c r="H638" s="243"/>
      <c r="I638" s="606"/>
      <c r="J638" s="172" t="s">
        <v>313</v>
      </c>
      <c r="K638" s="245" t="s">
        <v>2599</v>
      </c>
      <c r="L638" s="141" t="s">
        <v>15</v>
      </c>
      <c r="M638" s="193">
        <v>46042</v>
      </c>
      <c r="N638" s="194" t="s">
        <v>4</v>
      </c>
      <c r="O638" s="141" t="s">
        <v>15</v>
      </c>
      <c r="P638" s="117"/>
      <c r="Q638" s="407">
        <v>46038</v>
      </c>
      <c r="R638" s="40" t="s">
        <v>445</v>
      </c>
      <c r="S638" s="208"/>
      <c r="T638" s="357"/>
      <c r="U638" s="84"/>
      <c r="V638" s="84"/>
      <c r="W638" s="84"/>
      <c r="X638" s="84"/>
      <c r="Y638" s="84"/>
      <c r="Z638" s="84"/>
      <c r="AA638" s="81"/>
      <c r="AB638" s="81"/>
      <c r="AC638" s="81"/>
      <c r="AD638" s="81"/>
      <c r="AE638" s="81"/>
      <c r="AF638" s="81"/>
      <c r="AG638" s="81"/>
    </row>
    <row r="639" spans="1:33" ht="15.75" customHeight="1" x14ac:dyDescent="0.3">
      <c r="A639" s="104"/>
      <c r="B639" s="104"/>
      <c r="C639" s="130">
        <f t="shared" ca="1" si="8"/>
        <v>620</v>
      </c>
      <c r="D639" s="636"/>
      <c r="E639" s="636"/>
      <c r="F639" s="567" t="s">
        <v>459</v>
      </c>
      <c r="G639" s="219" t="s">
        <v>455</v>
      </c>
      <c r="H639" s="243"/>
      <c r="I639" s="608"/>
      <c r="J639" s="172" t="s">
        <v>375</v>
      </c>
      <c r="K639" s="226" t="s">
        <v>371</v>
      </c>
      <c r="L639" s="141" t="s">
        <v>15</v>
      </c>
      <c r="M639" s="193">
        <v>46042</v>
      </c>
      <c r="N639" s="194" t="s">
        <v>4</v>
      </c>
      <c r="O639" s="141" t="s">
        <v>15</v>
      </c>
      <c r="P639" s="117"/>
      <c r="Q639" s="407">
        <v>46038</v>
      </c>
      <c r="R639" s="40" t="s">
        <v>445</v>
      </c>
      <c r="S639" s="208"/>
      <c r="T639" s="357"/>
      <c r="U639" s="84"/>
      <c r="V639" s="84"/>
      <c r="W639" s="84"/>
      <c r="X639" s="84"/>
      <c r="Y639" s="84"/>
      <c r="Z639" s="84"/>
      <c r="AA639" s="81"/>
      <c r="AB639" s="81"/>
      <c r="AC639" s="81"/>
      <c r="AD639" s="81"/>
      <c r="AE639" s="81"/>
      <c r="AF639" s="81"/>
      <c r="AG639" s="81"/>
    </row>
    <row r="640" spans="1:33" ht="15.75" customHeight="1" x14ac:dyDescent="0.3">
      <c r="A640" s="104"/>
      <c r="B640" s="104"/>
      <c r="C640" s="130">
        <f t="shared" ca="1" si="8"/>
        <v>621</v>
      </c>
      <c r="D640" s="636"/>
      <c r="E640" s="636"/>
      <c r="F640" s="567" t="s">
        <v>459</v>
      </c>
      <c r="G640" s="219" t="s">
        <v>448</v>
      </c>
      <c r="H640" s="243"/>
      <c r="I640" s="172" t="s">
        <v>3053</v>
      </c>
      <c r="J640" s="172" t="s">
        <v>365</v>
      </c>
      <c r="K640" s="245" t="s">
        <v>2590</v>
      </c>
      <c r="L640" s="141" t="s">
        <v>15</v>
      </c>
      <c r="M640" s="193">
        <v>46042</v>
      </c>
      <c r="N640" s="194" t="s">
        <v>4</v>
      </c>
      <c r="O640" s="141" t="s">
        <v>158</v>
      </c>
      <c r="P640" s="117" t="s">
        <v>211</v>
      </c>
      <c r="Q640" s="407">
        <v>46038</v>
      </c>
      <c r="R640" s="40" t="s">
        <v>445</v>
      </c>
      <c r="S640" s="208" t="s">
        <v>3054</v>
      </c>
      <c r="T640" s="357"/>
      <c r="U640" s="84"/>
      <c r="V640" s="84"/>
      <c r="W640" s="84"/>
      <c r="X640" s="84"/>
      <c r="Y640" s="84"/>
      <c r="Z640" s="84"/>
      <c r="AA640" s="81"/>
      <c r="AB640" s="81"/>
      <c r="AC640" s="81"/>
      <c r="AD640" s="81"/>
      <c r="AE640" s="81"/>
      <c r="AF640" s="81"/>
      <c r="AG640" s="81"/>
    </row>
    <row r="641" spans="1:33" ht="15.75" customHeight="1" x14ac:dyDescent="0.3">
      <c r="A641" s="104"/>
      <c r="B641" s="104"/>
      <c r="C641" s="130">
        <f t="shared" ca="1" si="8"/>
        <v>622</v>
      </c>
      <c r="D641" s="636"/>
      <c r="E641" s="636"/>
      <c r="F641" s="567" t="s">
        <v>459</v>
      </c>
      <c r="G641" s="219" t="s">
        <v>448</v>
      </c>
      <c r="H641" s="243"/>
      <c r="I641" s="172" t="s">
        <v>3055</v>
      </c>
      <c r="J641" s="172" t="s">
        <v>365</v>
      </c>
      <c r="K641" s="245" t="s">
        <v>3045</v>
      </c>
      <c r="L641" s="141" t="s">
        <v>15</v>
      </c>
      <c r="M641" s="193">
        <v>46042</v>
      </c>
      <c r="N641" s="194" t="s">
        <v>4</v>
      </c>
      <c r="O641" s="141" t="s">
        <v>15</v>
      </c>
      <c r="P641" s="117"/>
      <c r="Q641" s="407">
        <v>46038</v>
      </c>
      <c r="R641" s="40" t="s">
        <v>445</v>
      </c>
      <c r="S641" s="208"/>
      <c r="T641" s="357"/>
      <c r="U641" s="84"/>
      <c r="V641" s="84"/>
      <c r="W641" s="84"/>
      <c r="X641" s="84"/>
      <c r="Y641" s="84"/>
      <c r="Z641" s="84"/>
      <c r="AA641" s="81"/>
      <c r="AB641" s="81"/>
      <c r="AC641" s="81"/>
      <c r="AD641" s="81"/>
      <c r="AE641" s="81"/>
      <c r="AF641" s="81"/>
      <c r="AG641" s="81"/>
    </row>
    <row r="642" spans="1:33" ht="15.75" customHeight="1" x14ac:dyDescent="0.3">
      <c r="A642" s="104"/>
      <c r="B642" s="104"/>
      <c r="C642" s="130">
        <f t="shared" ca="1" si="8"/>
        <v>623</v>
      </c>
      <c r="D642" s="636"/>
      <c r="E642" s="636"/>
      <c r="F642" s="567" t="s">
        <v>459</v>
      </c>
      <c r="G642" s="219" t="s">
        <v>448</v>
      </c>
      <c r="H642" s="243"/>
      <c r="I642" s="172" t="s">
        <v>3056</v>
      </c>
      <c r="J642" s="172" t="s">
        <v>365</v>
      </c>
      <c r="K642" s="245" t="s">
        <v>3047</v>
      </c>
      <c r="L642" s="141" t="s">
        <v>15</v>
      </c>
      <c r="M642" s="193">
        <v>46042</v>
      </c>
      <c r="N642" s="194" t="s">
        <v>4</v>
      </c>
      <c r="O642" s="141" t="s">
        <v>158</v>
      </c>
      <c r="P642" s="117" t="s">
        <v>211</v>
      </c>
      <c r="Q642" s="407">
        <v>46038</v>
      </c>
      <c r="R642" s="40" t="s">
        <v>445</v>
      </c>
      <c r="S642" s="208" t="s">
        <v>3057</v>
      </c>
      <c r="T642" s="357"/>
      <c r="U642" s="84"/>
      <c r="V642" s="84"/>
      <c r="W642" s="84"/>
      <c r="X642" s="84"/>
      <c r="Y642" s="84"/>
      <c r="Z642" s="84"/>
      <c r="AA642" s="81"/>
      <c r="AB642" s="81"/>
      <c r="AC642" s="81"/>
      <c r="AD642" s="81"/>
      <c r="AE642" s="81"/>
      <c r="AF642" s="81"/>
      <c r="AG642" s="81"/>
    </row>
    <row r="643" spans="1:33" ht="15.75" customHeight="1" x14ac:dyDescent="0.3">
      <c r="A643" s="104"/>
      <c r="B643" s="104"/>
      <c r="C643" s="130">
        <f t="shared" ca="1" si="8"/>
        <v>624</v>
      </c>
      <c r="D643" s="636"/>
      <c r="E643" s="636"/>
      <c r="F643" s="567" t="s">
        <v>459</v>
      </c>
      <c r="G643" s="219" t="s">
        <v>448</v>
      </c>
      <c r="H643" s="243"/>
      <c r="I643" s="172" t="s">
        <v>3058</v>
      </c>
      <c r="J643" s="172" t="s">
        <v>365</v>
      </c>
      <c r="K643" s="245" t="s">
        <v>3050</v>
      </c>
      <c r="L643" s="141" t="s">
        <v>15</v>
      </c>
      <c r="M643" s="193">
        <v>46042</v>
      </c>
      <c r="N643" s="194" t="s">
        <v>4</v>
      </c>
      <c r="O643" s="141" t="s">
        <v>15</v>
      </c>
      <c r="P643" s="117"/>
      <c r="Q643" s="407">
        <v>46038</v>
      </c>
      <c r="R643" s="40" t="s">
        <v>445</v>
      </c>
      <c r="S643" s="208"/>
      <c r="T643" s="357"/>
      <c r="U643" s="84"/>
      <c r="V643" s="84"/>
      <c r="W643" s="84"/>
      <c r="X643" s="84"/>
      <c r="Y643" s="84"/>
      <c r="Z643" s="84"/>
      <c r="AA643" s="81"/>
      <c r="AB643" s="81"/>
      <c r="AC643" s="81"/>
      <c r="AD643" s="81"/>
      <c r="AE643" s="81"/>
      <c r="AF643" s="81"/>
      <c r="AG643" s="81"/>
    </row>
    <row r="644" spans="1:33" ht="15.75" customHeight="1" x14ac:dyDescent="0.3">
      <c r="A644" s="104"/>
      <c r="B644" s="104"/>
      <c r="C644" s="130">
        <f t="shared" ca="1" si="8"/>
        <v>625</v>
      </c>
      <c r="D644" s="635"/>
      <c r="E644" s="635"/>
      <c r="F644" s="567" t="s">
        <v>459</v>
      </c>
      <c r="G644" s="219" t="s">
        <v>448</v>
      </c>
      <c r="H644" s="243"/>
      <c r="I644" s="172" t="s">
        <v>3059</v>
      </c>
      <c r="J644" s="172" t="s">
        <v>365</v>
      </c>
      <c r="K644" s="245" t="s">
        <v>3052</v>
      </c>
      <c r="L644" s="141" t="s">
        <v>15</v>
      </c>
      <c r="M644" s="193">
        <v>46042</v>
      </c>
      <c r="N644" s="194" t="s">
        <v>4</v>
      </c>
      <c r="O644" s="141" t="s">
        <v>15</v>
      </c>
      <c r="P644" s="117"/>
      <c r="Q644" s="407">
        <v>46038</v>
      </c>
      <c r="R644" s="40" t="s">
        <v>445</v>
      </c>
      <c r="S644" s="208"/>
      <c r="T644" s="357"/>
      <c r="U644" s="84"/>
      <c r="V644" s="84"/>
      <c r="W644" s="84"/>
      <c r="X644" s="84"/>
      <c r="Y644" s="84"/>
      <c r="Z644" s="84"/>
      <c r="AA644" s="81"/>
      <c r="AB644" s="81"/>
      <c r="AC644" s="81"/>
      <c r="AD644" s="81"/>
      <c r="AE644" s="81"/>
      <c r="AF644" s="81"/>
      <c r="AG644" s="81"/>
    </row>
    <row r="645" spans="1:33" ht="15.75" customHeight="1" x14ac:dyDescent="0.3">
      <c r="A645" s="104"/>
      <c r="B645" s="104"/>
      <c r="C645" s="130">
        <f t="shared" ca="1" si="8"/>
        <v>626</v>
      </c>
      <c r="D645" s="233" t="s">
        <v>322</v>
      </c>
      <c r="E645" s="251" t="s">
        <v>257</v>
      </c>
      <c r="F645" s="567" t="s">
        <v>457</v>
      </c>
      <c r="G645" s="219" t="s">
        <v>448</v>
      </c>
      <c r="H645" s="243"/>
      <c r="I645" s="172"/>
      <c r="J645" s="172" t="s">
        <v>261</v>
      </c>
      <c r="K645" s="245" t="s">
        <v>323</v>
      </c>
      <c r="L645" s="141" t="s">
        <v>15</v>
      </c>
      <c r="M645" s="193">
        <v>46042</v>
      </c>
      <c r="N645" s="194" t="s">
        <v>4</v>
      </c>
      <c r="O645" s="141" t="s">
        <v>15</v>
      </c>
      <c r="P645" s="117"/>
      <c r="Q645" s="407">
        <v>46038</v>
      </c>
      <c r="R645" s="40" t="s">
        <v>445</v>
      </c>
      <c r="S645" s="208"/>
      <c r="T645" s="357"/>
      <c r="U645" s="84"/>
      <c r="V645" s="84"/>
      <c r="W645" s="84"/>
      <c r="X645" s="84"/>
      <c r="Y645" s="84"/>
      <c r="Z645" s="84"/>
      <c r="AA645" s="81"/>
      <c r="AB645" s="81"/>
      <c r="AC645" s="81"/>
      <c r="AD645" s="81"/>
      <c r="AE645" s="81"/>
      <c r="AF645" s="81"/>
      <c r="AG645" s="81"/>
    </row>
    <row r="646" spans="1:33" ht="15.75" customHeight="1" x14ac:dyDescent="0.3">
      <c r="A646" s="104"/>
      <c r="B646" s="104"/>
      <c r="C646" s="130">
        <f t="shared" ca="1" si="8"/>
        <v>627</v>
      </c>
      <c r="D646" s="233" t="s">
        <v>356</v>
      </c>
      <c r="E646" s="251" t="s">
        <v>257</v>
      </c>
      <c r="F646" s="567" t="s">
        <v>457</v>
      </c>
      <c r="G646" s="219" t="s">
        <v>448</v>
      </c>
      <c r="H646" s="243"/>
      <c r="I646" s="172"/>
      <c r="J646" s="172" t="s">
        <v>261</v>
      </c>
      <c r="K646" s="245" t="s">
        <v>357</v>
      </c>
      <c r="L646" s="141" t="s">
        <v>15</v>
      </c>
      <c r="M646" s="193">
        <v>46042</v>
      </c>
      <c r="N646" s="194" t="s">
        <v>4</v>
      </c>
      <c r="O646" s="141" t="s">
        <v>15</v>
      </c>
      <c r="P646" s="117"/>
      <c r="Q646" s="407">
        <v>46038</v>
      </c>
      <c r="R646" s="40" t="s">
        <v>445</v>
      </c>
      <c r="S646" s="208"/>
      <c r="T646" s="357"/>
      <c r="U646" s="84"/>
      <c r="V646" s="84"/>
      <c r="W646" s="84"/>
      <c r="X646" s="84"/>
      <c r="Y646" s="84"/>
      <c r="Z646" s="84"/>
      <c r="AA646" s="81"/>
      <c r="AB646" s="81"/>
      <c r="AC646" s="81"/>
      <c r="AD646" s="81"/>
      <c r="AE646" s="81"/>
      <c r="AF646" s="81"/>
      <c r="AG646" s="81"/>
    </row>
    <row r="647" spans="1:33" ht="15.75" customHeight="1" x14ac:dyDescent="0.3">
      <c r="A647" s="104"/>
      <c r="B647" s="104"/>
      <c r="C647" s="130">
        <f t="shared" ca="1" si="8"/>
        <v>628</v>
      </c>
      <c r="D647" s="658" t="s">
        <v>358</v>
      </c>
      <c r="E647" s="251" t="s">
        <v>359</v>
      </c>
      <c r="F647" s="573" t="s">
        <v>3060</v>
      </c>
      <c r="G647" s="219"/>
      <c r="H647" s="243"/>
      <c r="I647" s="172"/>
      <c r="J647" s="172" t="s">
        <v>360</v>
      </c>
      <c r="K647" s="245" t="s">
        <v>361</v>
      </c>
      <c r="L647" s="141" t="s">
        <v>15</v>
      </c>
      <c r="M647" s="193">
        <v>46042</v>
      </c>
      <c r="N647" s="194" t="s">
        <v>4</v>
      </c>
      <c r="O647" s="141" t="s">
        <v>15</v>
      </c>
      <c r="P647" s="117"/>
      <c r="Q647" s="407">
        <v>46038</v>
      </c>
      <c r="R647" s="40" t="s">
        <v>445</v>
      </c>
      <c r="S647" s="208"/>
      <c r="T647" s="357"/>
      <c r="U647" s="84"/>
      <c r="V647" s="84"/>
      <c r="W647" s="84"/>
      <c r="X647" s="84"/>
      <c r="Y647" s="84"/>
      <c r="Z647" s="84"/>
      <c r="AA647" s="81"/>
      <c r="AB647" s="81"/>
      <c r="AC647" s="81"/>
      <c r="AD647" s="81"/>
      <c r="AE647" s="81"/>
      <c r="AF647" s="81"/>
      <c r="AG647" s="81"/>
    </row>
    <row r="648" spans="1:33" ht="15.75" customHeight="1" x14ac:dyDescent="0.3">
      <c r="A648" s="104"/>
      <c r="B648" s="104"/>
      <c r="C648" s="130">
        <f t="shared" ca="1" si="8"/>
        <v>629</v>
      </c>
      <c r="D648" s="636"/>
      <c r="E648" s="251" t="s">
        <v>359</v>
      </c>
      <c r="F648" s="573" t="s">
        <v>3060</v>
      </c>
      <c r="G648" s="219"/>
      <c r="H648" s="243"/>
      <c r="I648" s="172"/>
      <c r="J648" s="172" t="s">
        <v>362</v>
      </c>
      <c r="K648" s="245" t="s">
        <v>363</v>
      </c>
      <c r="L648" s="141" t="s">
        <v>15</v>
      </c>
      <c r="M648" s="193">
        <v>46042</v>
      </c>
      <c r="N648" s="194" t="s">
        <v>4</v>
      </c>
      <c r="O648" s="141" t="s">
        <v>15</v>
      </c>
      <c r="P648" s="117"/>
      <c r="Q648" s="407">
        <v>46038</v>
      </c>
      <c r="R648" s="40" t="s">
        <v>445</v>
      </c>
      <c r="S648" s="208"/>
      <c r="T648" s="357"/>
      <c r="U648" s="84"/>
      <c r="V648" s="84"/>
      <c r="W648" s="84"/>
      <c r="X648" s="84"/>
      <c r="Y648" s="84"/>
      <c r="Z648" s="84"/>
      <c r="AA648" s="81"/>
      <c r="AB648" s="81"/>
      <c r="AC648" s="81"/>
      <c r="AD648" s="81"/>
      <c r="AE648" s="81"/>
      <c r="AF648" s="81"/>
      <c r="AG648" s="81"/>
    </row>
    <row r="649" spans="1:33" ht="15.75" customHeight="1" x14ac:dyDescent="0.3">
      <c r="A649" s="104"/>
      <c r="B649" s="104"/>
      <c r="C649" s="130">
        <f t="shared" ca="1" si="8"/>
        <v>630</v>
      </c>
      <c r="D649" s="636"/>
      <c r="E649" s="665" t="s">
        <v>237</v>
      </c>
      <c r="F649" s="567" t="s">
        <v>459</v>
      </c>
      <c r="G649" s="219" t="s">
        <v>448</v>
      </c>
      <c r="H649" s="243"/>
      <c r="I649" s="213" t="s">
        <v>364</v>
      </c>
      <c r="J649" s="172" t="s">
        <v>365</v>
      </c>
      <c r="K649" s="245" t="s">
        <v>366</v>
      </c>
      <c r="L649" s="141" t="s">
        <v>15</v>
      </c>
      <c r="M649" s="193">
        <v>46042</v>
      </c>
      <c r="N649" s="194" t="s">
        <v>4</v>
      </c>
      <c r="O649" s="141" t="s">
        <v>15</v>
      </c>
      <c r="P649" s="117"/>
      <c r="Q649" s="407">
        <v>46038</v>
      </c>
      <c r="R649" s="40" t="s">
        <v>445</v>
      </c>
      <c r="S649" s="208"/>
      <c r="T649" s="357"/>
      <c r="U649" s="84"/>
      <c r="V649" s="84"/>
      <c r="W649" s="84"/>
      <c r="X649" s="84"/>
      <c r="Y649" s="84"/>
      <c r="Z649" s="84"/>
      <c r="AA649" s="81"/>
      <c r="AB649" s="81"/>
      <c r="AC649" s="81"/>
      <c r="AD649" s="81"/>
      <c r="AE649" s="81"/>
      <c r="AF649" s="81"/>
      <c r="AG649" s="81"/>
    </row>
    <row r="650" spans="1:33" ht="15.75" customHeight="1" x14ac:dyDescent="0.3">
      <c r="A650" s="104"/>
      <c r="B650" s="104"/>
      <c r="C650" s="130">
        <f t="shared" ca="1" si="8"/>
        <v>631</v>
      </c>
      <c r="D650" s="636"/>
      <c r="E650" s="636"/>
      <c r="F650" s="567" t="s">
        <v>459</v>
      </c>
      <c r="G650" s="219" t="s">
        <v>448</v>
      </c>
      <c r="H650" s="243"/>
      <c r="I650" s="172" t="s">
        <v>367</v>
      </c>
      <c r="J650" s="172" t="s">
        <v>365</v>
      </c>
      <c r="K650" s="245" t="s">
        <v>368</v>
      </c>
      <c r="L650" s="141" t="s">
        <v>15</v>
      </c>
      <c r="M650" s="193">
        <v>46042</v>
      </c>
      <c r="N650" s="194" t="s">
        <v>4</v>
      </c>
      <c r="O650" s="141" t="s">
        <v>15</v>
      </c>
      <c r="P650" s="117"/>
      <c r="Q650" s="407">
        <v>46038</v>
      </c>
      <c r="R650" s="40" t="s">
        <v>445</v>
      </c>
      <c r="S650" s="208"/>
      <c r="T650" s="357"/>
      <c r="U650" s="84"/>
      <c r="V650" s="84"/>
      <c r="W650" s="84"/>
      <c r="X650" s="84"/>
      <c r="Y650" s="84"/>
      <c r="Z650" s="84"/>
      <c r="AA650" s="81"/>
      <c r="AB650" s="81"/>
      <c r="AC650" s="81"/>
      <c r="AD650" s="81"/>
      <c r="AE650" s="81"/>
      <c r="AF650" s="81"/>
      <c r="AG650" s="81"/>
    </row>
    <row r="651" spans="1:33" ht="15.75" customHeight="1" x14ac:dyDescent="0.3">
      <c r="A651" s="104"/>
      <c r="B651" s="104"/>
      <c r="C651" s="130">
        <f t="shared" ca="1" si="8"/>
        <v>632</v>
      </c>
      <c r="D651" s="636"/>
      <c r="E651" s="636"/>
      <c r="F651" s="567" t="s">
        <v>459</v>
      </c>
      <c r="G651" s="219" t="s">
        <v>448</v>
      </c>
      <c r="H651" s="243"/>
      <c r="I651" s="172" t="s">
        <v>369</v>
      </c>
      <c r="J651" s="172" t="s">
        <v>365</v>
      </c>
      <c r="K651" s="245" t="s">
        <v>3061</v>
      </c>
      <c r="L651" s="141" t="s">
        <v>15</v>
      </c>
      <c r="M651" s="193">
        <v>46042</v>
      </c>
      <c r="N651" s="194" t="s">
        <v>4</v>
      </c>
      <c r="O651" s="141" t="s">
        <v>15</v>
      </c>
      <c r="P651" s="117"/>
      <c r="Q651" s="407">
        <v>46038</v>
      </c>
      <c r="R651" s="40" t="s">
        <v>445</v>
      </c>
      <c r="S651" s="208"/>
      <c r="T651" s="357"/>
      <c r="U651" s="84"/>
      <c r="V651" s="84"/>
      <c r="W651" s="84"/>
      <c r="X651" s="84"/>
      <c r="Y651" s="84"/>
      <c r="Z651" s="84"/>
      <c r="AA651" s="81"/>
      <c r="AB651" s="81"/>
      <c r="AC651" s="81"/>
      <c r="AD651" s="81"/>
      <c r="AE651" s="81"/>
      <c r="AF651" s="81"/>
      <c r="AG651" s="81"/>
    </row>
    <row r="652" spans="1:33" ht="15.75" customHeight="1" x14ac:dyDescent="0.3">
      <c r="A652" s="104"/>
      <c r="B652" s="104"/>
      <c r="C652" s="130">
        <f t="shared" ca="1" si="8"/>
        <v>633</v>
      </c>
      <c r="D652" s="636"/>
      <c r="E652" s="636"/>
      <c r="F652" s="567" t="s">
        <v>459</v>
      </c>
      <c r="G652" s="219" t="s">
        <v>448</v>
      </c>
      <c r="H652" s="243"/>
      <c r="I652" s="172" t="s">
        <v>370</v>
      </c>
      <c r="J652" s="172" t="s">
        <v>365</v>
      </c>
      <c r="K652" s="245" t="s">
        <v>3062</v>
      </c>
      <c r="L652" s="141" t="s">
        <v>15</v>
      </c>
      <c r="M652" s="193">
        <v>46042</v>
      </c>
      <c r="N652" s="194" t="s">
        <v>4</v>
      </c>
      <c r="O652" s="141" t="s">
        <v>15</v>
      </c>
      <c r="P652" s="117"/>
      <c r="Q652" s="407">
        <v>46038</v>
      </c>
      <c r="R652" s="40" t="s">
        <v>445</v>
      </c>
      <c r="S652" s="208"/>
      <c r="T652" s="357"/>
      <c r="U652" s="84"/>
      <c r="V652" s="84"/>
      <c r="W652" s="84"/>
      <c r="X652" s="84"/>
      <c r="Y652" s="84"/>
      <c r="Z652" s="84"/>
      <c r="AA652" s="81"/>
      <c r="AB652" s="81"/>
      <c r="AC652" s="81"/>
      <c r="AD652" s="81"/>
      <c r="AE652" s="81"/>
      <c r="AF652" s="81"/>
      <c r="AG652" s="81"/>
    </row>
    <row r="653" spans="1:33" ht="15.75" customHeight="1" x14ac:dyDescent="0.3">
      <c r="A653" s="104"/>
      <c r="B653" s="104"/>
      <c r="C653" s="130">
        <f t="shared" ca="1" si="8"/>
        <v>634</v>
      </c>
      <c r="D653" s="636"/>
      <c r="E653" s="636"/>
      <c r="F653" s="567" t="s">
        <v>459</v>
      </c>
      <c r="G653" s="219" t="s">
        <v>455</v>
      </c>
      <c r="H653" s="243"/>
      <c r="I653" s="210"/>
      <c r="J653" s="172" t="s">
        <v>310</v>
      </c>
      <c r="K653" s="226" t="s">
        <v>371</v>
      </c>
      <c r="L653" s="141" t="s">
        <v>15</v>
      </c>
      <c r="M653" s="193">
        <v>46042</v>
      </c>
      <c r="N653" s="194" t="s">
        <v>4</v>
      </c>
      <c r="O653" s="141" t="s">
        <v>15</v>
      </c>
      <c r="P653" s="117"/>
      <c r="Q653" s="407">
        <v>46038</v>
      </c>
      <c r="R653" s="40" t="s">
        <v>445</v>
      </c>
      <c r="S653" s="208"/>
      <c r="T653" s="357"/>
      <c r="U653" s="84"/>
      <c r="V653" s="84"/>
      <c r="W653" s="84"/>
      <c r="X653" s="84"/>
      <c r="Y653" s="84"/>
      <c r="Z653" s="84"/>
      <c r="AA653" s="81"/>
      <c r="AB653" s="81"/>
      <c r="AC653" s="81"/>
      <c r="AD653" s="81"/>
      <c r="AE653" s="81"/>
      <c r="AF653" s="81"/>
      <c r="AG653" s="81"/>
    </row>
    <row r="654" spans="1:33" ht="15.75" customHeight="1" x14ac:dyDescent="0.3">
      <c r="A654" s="104"/>
      <c r="B654" s="104"/>
      <c r="C654" s="130">
        <f t="shared" ca="1" si="8"/>
        <v>635</v>
      </c>
      <c r="D654" s="636"/>
      <c r="E654" s="636"/>
      <c r="F654" s="567" t="s">
        <v>459</v>
      </c>
      <c r="G654" s="219" t="s">
        <v>448</v>
      </c>
      <c r="H654" s="243"/>
      <c r="I654" s="657" t="s">
        <v>372</v>
      </c>
      <c r="J654" s="172" t="s">
        <v>311</v>
      </c>
      <c r="K654" s="245" t="s">
        <v>373</v>
      </c>
      <c r="L654" s="141" t="s">
        <v>15</v>
      </c>
      <c r="M654" s="193">
        <v>46042</v>
      </c>
      <c r="N654" s="194" t="s">
        <v>4</v>
      </c>
      <c r="O654" s="141" t="s">
        <v>15</v>
      </c>
      <c r="P654" s="117"/>
      <c r="Q654" s="407">
        <v>46038</v>
      </c>
      <c r="R654" s="40" t="s">
        <v>445</v>
      </c>
      <c r="S654" s="208"/>
      <c r="T654" s="357"/>
      <c r="U654" s="84"/>
      <c r="V654" s="84"/>
      <c r="W654" s="84"/>
      <c r="X654" s="84"/>
      <c r="Y654" s="84"/>
      <c r="Z654" s="84"/>
      <c r="AA654" s="81"/>
      <c r="AB654" s="81"/>
      <c r="AC654" s="81"/>
      <c r="AD654" s="81"/>
      <c r="AE654" s="81"/>
      <c r="AF654" s="81"/>
      <c r="AG654" s="81"/>
    </row>
    <row r="655" spans="1:33" ht="15.75" customHeight="1" x14ac:dyDescent="0.3">
      <c r="A655" s="104"/>
      <c r="B655" s="104"/>
      <c r="C655" s="130">
        <f t="shared" ca="1" si="8"/>
        <v>636</v>
      </c>
      <c r="D655" s="636"/>
      <c r="E655" s="636"/>
      <c r="F655" s="567" t="s">
        <v>459</v>
      </c>
      <c r="G655" s="219" t="s">
        <v>448</v>
      </c>
      <c r="H655" s="243"/>
      <c r="I655" s="606"/>
      <c r="J655" s="172" t="s">
        <v>313</v>
      </c>
      <c r="K655" s="245" t="s">
        <v>374</v>
      </c>
      <c r="L655" s="141" t="s">
        <v>15</v>
      </c>
      <c r="M655" s="193">
        <v>46042</v>
      </c>
      <c r="N655" s="194" t="s">
        <v>4</v>
      </c>
      <c r="O655" s="141" t="s">
        <v>15</v>
      </c>
      <c r="P655" s="117"/>
      <c r="Q655" s="407">
        <v>46038</v>
      </c>
      <c r="R655" s="40" t="s">
        <v>445</v>
      </c>
      <c r="S655" s="208"/>
      <c r="T655" s="357"/>
      <c r="U655" s="84"/>
      <c r="V655" s="84"/>
      <c r="W655" s="84"/>
      <c r="X655" s="84"/>
      <c r="Y655" s="84"/>
      <c r="Z655" s="84"/>
      <c r="AA655" s="81"/>
      <c r="AB655" s="81"/>
      <c r="AC655" s="81"/>
      <c r="AD655" s="81"/>
      <c r="AE655" s="81"/>
      <c r="AF655" s="81"/>
      <c r="AG655" s="81"/>
    </row>
    <row r="656" spans="1:33" ht="15.75" customHeight="1" x14ac:dyDescent="0.3">
      <c r="A656" s="104"/>
      <c r="B656" s="104"/>
      <c r="C656" s="130">
        <f t="shared" ca="1" si="8"/>
        <v>637</v>
      </c>
      <c r="D656" s="636"/>
      <c r="E656" s="636"/>
      <c r="F656" s="567" t="s">
        <v>459</v>
      </c>
      <c r="G656" s="219" t="s">
        <v>455</v>
      </c>
      <c r="H656" s="243"/>
      <c r="I656" s="608"/>
      <c r="J656" s="172" t="s">
        <v>375</v>
      </c>
      <c r="K656" s="226" t="s">
        <v>371</v>
      </c>
      <c r="L656" s="141" t="s">
        <v>15</v>
      </c>
      <c r="M656" s="193">
        <v>46042</v>
      </c>
      <c r="N656" s="194" t="s">
        <v>4</v>
      </c>
      <c r="O656" s="141" t="s">
        <v>15</v>
      </c>
      <c r="P656" s="117"/>
      <c r="Q656" s="407">
        <v>46038</v>
      </c>
      <c r="R656" s="40" t="s">
        <v>445</v>
      </c>
      <c r="S656" s="208"/>
      <c r="T656" s="357"/>
      <c r="U656" s="84"/>
      <c r="V656" s="84"/>
      <c r="W656" s="84"/>
      <c r="X656" s="84"/>
      <c r="Y656" s="84"/>
      <c r="Z656" s="84"/>
      <c r="AA656" s="81"/>
      <c r="AB656" s="81"/>
      <c r="AC656" s="81"/>
      <c r="AD656" s="81"/>
      <c r="AE656" s="81"/>
      <c r="AF656" s="81"/>
      <c r="AG656" s="81"/>
    </row>
    <row r="657" spans="1:33" ht="15.75" customHeight="1" x14ac:dyDescent="0.3">
      <c r="A657" s="104"/>
      <c r="B657" s="104"/>
      <c r="C657" s="130">
        <f t="shared" ca="1" si="8"/>
        <v>638</v>
      </c>
      <c r="D657" s="636"/>
      <c r="E657" s="636"/>
      <c r="F657" s="567" t="s">
        <v>459</v>
      </c>
      <c r="G657" s="219" t="s">
        <v>448</v>
      </c>
      <c r="H657" s="243"/>
      <c r="I657" s="172" t="s">
        <v>376</v>
      </c>
      <c r="J657" s="172" t="s">
        <v>365</v>
      </c>
      <c r="K657" s="245" t="s">
        <v>368</v>
      </c>
      <c r="L657" s="141" t="s">
        <v>15</v>
      </c>
      <c r="M657" s="193">
        <v>46042</v>
      </c>
      <c r="N657" s="194" t="s">
        <v>4</v>
      </c>
      <c r="O657" s="141" t="s">
        <v>15</v>
      </c>
      <c r="P657" s="117"/>
      <c r="Q657" s="407">
        <v>46038</v>
      </c>
      <c r="R657" s="40" t="s">
        <v>445</v>
      </c>
      <c r="S657" s="208"/>
      <c r="T657" s="357"/>
      <c r="U657" s="84"/>
      <c r="V657" s="84"/>
      <c r="W657" s="84"/>
      <c r="X657" s="84"/>
      <c r="Y657" s="84"/>
      <c r="Z657" s="84"/>
      <c r="AA657" s="81"/>
      <c r="AB657" s="81"/>
      <c r="AC657" s="81"/>
      <c r="AD657" s="81"/>
      <c r="AE657" s="81"/>
      <c r="AF657" s="81"/>
      <c r="AG657" s="81"/>
    </row>
    <row r="658" spans="1:33" ht="15.75" customHeight="1" x14ac:dyDescent="0.3">
      <c r="A658" s="104"/>
      <c r="B658" s="104"/>
      <c r="C658" s="130">
        <f t="shared" ca="1" si="8"/>
        <v>639</v>
      </c>
      <c r="D658" s="636"/>
      <c r="E658" s="636"/>
      <c r="F658" s="567" t="s">
        <v>459</v>
      </c>
      <c r="G658" s="219" t="s">
        <v>448</v>
      </c>
      <c r="H658" s="243"/>
      <c r="I658" s="172" t="s">
        <v>377</v>
      </c>
      <c r="J658" s="172" t="s">
        <v>365</v>
      </c>
      <c r="K658" s="245" t="s">
        <v>3061</v>
      </c>
      <c r="L658" s="141" t="s">
        <v>15</v>
      </c>
      <c r="M658" s="193">
        <v>46042</v>
      </c>
      <c r="N658" s="194" t="s">
        <v>4</v>
      </c>
      <c r="O658" s="141" t="s">
        <v>15</v>
      </c>
      <c r="P658" s="117"/>
      <c r="Q658" s="407">
        <v>46038</v>
      </c>
      <c r="R658" s="40" t="s">
        <v>445</v>
      </c>
      <c r="S658" s="208"/>
      <c r="T658" s="357"/>
      <c r="U658" s="84"/>
      <c r="V658" s="84"/>
      <c r="W658" s="84"/>
      <c r="X658" s="84"/>
      <c r="Y658" s="84"/>
      <c r="Z658" s="84"/>
      <c r="AA658" s="81"/>
      <c r="AB658" s="81"/>
      <c r="AC658" s="81"/>
      <c r="AD658" s="81"/>
      <c r="AE658" s="81"/>
      <c r="AF658" s="81"/>
      <c r="AG658" s="81"/>
    </row>
    <row r="659" spans="1:33" ht="15.75" customHeight="1" x14ac:dyDescent="0.3">
      <c r="A659" s="104"/>
      <c r="B659" s="104"/>
      <c r="C659" s="130">
        <f t="shared" ca="1" si="8"/>
        <v>640</v>
      </c>
      <c r="D659" s="635"/>
      <c r="E659" s="635"/>
      <c r="F659" s="567" t="s">
        <v>459</v>
      </c>
      <c r="G659" s="219" t="s">
        <v>448</v>
      </c>
      <c r="H659" s="243"/>
      <c r="I659" s="172" t="s">
        <v>378</v>
      </c>
      <c r="J659" s="172" t="s">
        <v>365</v>
      </c>
      <c r="K659" s="245" t="s">
        <v>3062</v>
      </c>
      <c r="L659" s="141" t="s">
        <v>15</v>
      </c>
      <c r="M659" s="193">
        <v>46042</v>
      </c>
      <c r="N659" s="194" t="s">
        <v>4</v>
      </c>
      <c r="O659" s="141" t="s">
        <v>15</v>
      </c>
      <c r="P659" s="117"/>
      <c r="Q659" s="407">
        <v>46038</v>
      </c>
      <c r="R659" s="40" t="s">
        <v>445</v>
      </c>
      <c r="S659" s="208"/>
      <c r="T659" s="357"/>
      <c r="U659" s="84"/>
      <c r="V659" s="84"/>
      <c r="W659" s="84"/>
      <c r="X659" s="84"/>
      <c r="Y659" s="84"/>
      <c r="Z659" s="84"/>
      <c r="AA659" s="81"/>
      <c r="AB659" s="81"/>
      <c r="AC659" s="81"/>
      <c r="AD659" s="81"/>
      <c r="AE659" s="81"/>
      <c r="AF659" s="81"/>
      <c r="AG659" s="81"/>
    </row>
    <row r="660" spans="1:33" ht="15.75" customHeight="1" x14ac:dyDescent="0.3">
      <c r="A660" s="104"/>
      <c r="B660" s="104"/>
      <c r="C660" s="130">
        <f t="shared" ca="1" si="8"/>
        <v>641</v>
      </c>
      <c r="D660" s="673" t="s">
        <v>2264</v>
      </c>
      <c r="E660" s="314" t="s">
        <v>198</v>
      </c>
      <c r="F660" s="285" t="s">
        <v>3063</v>
      </c>
      <c r="G660" s="353" t="s">
        <v>448</v>
      </c>
      <c r="H660" s="246"/>
      <c r="I660" s="246"/>
      <c r="J660" s="240" t="s">
        <v>3064</v>
      </c>
      <c r="K660" s="273" t="s">
        <v>3065</v>
      </c>
      <c r="L660" s="290" t="s">
        <v>15</v>
      </c>
      <c r="M660" s="407">
        <v>46045</v>
      </c>
      <c r="N660" s="40" t="s">
        <v>4</v>
      </c>
      <c r="O660" s="141" t="s">
        <v>15</v>
      </c>
      <c r="P660" s="117"/>
      <c r="Q660" s="407">
        <v>46038</v>
      </c>
      <c r="R660" s="40" t="s">
        <v>445</v>
      </c>
      <c r="S660" s="208"/>
      <c r="T660" s="357"/>
      <c r="U660" s="84"/>
      <c r="V660" s="84"/>
      <c r="W660" s="84"/>
      <c r="X660" s="84"/>
      <c r="Y660" s="84"/>
      <c r="Z660" s="84"/>
      <c r="AA660" s="81"/>
      <c r="AB660" s="81"/>
      <c r="AC660" s="81"/>
      <c r="AD660" s="81"/>
      <c r="AE660" s="81"/>
      <c r="AF660" s="81"/>
      <c r="AG660" s="81"/>
    </row>
    <row r="661" spans="1:33" ht="15.75" customHeight="1" x14ac:dyDescent="0.3">
      <c r="A661" s="104"/>
      <c r="B661" s="104"/>
      <c r="C661" s="130">
        <f t="shared" ca="1" si="8"/>
        <v>642</v>
      </c>
      <c r="D661" s="635"/>
      <c r="E661" s="314" t="s">
        <v>216</v>
      </c>
      <c r="F661" s="285" t="s">
        <v>458</v>
      </c>
      <c r="G661" s="353" t="s">
        <v>448</v>
      </c>
      <c r="H661" s="246"/>
      <c r="I661" s="246"/>
      <c r="J661" s="239" t="s">
        <v>236</v>
      </c>
      <c r="K661" s="273" t="s">
        <v>3066</v>
      </c>
      <c r="L661" s="290" t="s">
        <v>15</v>
      </c>
      <c r="M661" s="407">
        <v>46045</v>
      </c>
      <c r="N661" s="40" t="s">
        <v>4</v>
      </c>
      <c r="O661" s="141" t="s">
        <v>15</v>
      </c>
      <c r="P661" s="117"/>
      <c r="Q661" s="407">
        <v>46038</v>
      </c>
      <c r="R661" s="40" t="s">
        <v>445</v>
      </c>
      <c r="S661" s="208"/>
      <c r="T661" s="357"/>
      <c r="U661" s="84"/>
      <c r="V661" s="84"/>
      <c r="W661" s="84"/>
      <c r="X661" s="84"/>
      <c r="Y661" s="84"/>
      <c r="Z661" s="84"/>
      <c r="AA661" s="81"/>
      <c r="AB661" s="81"/>
      <c r="AC661" s="81"/>
      <c r="AD661" s="81"/>
      <c r="AE661" s="81"/>
      <c r="AF661" s="81"/>
      <c r="AG661" s="81"/>
    </row>
    <row r="662" spans="1:33" ht="15.75" customHeight="1" x14ac:dyDescent="0.3">
      <c r="A662" s="104"/>
      <c r="B662" s="104"/>
      <c r="C662" s="130">
        <f t="shared" ca="1" si="8"/>
        <v>643</v>
      </c>
      <c r="D662" s="86"/>
      <c r="E662" s="314"/>
      <c r="F662" s="285" t="s">
        <v>458</v>
      </c>
      <c r="G662" s="353" t="s">
        <v>448</v>
      </c>
      <c r="H662" s="246"/>
      <c r="I662" s="246"/>
      <c r="J662" s="248" t="s">
        <v>2265</v>
      </c>
      <c r="K662" s="404" t="s">
        <v>3067</v>
      </c>
      <c r="L662" s="141" t="s">
        <v>2</v>
      </c>
      <c r="M662" s="193"/>
      <c r="N662" s="194"/>
      <c r="O662" s="141"/>
      <c r="P662" s="117"/>
      <c r="Q662" s="407"/>
      <c r="R662" s="40"/>
      <c r="S662" s="208"/>
      <c r="T662" s="357"/>
      <c r="U662" s="84"/>
      <c r="V662" s="84"/>
      <c r="W662" s="84"/>
      <c r="X662" s="84"/>
      <c r="Y662" s="84"/>
      <c r="Z662" s="84"/>
      <c r="AA662" s="81"/>
      <c r="AB662" s="81"/>
      <c r="AC662" s="81"/>
      <c r="AD662" s="81"/>
      <c r="AE662" s="81"/>
      <c r="AF662" s="81"/>
      <c r="AG662" s="81"/>
    </row>
    <row r="663" spans="1:33" ht="15.75" customHeight="1" x14ac:dyDescent="0.3">
      <c r="A663" s="104"/>
      <c r="B663" s="104"/>
      <c r="C663" s="130">
        <f t="shared" ca="1" si="8"/>
        <v>644</v>
      </c>
      <c r="D663" s="658" t="s">
        <v>379</v>
      </c>
      <c r="E663" s="665" t="s">
        <v>257</v>
      </c>
      <c r="F663" s="567" t="s">
        <v>457</v>
      </c>
      <c r="G663" s="219" t="s">
        <v>448</v>
      </c>
      <c r="H663" s="243"/>
      <c r="I663" s="226" t="s">
        <v>383</v>
      </c>
      <c r="J663" s="172" t="s">
        <v>261</v>
      </c>
      <c r="K663" s="245" t="s">
        <v>2266</v>
      </c>
      <c r="L663" s="141" t="s">
        <v>15</v>
      </c>
      <c r="M663" s="407">
        <v>46045</v>
      </c>
      <c r="N663" s="40" t="s">
        <v>4</v>
      </c>
      <c r="O663" s="141" t="s">
        <v>15</v>
      </c>
      <c r="P663" s="117"/>
      <c r="Q663" s="407">
        <v>46038</v>
      </c>
      <c r="R663" s="40" t="s">
        <v>445</v>
      </c>
      <c r="S663" s="208"/>
      <c r="T663" s="357"/>
      <c r="U663" s="84"/>
      <c r="V663" s="84"/>
      <c r="W663" s="84"/>
      <c r="X663" s="84"/>
      <c r="Y663" s="84"/>
      <c r="Z663" s="84"/>
      <c r="AA663" s="81"/>
      <c r="AB663" s="81"/>
      <c r="AC663" s="81"/>
      <c r="AD663" s="81"/>
      <c r="AE663" s="81"/>
      <c r="AF663" s="81"/>
      <c r="AG663" s="81"/>
    </row>
    <row r="664" spans="1:33" ht="15.75" customHeight="1" x14ac:dyDescent="0.3">
      <c r="A664" s="104"/>
      <c r="B664" s="104"/>
      <c r="C664" s="130">
        <f t="shared" ca="1" si="8"/>
        <v>645</v>
      </c>
      <c r="D664" s="635"/>
      <c r="E664" s="635"/>
      <c r="F664" s="567" t="s">
        <v>457</v>
      </c>
      <c r="G664" s="219" t="s">
        <v>448</v>
      </c>
      <c r="H664" s="259"/>
      <c r="I664" s="260" t="s">
        <v>2267</v>
      </c>
      <c r="J664" s="172" t="s">
        <v>261</v>
      </c>
      <c r="K664" s="226" t="s">
        <v>2268</v>
      </c>
      <c r="L664" s="290" t="s">
        <v>15</v>
      </c>
      <c r="M664" s="407">
        <v>46045</v>
      </c>
      <c r="N664" s="40" t="s">
        <v>4</v>
      </c>
      <c r="O664" s="197" t="s">
        <v>158</v>
      </c>
      <c r="P664" s="275" t="s">
        <v>211</v>
      </c>
      <c r="Q664" s="407">
        <v>46038</v>
      </c>
      <c r="R664" s="40" t="s">
        <v>445</v>
      </c>
      <c r="S664" s="208" t="s">
        <v>3068</v>
      </c>
      <c r="T664" s="357"/>
      <c r="U664" s="525"/>
      <c r="V664" s="525"/>
      <c r="W664" s="525"/>
      <c r="X664" s="525"/>
      <c r="Y664" s="525"/>
      <c r="Z664" s="525"/>
      <c r="AA664" s="81"/>
      <c r="AB664" s="81"/>
      <c r="AC664" s="81"/>
      <c r="AD664" s="81"/>
      <c r="AE664" s="81"/>
      <c r="AF664" s="81"/>
      <c r="AG664" s="81"/>
    </row>
    <row r="665" spans="1:33" ht="15.75" customHeight="1" x14ac:dyDescent="0.3">
      <c r="A665" s="104"/>
      <c r="B665" s="104"/>
      <c r="C665" s="74">
        <f t="shared" ca="1" si="8"/>
        <v>646</v>
      </c>
      <c r="D665" s="574" t="s">
        <v>380</v>
      </c>
      <c r="E665" s="253" t="s">
        <v>359</v>
      </c>
      <c r="F665" s="567" t="s">
        <v>3060</v>
      </c>
      <c r="G665" s="219" t="s">
        <v>448</v>
      </c>
      <c r="H665" s="264"/>
      <c r="I665" s="226"/>
      <c r="J665" s="172" t="s">
        <v>381</v>
      </c>
      <c r="K665" s="245" t="s">
        <v>3069</v>
      </c>
      <c r="L665" s="290" t="s">
        <v>15</v>
      </c>
      <c r="M665" s="407">
        <v>46045</v>
      </c>
      <c r="N665" s="40" t="s">
        <v>4</v>
      </c>
      <c r="O665" s="141" t="s">
        <v>15</v>
      </c>
      <c r="P665" s="117"/>
      <c r="Q665" s="407">
        <v>46038</v>
      </c>
      <c r="R665" s="40" t="s">
        <v>445</v>
      </c>
      <c r="S665" s="208"/>
      <c r="T665" s="357"/>
      <c r="U665" s="84"/>
      <c r="V665" s="84"/>
      <c r="W665" s="84"/>
      <c r="X665" s="84"/>
      <c r="Y665" s="84"/>
      <c r="Z665" s="84"/>
      <c r="AA665" s="81"/>
      <c r="AB665" s="81"/>
      <c r="AC665" s="81"/>
      <c r="AD665" s="81"/>
      <c r="AE665" s="81"/>
      <c r="AF665" s="81"/>
      <c r="AG665" s="81"/>
    </row>
    <row r="666" spans="1:33" ht="15.75" customHeight="1" x14ac:dyDescent="0.3">
      <c r="A666" s="104"/>
      <c r="B666" s="104"/>
      <c r="C666" s="74">
        <f t="shared" ca="1" si="8"/>
        <v>647</v>
      </c>
      <c r="D666" s="664" t="s">
        <v>382</v>
      </c>
      <c r="E666" s="253" t="s">
        <v>257</v>
      </c>
      <c r="F666" s="567" t="s">
        <v>457</v>
      </c>
      <c r="G666" s="219" t="s">
        <v>448</v>
      </c>
      <c r="H666" s="264"/>
      <c r="I666" s="226" t="s">
        <v>383</v>
      </c>
      <c r="J666" s="172" t="s">
        <v>261</v>
      </c>
      <c r="K666" s="245" t="s">
        <v>2269</v>
      </c>
      <c r="L666" s="141" t="s">
        <v>15</v>
      </c>
      <c r="M666" s="193">
        <v>46042</v>
      </c>
      <c r="N666" s="194" t="s">
        <v>4</v>
      </c>
      <c r="O666" s="141" t="s">
        <v>15</v>
      </c>
      <c r="P666" s="117"/>
      <c r="Q666" s="407">
        <v>46038</v>
      </c>
      <c r="R666" s="40" t="s">
        <v>445</v>
      </c>
      <c r="S666" s="208"/>
      <c r="T666" s="357"/>
      <c r="U666" s="84"/>
      <c r="V666" s="84"/>
      <c r="W666" s="84"/>
      <c r="X666" s="84"/>
      <c r="Y666" s="84"/>
      <c r="Z666" s="84"/>
      <c r="AA666" s="81"/>
      <c r="AB666" s="81"/>
      <c r="AC666" s="81"/>
      <c r="AD666" s="81"/>
      <c r="AE666" s="81"/>
      <c r="AF666" s="81"/>
      <c r="AG666" s="81"/>
    </row>
    <row r="667" spans="1:33" ht="15.75" customHeight="1" x14ac:dyDescent="0.3">
      <c r="A667" s="104"/>
      <c r="B667" s="104"/>
      <c r="C667" s="74">
        <f t="shared" ca="1" si="8"/>
        <v>648</v>
      </c>
      <c r="D667" s="636"/>
      <c r="E667" s="664"/>
      <c r="F667" s="567" t="s">
        <v>459</v>
      </c>
      <c r="G667" s="219" t="s">
        <v>448</v>
      </c>
      <c r="H667" s="264"/>
      <c r="I667" s="226" t="s">
        <v>3070</v>
      </c>
      <c r="J667" s="247" t="s">
        <v>2270</v>
      </c>
      <c r="K667" s="245" t="s">
        <v>3071</v>
      </c>
      <c r="L667" s="141" t="s">
        <v>15</v>
      </c>
      <c r="M667" s="193">
        <v>46042</v>
      </c>
      <c r="N667" s="194" t="s">
        <v>4</v>
      </c>
      <c r="O667" s="141" t="s">
        <v>15</v>
      </c>
      <c r="P667" s="117"/>
      <c r="Q667" s="407">
        <v>46038</v>
      </c>
      <c r="R667" s="40" t="s">
        <v>445</v>
      </c>
      <c r="S667" s="208"/>
      <c r="T667" s="357"/>
      <c r="U667" s="84"/>
      <c r="V667" s="84"/>
      <c r="W667" s="84"/>
      <c r="X667" s="84"/>
      <c r="Y667" s="84"/>
      <c r="Z667" s="84"/>
      <c r="AA667" s="81"/>
      <c r="AB667" s="81"/>
      <c r="AC667" s="81"/>
      <c r="AD667" s="81"/>
      <c r="AE667" s="81"/>
      <c r="AF667" s="81"/>
      <c r="AG667" s="81"/>
    </row>
    <row r="668" spans="1:33" ht="15.75" customHeight="1" x14ac:dyDescent="0.3">
      <c r="A668" s="104"/>
      <c r="B668" s="104"/>
      <c r="C668" s="74">
        <f t="shared" ca="1" si="8"/>
        <v>649</v>
      </c>
      <c r="D668" s="636"/>
      <c r="E668" s="636"/>
      <c r="F668" s="567" t="s">
        <v>459</v>
      </c>
      <c r="G668" s="219" t="s">
        <v>448</v>
      </c>
      <c r="H668" s="264"/>
      <c r="I668" s="226" t="s">
        <v>3072</v>
      </c>
      <c r="J668" s="247" t="s">
        <v>2270</v>
      </c>
      <c r="K668" s="245" t="s">
        <v>3073</v>
      </c>
      <c r="L668" s="141" t="s">
        <v>15</v>
      </c>
      <c r="M668" s="193">
        <v>46042</v>
      </c>
      <c r="N668" s="194" t="s">
        <v>4</v>
      </c>
      <c r="O668" s="141" t="s">
        <v>15</v>
      </c>
      <c r="P668" s="117"/>
      <c r="Q668" s="407">
        <v>46038</v>
      </c>
      <c r="R668" s="40" t="s">
        <v>445</v>
      </c>
      <c r="S668" s="208"/>
      <c r="T668" s="357"/>
      <c r="U668" s="84"/>
      <c r="V668" s="84"/>
      <c r="W668" s="84"/>
      <c r="X668" s="84"/>
      <c r="Y668" s="84"/>
      <c r="Z668" s="84"/>
      <c r="AA668" s="81"/>
      <c r="AB668" s="81"/>
      <c r="AC668" s="81"/>
      <c r="AD668" s="81"/>
      <c r="AE668" s="81"/>
      <c r="AF668" s="81"/>
      <c r="AG668" s="81"/>
    </row>
    <row r="669" spans="1:33" ht="15.75" customHeight="1" x14ac:dyDescent="0.3">
      <c r="A669" s="104"/>
      <c r="B669" s="104"/>
      <c r="C669" s="74">
        <f t="shared" ca="1" si="8"/>
        <v>650</v>
      </c>
      <c r="D669" s="636"/>
      <c r="E669" s="636"/>
      <c r="F669" s="567" t="s">
        <v>459</v>
      </c>
      <c r="G669" s="219" t="s">
        <v>448</v>
      </c>
      <c r="H669" s="264"/>
      <c r="I669" s="226" t="s">
        <v>3074</v>
      </c>
      <c r="J669" s="247" t="s">
        <v>2270</v>
      </c>
      <c r="K669" s="245" t="s">
        <v>3075</v>
      </c>
      <c r="L669" s="141" t="s">
        <v>15</v>
      </c>
      <c r="M669" s="193">
        <v>46042</v>
      </c>
      <c r="N669" s="194" t="s">
        <v>4</v>
      </c>
      <c r="O669" s="141" t="s">
        <v>15</v>
      </c>
      <c r="P669" s="117"/>
      <c r="Q669" s="407">
        <v>46038</v>
      </c>
      <c r="R669" s="40" t="s">
        <v>445</v>
      </c>
      <c r="S669" s="208"/>
      <c r="T669" s="357"/>
      <c r="U669" s="84"/>
      <c r="V669" s="84"/>
      <c r="W669" s="84"/>
      <c r="X669" s="84"/>
      <c r="Y669" s="84"/>
      <c r="Z669" s="84"/>
      <c r="AA669" s="81"/>
      <c r="AB669" s="81"/>
      <c r="AC669" s="81"/>
      <c r="AD669" s="81"/>
      <c r="AE669" s="81"/>
      <c r="AF669" s="81"/>
      <c r="AG669" s="81"/>
    </row>
    <row r="670" spans="1:33" ht="15.75" customHeight="1" x14ac:dyDescent="0.3">
      <c r="A670" s="104"/>
      <c r="B670" s="104"/>
      <c r="C670" s="74">
        <f t="shared" ca="1" si="8"/>
        <v>651</v>
      </c>
      <c r="D670" s="636"/>
      <c r="E670" s="636"/>
      <c r="F670" s="567" t="s">
        <v>459</v>
      </c>
      <c r="G670" s="219" t="s">
        <v>448</v>
      </c>
      <c r="H670" s="264"/>
      <c r="I670" s="226" t="s">
        <v>3076</v>
      </c>
      <c r="J670" s="247" t="s">
        <v>2270</v>
      </c>
      <c r="K670" s="245" t="s">
        <v>3077</v>
      </c>
      <c r="L670" s="141" t="s">
        <v>15</v>
      </c>
      <c r="M670" s="193">
        <v>46042</v>
      </c>
      <c r="N670" s="194" t="s">
        <v>4</v>
      </c>
      <c r="O670" s="141" t="s">
        <v>15</v>
      </c>
      <c r="P670" s="117"/>
      <c r="Q670" s="407">
        <v>46038</v>
      </c>
      <c r="R670" s="40" t="s">
        <v>445</v>
      </c>
      <c r="S670" s="208"/>
      <c r="T670" s="357"/>
      <c r="U670" s="84"/>
      <c r="V670" s="84"/>
      <c r="W670" s="84"/>
      <c r="X670" s="84"/>
      <c r="Y670" s="84"/>
      <c r="Z670" s="84"/>
      <c r="AA670" s="81"/>
      <c r="AB670" s="81"/>
      <c r="AC670" s="81"/>
      <c r="AD670" s="81"/>
      <c r="AE670" s="81"/>
      <c r="AF670" s="81"/>
      <c r="AG670" s="81"/>
    </row>
    <row r="671" spans="1:33" ht="15.75" customHeight="1" x14ac:dyDescent="0.3">
      <c r="A671" s="104"/>
      <c r="B671" s="104"/>
      <c r="C671" s="74">
        <f t="shared" ca="1" si="8"/>
        <v>652</v>
      </c>
      <c r="D671" s="636"/>
      <c r="E671" s="636"/>
      <c r="F671" s="567" t="s">
        <v>459</v>
      </c>
      <c r="G671" s="219" t="s">
        <v>448</v>
      </c>
      <c r="H671" s="264"/>
      <c r="I671" s="226" t="s">
        <v>3078</v>
      </c>
      <c r="J671" s="247" t="s">
        <v>2270</v>
      </c>
      <c r="K671" s="245" t="s">
        <v>3079</v>
      </c>
      <c r="L671" s="141" t="s">
        <v>15</v>
      </c>
      <c r="M671" s="193">
        <v>46042</v>
      </c>
      <c r="N671" s="194" t="s">
        <v>4</v>
      </c>
      <c r="O671" s="141" t="s">
        <v>15</v>
      </c>
      <c r="P671" s="117"/>
      <c r="Q671" s="407">
        <v>46038</v>
      </c>
      <c r="R671" s="40" t="s">
        <v>445</v>
      </c>
      <c r="S671" s="208"/>
      <c r="T671" s="357"/>
      <c r="U671" s="84"/>
      <c r="V671" s="84"/>
      <c r="W671" s="84"/>
      <c r="X671" s="84"/>
      <c r="Y671" s="84"/>
      <c r="Z671" s="84"/>
      <c r="AA671" s="81"/>
      <c r="AB671" s="81"/>
      <c r="AC671" s="81"/>
      <c r="AD671" s="81"/>
      <c r="AE671" s="81"/>
      <c r="AF671" s="81"/>
      <c r="AG671" s="81"/>
    </row>
    <row r="672" spans="1:33" ht="15.75" customHeight="1" x14ac:dyDescent="0.3">
      <c r="A672" s="104"/>
      <c r="B672" s="104"/>
      <c r="C672" s="74">
        <f t="shared" ca="1" si="8"/>
        <v>653</v>
      </c>
      <c r="D672" s="635"/>
      <c r="E672" s="635"/>
      <c r="F672" s="567" t="s">
        <v>459</v>
      </c>
      <c r="G672" s="219" t="s">
        <v>448</v>
      </c>
      <c r="H672" s="264"/>
      <c r="I672" s="226" t="s">
        <v>3080</v>
      </c>
      <c r="J672" s="247" t="s">
        <v>2270</v>
      </c>
      <c r="K672" s="245" t="s">
        <v>3081</v>
      </c>
      <c r="L672" s="141" t="s">
        <v>15</v>
      </c>
      <c r="M672" s="193">
        <v>46042</v>
      </c>
      <c r="N672" s="194" t="s">
        <v>4</v>
      </c>
      <c r="O672" s="141" t="s">
        <v>15</v>
      </c>
      <c r="P672" s="117"/>
      <c r="Q672" s="407">
        <v>46038</v>
      </c>
      <c r="R672" s="40" t="s">
        <v>445</v>
      </c>
      <c r="S672" s="208"/>
      <c r="T672" s="357"/>
      <c r="U672" s="84"/>
      <c r="V672" s="84"/>
      <c r="W672" s="84"/>
      <c r="X672" s="84"/>
      <c r="Y672" s="84"/>
      <c r="Z672" s="84"/>
      <c r="AA672" s="81"/>
      <c r="AB672" s="81"/>
      <c r="AC672" s="81"/>
      <c r="AD672" s="81"/>
      <c r="AE672" s="81"/>
      <c r="AF672" s="81"/>
      <c r="AG672" s="81"/>
    </row>
    <row r="673" spans="1:33" ht="15.75" customHeight="1" x14ac:dyDescent="0.3">
      <c r="A673" s="104"/>
      <c r="B673" s="104"/>
      <c r="C673" s="74">
        <f t="shared" ca="1" si="8"/>
        <v>654</v>
      </c>
      <c r="D673" s="664" t="s">
        <v>384</v>
      </c>
      <c r="E673" s="253" t="s">
        <v>257</v>
      </c>
      <c r="F673" s="576" t="s">
        <v>457</v>
      </c>
      <c r="G673" s="251" t="s">
        <v>448</v>
      </c>
      <c r="H673" s="264"/>
      <c r="I673" s="226" t="s">
        <v>383</v>
      </c>
      <c r="J673" s="247" t="s">
        <v>2270</v>
      </c>
      <c r="K673" s="245" t="s">
        <v>3082</v>
      </c>
      <c r="L673" s="141" t="s">
        <v>15</v>
      </c>
      <c r="M673" s="193">
        <v>46042</v>
      </c>
      <c r="N673" s="194" t="s">
        <v>4</v>
      </c>
      <c r="O673" s="141" t="s">
        <v>15</v>
      </c>
      <c r="P673" s="117"/>
      <c r="Q673" s="407">
        <v>46038</v>
      </c>
      <c r="R673" s="40" t="s">
        <v>445</v>
      </c>
      <c r="S673" s="208"/>
      <c r="T673" s="357"/>
      <c r="U673" s="84"/>
      <c r="V673" s="84"/>
      <c r="W673" s="84"/>
      <c r="X673" s="84"/>
      <c r="Y673" s="84"/>
      <c r="Z673" s="84"/>
      <c r="AA673" s="81"/>
      <c r="AB673" s="81"/>
      <c r="AC673" s="81"/>
      <c r="AD673" s="81"/>
      <c r="AE673" s="81"/>
      <c r="AF673" s="81"/>
      <c r="AG673" s="81"/>
    </row>
    <row r="674" spans="1:33" ht="15.75" customHeight="1" x14ac:dyDescent="0.3">
      <c r="A674" s="104"/>
      <c r="B674" s="104"/>
      <c r="C674" s="74">
        <f t="shared" ca="1" si="8"/>
        <v>655</v>
      </c>
      <c r="D674" s="636"/>
      <c r="E674" s="664"/>
      <c r="F674" s="576" t="s">
        <v>459</v>
      </c>
      <c r="G674" s="251" t="s">
        <v>448</v>
      </c>
      <c r="H674" s="264"/>
      <c r="I674" s="226" t="s">
        <v>3083</v>
      </c>
      <c r="J674" s="247" t="s">
        <v>2270</v>
      </c>
      <c r="K674" s="245" t="s">
        <v>3084</v>
      </c>
      <c r="L674" s="141" t="s">
        <v>15</v>
      </c>
      <c r="M674" s="193">
        <v>46042</v>
      </c>
      <c r="N674" s="194" t="s">
        <v>4</v>
      </c>
      <c r="O674" s="141" t="s">
        <v>15</v>
      </c>
      <c r="P674" s="117"/>
      <c r="Q674" s="407">
        <v>46038</v>
      </c>
      <c r="R674" s="40" t="s">
        <v>445</v>
      </c>
      <c r="S674" s="208"/>
      <c r="T674" s="357"/>
      <c r="U674" s="84"/>
      <c r="V674" s="84"/>
      <c r="W674" s="84"/>
      <c r="X674" s="84"/>
      <c r="Y674" s="84"/>
      <c r="Z674" s="84"/>
      <c r="AA674" s="81"/>
      <c r="AB674" s="81"/>
      <c r="AC674" s="81"/>
      <c r="AD674" s="81"/>
      <c r="AE674" s="81"/>
      <c r="AF674" s="81"/>
      <c r="AG674" s="81"/>
    </row>
    <row r="675" spans="1:33" ht="15.75" customHeight="1" x14ac:dyDescent="0.3">
      <c r="A675" s="104"/>
      <c r="B675" s="104"/>
      <c r="C675" s="74">
        <f t="shared" ca="1" si="8"/>
        <v>656</v>
      </c>
      <c r="D675" s="636"/>
      <c r="E675" s="636"/>
      <c r="F675" s="576" t="s">
        <v>459</v>
      </c>
      <c r="G675" s="251" t="s">
        <v>448</v>
      </c>
      <c r="H675" s="264"/>
      <c r="I675" s="226" t="s">
        <v>3085</v>
      </c>
      <c r="J675" s="247" t="s">
        <v>2270</v>
      </c>
      <c r="K675" s="245" t="s">
        <v>3086</v>
      </c>
      <c r="L675" s="141" t="s">
        <v>15</v>
      </c>
      <c r="M675" s="193">
        <v>46042</v>
      </c>
      <c r="N675" s="194" t="s">
        <v>4</v>
      </c>
      <c r="O675" s="141" t="s">
        <v>158</v>
      </c>
      <c r="P675" s="117" t="s">
        <v>211</v>
      </c>
      <c r="Q675" s="407">
        <v>46038</v>
      </c>
      <c r="R675" s="40" t="s">
        <v>445</v>
      </c>
      <c r="S675" s="208" t="s">
        <v>3087</v>
      </c>
      <c r="T675" s="357"/>
      <c r="U675" s="84"/>
      <c r="V675" s="84"/>
      <c r="W675" s="84"/>
      <c r="X675" s="84"/>
      <c r="Y675" s="84"/>
      <c r="Z675" s="84"/>
      <c r="AA675" s="81"/>
      <c r="AB675" s="81"/>
      <c r="AC675" s="81"/>
      <c r="AD675" s="81"/>
      <c r="AE675" s="81"/>
      <c r="AF675" s="81"/>
      <c r="AG675" s="81"/>
    </row>
    <row r="676" spans="1:33" ht="15.75" customHeight="1" x14ac:dyDescent="0.3">
      <c r="A676" s="104"/>
      <c r="B676" s="104"/>
      <c r="C676" s="74">
        <f t="shared" ca="1" si="8"/>
        <v>657</v>
      </c>
      <c r="D676" s="636"/>
      <c r="E676" s="636"/>
      <c r="F676" s="576" t="s">
        <v>459</v>
      </c>
      <c r="G676" s="251" t="s">
        <v>448</v>
      </c>
      <c r="H676" s="264"/>
      <c r="I676" s="226" t="s">
        <v>3088</v>
      </c>
      <c r="J676" s="247" t="s">
        <v>2270</v>
      </c>
      <c r="K676" s="245" t="s">
        <v>3084</v>
      </c>
      <c r="L676" s="141" t="s">
        <v>15</v>
      </c>
      <c r="M676" s="193">
        <v>46042</v>
      </c>
      <c r="N676" s="194" t="s">
        <v>4</v>
      </c>
      <c r="O676" s="141" t="s">
        <v>15</v>
      </c>
      <c r="P676" s="117"/>
      <c r="Q676" s="407">
        <v>46038</v>
      </c>
      <c r="R676" s="40" t="s">
        <v>445</v>
      </c>
      <c r="S676" s="208"/>
      <c r="T676" s="357"/>
      <c r="U676" s="84"/>
      <c r="V676" s="84"/>
      <c r="W676" s="84"/>
      <c r="X676" s="84"/>
      <c r="Y676" s="84"/>
      <c r="Z676" s="84"/>
      <c r="AA676" s="81"/>
      <c r="AB676" s="81"/>
      <c r="AC676" s="81"/>
      <c r="AD676" s="81"/>
      <c r="AE676" s="81"/>
      <c r="AF676" s="81"/>
      <c r="AG676" s="81"/>
    </row>
    <row r="677" spans="1:33" ht="15.75" customHeight="1" x14ac:dyDescent="0.3">
      <c r="A677" s="104"/>
      <c r="B677" s="104"/>
      <c r="C677" s="74">
        <f t="shared" ca="1" si="8"/>
        <v>658</v>
      </c>
      <c r="D677" s="635"/>
      <c r="E677" s="635"/>
      <c r="F677" s="576" t="s">
        <v>459</v>
      </c>
      <c r="G677" s="251" t="s">
        <v>448</v>
      </c>
      <c r="H677" s="243"/>
      <c r="I677" s="408" t="s">
        <v>440</v>
      </c>
      <c r="J677" s="247" t="s">
        <v>2270</v>
      </c>
      <c r="K677" s="226" t="s">
        <v>3089</v>
      </c>
      <c r="L677" s="141" t="s">
        <v>15</v>
      </c>
      <c r="M677" s="193">
        <v>46042</v>
      </c>
      <c r="N677" s="194" t="s">
        <v>4</v>
      </c>
      <c r="O677" s="197" t="s">
        <v>15</v>
      </c>
      <c r="P677" s="275"/>
      <c r="Q677" s="407">
        <v>46038</v>
      </c>
      <c r="R677" s="40" t="s">
        <v>445</v>
      </c>
      <c r="S677" s="208"/>
      <c r="T677" s="357"/>
      <c r="U677" s="525"/>
      <c r="V677" s="525"/>
      <c r="W677" s="525"/>
      <c r="X677" s="525"/>
      <c r="Y677" s="525"/>
      <c r="Z677" s="525"/>
      <c r="AA677" s="81"/>
      <c r="AB677" s="81"/>
      <c r="AC677" s="81"/>
      <c r="AD677" s="81"/>
      <c r="AE677" s="81"/>
      <c r="AF677" s="81"/>
      <c r="AG677" s="81"/>
    </row>
    <row r="678" spans="1:33" ht="15.75" customHeight="1" x14ac:dyDescent="0.3">
      <c r="A678" s="104"/>
      <c r="B678" s="104"/>
      <c r="C678" s="130">
        <f t="shared" ca="1" si="8"/>
        <v>659</v>
      </c>
      <c r="D678" s="233" t="s">
        <v>2271</v>
      </c>
      <c r="E678" s="251" t="s">
        <v>257</v>
      </c>
      <c r="F678" s="567" t="s">
        <v>457</v>
      </c>
      <c r="G678" s="219" t="s">
        <v>448</v>
      </c>
      <c r="H678" s="243"/>
      <c r="I678" s="226" t="s">
        <v>389</v>
      </c>
      <c r="J678" s="172" t="s">
        <v>261</v>
      </c>
      <c r="K678" s="245" t="s">
        <v>2272</v>
      </c>
      <c r="L678" s="141" t="s">
        <v>15</v>
      </c>
      <c r="M678" s="193">
        <v>46042</v>
      </c>
      <c r="N678" s="194" t="s">
        <v>4</v>
      </c>
      <c r="O678" s="141" t="s">
        <v>15</v>
      </c>
      <c r="P678" s="117"/>
      <c r="Q678" s="407">
        <v>46038</v>
      </c>
      <c r="R678" s="40" t="s">
        <v>445</v>
      </c>
      <c r="S678" s="208"/>
      <c r="T678" s="357"/>
      <c r="U678" s="84"/>
      <c r="V678" s="84"/>
      <c r="W678" s="84"/>
      <c r="X678" s="84"/>
      <c r="Y678" s="84"/>
      <c r="Z678" s="84"/>
      <c r="AA678" s="81"/>
      <c r="AB678" s="81"/>
      <c r="AC678" s="81"/>
      <c r="AD678" s="81"/>
      <c r="AE678" s="81"/>
      <c r="AF678" s="81"/>
      <c r="AG678" s="81"/>
    </row>
    <row r="679" spans="1:33" ht="15.75" customHeight="1" x14ac:dyDescent="0.3">
      <c r="A679" s="104"/>
      <c r="B679" s="104"/>
      <c r="C679" s="74">
        <f t="shared" ca="1" si="8"/>
        <v>660</v>
      </c>
      <c r="D679" s="256"/>
      <c r="E679" s="575"/>
      <c r="F679" s="567" t="s">
        <v>3060</v>
      </c>
      <c r="G679" s="219" t="s">
        <v>448</v>
      </c>
      <c r="H679" s="264"/>
      <c r="I679" s="226" t="s">
        <v>385</v>
      </c>
      <c r="J679" s="172" t="s">
        <v>2273</v>
      </c>
      <c r="K679" s="245" t="s">
        <v>2274</v>
      </c>
      <c r="L679" s="290" t="s">
        <v>15</v>
      </c>
      <c r="M679" s="407">
        <v>46045</v>
      </c>
      <c r="N679" s="40" t="s">
        <v>4</v>
      </c>
      <c r="O679" s="141"/>
      <c r="P679" s="117"/>
      <c r="Q679" s="407"/>
      <c r="R679" s="40"/>
      <c r="S679" s="208"/>
      <c r="T679" s="357"/>
      <c r="U679" s="84"/>
      <c r="V679" s="84"/>
      <c r="W679" s="84"/>
      <c r="X679" s="84"/>
      <c r="Y679" s="84"/>
      <c r="Z679" s="84"/>
      <c r="AA679" s="81"/>
      <c r="AB679" s="81"/>
      <c r="AC679" s="81"/>
      <c r="AD679" s="81"/>
      <c r="AE679" s="81"/>
      <c r="AF679" s="81"/>
      <c r="AG679" s="81"/>
    </row>
    <row r="680" spans="1:33" ht="15.75" customHeight="1" x14ac:dyDescent="0.3">
      <c r="A680" s="104"/>
      <c r="B680" s="104"/>
      <c r="C680" s="74">
        <f t="shared" ca="1" si="8"/>
        <v>661</v>
      </c>
      <c r="D680" s="256" t="s">
        <v>2275</v>
      </c>
      <c r="E680" s="253" t="s">
        <v>359</v>
      </c>
      <c r="F680" s="567" t="s">
        <v>3060</v>
      </c>
      <c r="G680" s="219" t="s">
        <v>448</v>
      </c>
      <c r="H680" s="264"/>
      <c r="I680" s="226"/>
      <c r="J680" s="172" t="s">
        <v>387</v>
      </c>
      <c r="K680" s="245" t="s">
        <v>3090</v>
      </c>
      <c r="L680" s="141" t="s">
        <v>15</v>
      </c>
      <c r="M680" s="193">
        <v>46045</v>
      </c>
      <c r="N680" s="194" t="s">
        <v>4</v>
      </c>
      <c r="O680" s="141" t="s">
        <v>158</v>
      </c>
      <c r="P680" s="117" t="s">
        <v>211</v>
      </c>
      <c r="Q680" s="407">
        <v>46038</v>
      </c>
      <c r="R680" s="40" t="s">
        <v>445</v>
      </c>
      <c r="S680" s="208" t="s">
        <v>3091</v>
      </c>
      <c r="T680" s="357"/>
      <c r="U680" s="84"/>
      <c r="V680" s="84"/>
      <c r="W680" s="84"/>
      <c r="X680" s="84"/>
      <c r="Y680" s="84"/>
      <c r="Z680" s="84"/>
      <c r="AA680" s="81"/>
      <c r="AB680" s="81"/>
      <c r="AC680" s="81"/>
      <c r="AD680" s="81"/>
      <c r="AE680" s="81"/>
      <c r="AF680" s="81"/>
      <c r="AG680" s="81"/>
    </row>
    <row r="681" spans="1:33" ht="15.75" customHeight="1" x14ac:dyDescent="0.3">
      <c r="A681" s="104"/>
      <c r="B681" s="104"/>
      <c r="C681" s="74">
        <f t="shared" ca="1" si="8"/>
        <v>662</v>
      </c>
      <c r="D681" s="664" t="s">
        <v>388</v>
      </c>
      <c r="E681" s="575" t="s">
        <v>257</v>
      </c>
      <c r="F681" s="567" t="s">
        <v>457</v>
      </c>
      <c r="G681" s="219" t="s">
        <v>448</v>
      </c>
      <c r="H681" s="264"/>
      <c r="I681" s="226" t="s">
        <v>389</v>
      </c>
      <c r="J681" s="172" t="s">
        <v>261</v>
      </c>
      <c r="K681" s="245" t="s">
        <v>3092</v>
      </c>
      <c r="L681" s="141" t="s">
        <v>15</v>
      </c>
      <c r="M681" s="193">
        <v>46042</v>
      </c>
      <c r="N681" s="194" t="s">
        <v>4</v>
      </c>
      <c r="O681" s="141" t="s">
        <v>15</v>
      </c>
      <c r="P681" s="117"/>
      <c r="Q681" s="407">
        <v>46038</v>
      </c>
      <c r="R681" s="40" t="s">
        <v>445</v>
      </c>
      <c r="S681" s="208"/>
      <c r="T681" s="357"/>
      <c r="U681" s="84"/>
      <c r="V681" s="84"/>
      <c r="W681" s="84"/>
      <c r="X681" s="84"/>
      <c r="Y681" s="84"/>
      <c r="Z681" s="84"/>
      <c r="AA681" s="81"/>
      <c r="AB681" s="81"/>
      <c r="AC681" s="81"/>
      <c r="AD681" s="81"/>
      <c r="AE681" s="81"/>
      <c r="AF681" s="81"/>
      <c r="AG681" s="81"/>
    </row>
    <row r="682" spans="1:33" ht="15.75" customHeight="1" x14ac:dyDescent="0.3">
      <c r="A682" s="104"/>
      <c r="B682" s="104"/>
      <c r="C682" s="74">
        <f t="shared" ca="1" si="8"/>
        <v>663</v>
      </c>
      <c r="D682" s="636"/>
      <c r="E682" s="664" t="s">
        <v>237</v>
      </c>
      <c r="F682" s="567" t="s">
        <v>459</v>
      </c>
      <c r="G682" s="219" t="s">
        <v>448</v>
      </c>
      <c r="H682" s="264"/>
      <c r="I682" s="226"/>
      <c r="J682" s="247" t="s">
        <v>2270</v>
      </c>
      <c r="K682" s="245" t="s">
        <v>3093</v>
      </c>
      <c r="L682" s="141" t="s">
        <v>15</v>
      </c>
      <c r="M682" s="193">
        <v>46042</v>
      </c>
      <c r="N682" s="194" t="s">
        <v>4</v>
      </c>
      <c r="O682" s="141" t="s">
        <v>158</v>
      </c>
      <c r="P682" s="117" t="s">
        <v>211</v>
      </c>
      <c r="Q682" s="407">
        <v>46038</v>
      </c>
      <c r="R682" s="40" t="s">
        <v>445</v>
      </c>
      <c r="S682" s="208" t="s">
        <v>3094</v>
      </c>
      <c r="T682" s="357"/>
      <c r="U682" s="84"/>
      <c r="V682" s="84"/>
      <c r="W682" s="84"/>
      <c r="X682" s="84"/>
      <c r="Y682" s="84"/>
      <c r="Z682" s="84"/>
      <c r="AA682" s="81"/>
      <c r="AB682" s="81"/>
      <c r="AC682" s="81"/>
      <c r="AD682" s="81"/>
      <c r="AE682" s="81"/>
      <c r="AF682" s="81"/>
      <c r="AG682" s="81"/>
    </row>
    <row r="683" spans="1:33" ht="15.75" customHeight="1" x14ac:dyDescent="0.3">
      <c r="A683" s="104"/>
      <c r="B683" s="104"/>
      <c r="C683" s="74">
        <f t="shared" ca="1" si="8"/>
        <v>664</v>
      </c>
      <c r="D683" s="636"/>
      <c r="E683" s="636"/>
      <c r="F683" s="567" t="s">
        <v>459</v>
      </c>
      <c r="G683" s="219" t="s">
        <v>448</v>
      </c>
      <c r="H683" s="264"/>
      <c r="I683" s="226" t="s">
        <v>3095</v>
      </c>
      <c r="J683" s="172" t="s">
        <v>261</v>
      </c>
      <c r="K683" s="245" t="s">
        <v>3096</v>
      </c>
      <c r="L683" s="290" t="s">
        <v>15</v>
      </c>
      <c r="M683" s="407">
        <v>46045</v>
      </c>
      <c r="N683" s="40" t="s">
        <v>4</v>
      </c>
      <c r="O683" s="141" t="s">
        <v>158</v>
      </c>
      <c r="P683" s="117" t="s">
        <v>211</v>
      </c>
      <c r="Q683" s="407">
        <v>46038</v>
      </c>
      <c r="R683" s="40" t="s">
        <v>445</v>
      </c>
      <c r="S683" s="208" t="s">
        <v>3097</v>
      </c>
      <c r="T683" s="357"/>
      <c r="U683" s="84"/>
      <c r="V683" s="84"/>
      <c r="W683" s="84"/>
      <c r="X683" s="84"/>
      <c r="Y683" s="84"/>
      <c r="Z683" s="84"/>
      <c r="AA683" s="81"/>
      <c r="AB683" s="81"/>
      <c r="AC683" s="81"/>
      <c r="AD683" s="81"/>
      <c r="AE683" s="81"/>
      <c r="AF683" s="81"/>
      <c r="AG683" s="81"/>
    </row>
    <row r="684" spans="1:33" ht="15.75" customHeight="1" x14ac:dyDescent="0.3">
      <c r="A684" s="104"/>
      <c r="B684" s="104"/>
      <c r="C684" s="74">
        <f t="shared" ca="1" si="8"/>
        <v>665</v>
      </c>
      <c r="D684" s="635"/>
      <c r="E684" s="635"/>
      <c r="F684" s="567" t="s">
        <v>459</v>
      </c>
      <c r="G684" s="219" t="s">
        <v>448</v>
      </c>
      <c r="H684" s="264"/>
      <c r="I684" s="226" t="s">
        <v>3098</v>
      </c>
      <c r="J684" s="172" t="s">
        <v>261</v>
      </c>
      <c r="K684" s="245" t="s">
        <v>3099</v>
      </c>
      <c r="L684" s="290" t="s">
        <v>15</v>
      </c>
      <c r="M684" s="407">
        <v>46045</v>
      </c>
      <c r="N684" s="40" t="s">
        <v>4</v>
      </c>
      <c r="O684" s="141" t="s">
        <v>158</v>
      </c>
      <c r="P684" s="117" t="s">
        <v>211</v>
      </c>
      <c r="Q684" s="407">
        <v>46038</v>
      </c>
      <c r="R684" s="40" t="s">
        <v>445</v>
      </c>
      <c r="S684" s="208" t="s">
        <v>3100</v>
      </c>
      <c r="T684" s="357"/>
      <c r="U684" s="84"/>
      <c r="V684" s="84"/>
      <c r="W684" s="84"/>
      <c r="X684" s="84"/>
      <c r="Y684" s="84"/>
      <c r="Z684" s="84"/>
      <c r="AA684" s="81"/>
      <c r="AB684" s="81"/>
      <c r="AC684" s="81"/>
      <c r="AD684" s="81"/>
      <c r="AE684" s="81"/>
      <c r="AF684" s="81"/>
      <c r="AG684" s="81"/>
    </row>
    <row r="685" spans="1:33" ht="15.75" customHeight="1" x14ac:dyDescent="0.3">
      <c r="A685" s="104"/>
      <c r="B685" s="104"/>
      <c r="C685" s="74">
        <f t="shared" ca="1" si="8"/>
        <v>666</v>
      </c>
      <c r="D685" s="664" t="s">
        <v>391</v>
      </c>
      <c r="E685" s="253" t="s">
        <v>257</v>
      </c>
      <c r="F685" s="567" t="s">
        <v>457</v>
      </c>
      <c r="G685" s="219" t="s">
        <v>448</v>
      </c>
      <c r="H685" s="264"/>
      <c r="I685" s="226" t="s">
        <v>389</v>
      </c>
      <c r="J685" s="172" t="s">
        <v>261</v>
      </c>
      <c r="K685" s="245" t="s">
        <v>3101</v>
      </c>
      <c r="L685" s="141" t="s">
        <v>15</v>
      </c>
      <c r="M685" s="193">
        <v>46042</v>
      </c>
      <c r="N685" s="194" t="s">
        <v>4</v>
      </c>
      <c r="O685" s="141" t="s">
        <v>15</v>
      </c>
      <c r="P685" s="117"/>
      <c r="Q685" s="407">
        <v>46038</v>
      </c>
      <c r="R685" s="40" t="s">
        <v>445</v>
      </c>
      <c r="S685" s="208"/>
      <c r="T685" s="357"/>
      <c r="U685" s="84"/>
      <c r="V685" s="84"/>
      <c r="W685" s="84"/>
      <c r="X685" s="84"/>
      <c r="Y685" s="84"/>
      <c r="Z685" s="84"/>
      <c r="AA685" s="81"/>
      <c r="AB685" s="81"/>
      <c r="AC685" s="81"/>
      <c r="AD685" s="81"/>
      <c r="AE685" s="81"/>
      <c r="AF685" s="81"/>
      <c r="AG685" s="81"/>
    </row>
    <row r="686" spans="1:33" ht="15.75" customHeight="1" x14ac:dyDescent="0.3">
      <c r="A686" s="104"/>
      <c r="B686" s="104"/>
      <c r="C686" s="74">
        <f t="shared" ca="1" si="8"/>
        <v>667</v>
      </c>
      <c r="D686" s="636"/>
      <c r="E686" s="664" t="s">
        <v>237</v>
      </c>
      <c r="F686" s="576" t="s">
        <v>459</v>
      </c>
      <c r="G686" s="251" t="s">
        <v>448</v>
      </c>
      <c r="H686" s="264"/>
      <c r="I686" s="258" t="s">
        <v>442</v>
      </c>
      <c r="J686" s="175" t="s">
        <v>261</v>
      </c>
      <c r="K686" s="577" t="s">
        <v>3102</v>
      </c>
      <c r="L686" s="141" t="s">
        <v>15</v>
      </c>
      <c r="M686" s="193">
        <v>46042</v>
      </c>
      <c r="N686" s="194" t="s">
        <v>4</v>
      </c>
      <c r="O686" s="141" t="s">
        <v>158</v>
      </c>
      <c r="P686" s="117" t="s">
        <v>211</v>
      </c>
      <c r="Q686" s="407">
        <v>46038</v>
      </c>
      <c r="R686" s="40" t="s">
        <v>445</v>
      </c>
      <c r="S686" s="208" t="s">
        <v>3103</v>
      </c>
      <c r="T686" s="357"/>
      <c r="U686" s="84"/>
      <c r="V686" s="84"/>
      <c r="W686" s="84"/>
      <c r="X686" s="84"/>
      <c r="Y686" s="84"/>
      <c r="Z686" s="84"/>
      <c r="AA686" s="81"/>
      <c r="AB686" s="81"/>
      <c r="AC686" s="81"/>
      <c r="AD686" s="81"/>
      <c r="AE686" s="81"/>
      <c r="AF686" s="81"/>
      <c r="AG686" s="81"/>
    </row>
    <row r="687" spans="1:33" ht="15.75" customHeight="1" x14ac:dyDescent="0.3">
      <c r="A687" s="104"/>
      <c r="B687" s="104"/>
      <c r="C687" s="74">
        <f t="shared" ca="1" si="8"/>
        <v>668</v>
      </c>
      <c r="D687" s="635"/>
      <c r="E687" s="635"/>
      <c r="F687" s="576" t="s">
        <v>459</v>
      </c>
      <c r="G687" s="251" t="s">
        <v>448</v>
      </c>
      <c r="H687" s="243"/>
      <c r="I687" s="410" t="s">
        <v>440</v>
      </c>
      <c r="J687" s="247" t="s">
        <v>2270</v>
      </c>
      <c r="K687" s="258" t="s">
        <v>402</v>
      </c>
      <c r="L687" s="141" t="s">
        <v>15</v>
      </c>
      <c r="M687" s="193">
        <v>46042</v>
      </c>
      <c r="N687" s="194" t="s">
        <v>4</v>
      </c>
      <c r="O687" s="197" t="s">
        <v>158</v>
      </c>
      <c r="P687" s="117" t="s">
        <v>211</v>
      </c>
      <c r="Q687" s="407">
        <v>46038</v>
      </c>
      <c r="R687" s="40" t="s">
        <v>445</v>
      </c>
      <c r="S687" s="208" t="s">
        <v>3104</v>
      </c>
      <c r="T687" s="357"/>
      <c r="U687" s="525"/>
      <c r="V687" s="525"/>
      <c r="W687" s="525"/>
      <c r="X687" s="525"/>
      <c r="Y687" s="525"/>
      <c r="Z687" s="525"/>
      <c r="AA687" s="81"/>
      <c r="AB687" s="81"/>
      <c r="AC687" s="81"/>
      <c r="AD687" s="81"/>
      <c r="AE687" s="81"/>
      <c r="AF687" s="81"/>
      <c r="AG687" s="81"/>
    </row>
    <row r="688" spans="1:33" ht="15.75" customHeight="1" x14ac:dyDescent="0.3">
      <c r="A688" s="104"/>
      <c r="B688" s="104"/>
      <c r="C688" s="74">
        <f t="shared" ca="1" si="8"/>
        <v>669</v>
      </c>
      <c r="D688" s="664" t="s">
        <v>393</v>
      </c>
      <c r="E688" s="253" t="s">
        <v>257</v>
      </c>
      <c r="F688" s="576" t="s">
        <v>457</v>
      </c>
      <c r="G688" s="251" t="s">
        <v>448</v>
      </c>
      <c r="H688" s="264"/>
      <c r="I688" s="226" t="s">
        <v>389</v>
      </c>
      <c r="J688" s="172" t="s">
        <v>261</v>
      </c>
      <c r="K688" s="245" t="s">
        <v>3105</v>
      </c>
      <c r="L688" s="141" t="s">
        <v>15</v>
      </c>
      <c r="M688" s="193">
        <v>46042</v>
      </c>
      <c r="N688" s="194" t="s">
        <v>4</v>
      </c>
      <c r="O688" s="141" t="s">
        <v>15</v>
      </c>
      <c r="P688" s="117"/>
      <c r="Q688" s="407">
        <v>46038</v>
      </c>
      <c r="R688" s="40" t="s">
        <v>445</v>
      </c>
      <c r="S688" s="208"/>
      <c r="T688" s="357"/>
      <c r="U688" s="84"/>
      <c r="V688" s="84"/>
      <c r="W688" s="84"/>
      <c r="X688" s="84"/>
      <c r="Y688" s="84"/>
      <c r="Z688" s="84"/>
      <c r="AA688" s="81"/>
      <c r="AB688" s="81"/>
      <c r="AC688" s="81"/>
      <c r="AD688" s="81"/>
      <c r="AE688" s="81"/>
      <c r="AF688" s="81"/>
      <c r="AG688" s="81"/>
    </row>
    <row r="689" spans="1:33" ht="15.75" customHeight="1" x14ac:dyDescent="0.3">
      <c r="A689" s="104"/>
      <c r="B689" s="104"/>
      <c r="C689" s="74">
        <f t="shared" ca="1" si="8"/>
        <v>670</v>
      </c>
      <c r="D689" s="636"/>
      <c r="E689" s="664" t="s">
        <v>237</v>
      </c>
      <c r="F689" s="576" t="s">
        <v>459</v>
      </c>
      <c r="G689" s="251" t="s">
        <v>448</v>
      </c>
      <c r="H689" s="264"/>
      <c r="I689" s="226"/>
      <c r="J689" s="247" t="s">
        <v>2270</v>
      </c>
      <c r="K689" s="245" t="s">
        <v>3106</v>
      </c>
      <c r="L689" s="141" t="s">
        <v>15</v>
      </c>
      <c r="M689" s="193">
        <v>46042</v>
      </c>
      <c r="N689" s="194" t="s">
        <v>4</v>
      </c>
      <c r="O689" s="197" t="s">
        <v>158</v>
      </c>
      <c r="P689" s="117" t="s">
        <v>211</v>
      </c>
      <c r="Q689" s="407">
        <v>46038</v>
      </c>
      <c r="R689" s="40" t="s">
        <v>445</v>
      </c>
      <c r="S689" s="208" t="s">
        <v>3107</v>
      </c>
      <c r="T689" s="357"/>
      <c r="U689" s="84"/>
      <c r="V689" s="84"/>
      <c r="W689" s="84"/>
      <c r="X689" s="84"/>
      <c r="Y689" s="84"/>
      <c r="Z689" s="84"/>
      <c r="AA689" s="81"/>
      <c r="AB689" s="81"/>
      <c r="AC689" s="81"/>
      <c r="AD689" s="81"/>
      <c r="AE689" s="81"/>
      <c r="AF689" s="81"/>
      <c r="AG689" s="81"/>
    </row>
    <row r="690" spans="1:33" ht="15.75" customHeight="1" x14ac:dyDescent="0.3">
      <c r="A690" s="104"/>
      <c r="B690" s="104"/>
      <c r="C690" s="74">
        <f t="shared" ca="1" si="8"/>
        <v>671</v>
      </c>
      <c r="D690" s="636"/>
      <c r="E690" s="636"/>
      <c r="F690" s="576" t="s">
        <v>459</v>
      </c>
      <c r="G690" s="251" t="s">
        <v>448</v>
      </c>
      <c r="H690" s="264"/>
      <c r="I690" s="226" t="s">
        <v>3083</v>
      </c>
      <c r="J690" s="172" t="s">
        <v>261</v>
      </c>
      <c r="K690" s="245" t="s">
        <v>3084</v>
      </c>
      <c r="L690" s="141" t="s">
        <v>15</v>
      </c>
      <c r="M690" s="193">
        <v>46042</v>
      </c>
      <c r="N690" s="194" t="s">
        <v>4</v>
      </c>
      <c r="O690" s="141" t="s">
        <v>15</v>
      </c>
      <c r="P690" s="117"/>
      <c r="Q690" s="407">
        <v>46038</v>
      </c>
      <c r="R690" s="40" t="s">
        <v>445</v>
      </c>
      <c r="S690" s="208"/>
      <c r="T690" s="357"/>
      <c r="U690" s="84"/>
      <c r="V690" s="84"/>
      <c r="W690" s="84"/>
      <c r="X690" s="84"/>
      <c r="Y690" s="84"/>
      <c r="Z690" s="84"/>
      <c r="AA690" s="81"/>
      <c r="AB690" s="81"/>
      <c r="AC690" s="81"/>
      <c r="AD690" s="81"/>
      <c r="AE690" s="81"/>
      <c r="AF690" s="81"/>
      <c r="AG690" s="81"/>
    </row>
    <row r="691" spans="1:33" ht="15.75" customHeight="1" x14ac:dyDescent="0.3">
      <c r="A691" s="104"/>
      <c r="B691" s="104"/>
      <c r="C691" s="74">
        <f t="shared" ca="1" si="8"/>
        <v>672</v>
      </c>
      <c r="D691" s="636"/>
      <c r="E691" s="636"/>
      <c r="F691" s="576" t="s">
        <v>459</v>
      </c>
      <c r="G691" s="251" t="s">
        <v>448</v>
      </c>
      <c r="H691" s="264"/>
      <c r="I691" s="226" t="s">
        <v>3085</v>
      </c>
      <c r="J691" s="172" t="s">
        <v>261</v>
      </c>
      <c r="K691" s="245" t="s">
        <v>3086</v>
      </c>
      <c r="L691" s="141" t="s">
        <v>15</v>
      </c>
      <c r="M691" s="193">
        <v>46042</v>
      </c>
      <c r="N691" s="194" t="s">
        <v>4</v>
      </c>
      <c r="O691" s="141" t="s">
        <v>158</v>
      </c>
      <c r="P691" s="117" t="s">
        <v>211</v>
      </c>
      <c r="Q691" s="407">
        <v>46038</v>
      </c>
      <c r="R691" s="40" t="s">
        <v>445</v>
      </c>
      <c r="S691" s="208" t="s">
        <v>3108</v>
      </c>
      <c r="T691" s="357"/>
      <c r="U691" s="84"/>
      <c r="V691" s="84"/>
      <c r="W691" s="84"/>
      <c r="X691" s="84"/>
      <c r="Y691" s="84"/>
      <c r="Z691" s="84"/>
      <c r="AA691" s="81"/>
      <c r="AB691" s="81"/>
      <c r="AC691" s="81"/>
      <c r="AD691" s="81"/>
      <c r="AE691" s="81"/>
      <c r="AF691" s="81"/>
      <c r="AG691" s="81"/>
    </row>
    <row r="692" spans="1:33" ht="15.75" customHeight="1" x14ac:dyDescent="0.3">
      <c r="A692" s="104"/>
      <c r="B692" s="104"/>
      <c r="C692" s="74">
        <f t="shared" ca="1" si="8"/>
        <v>673</v>
      </c>
      <c r="D692" s="636"/>
      <c r="E692" s="636"/>
      <c r="F692" s="576" t="s">
        <v>459</v>
      </c>
      <c r="G692" s="251" t="s">
        <v>448</v>
      </c>
      <c r="H692" s="264"/>
      <c r="I692" s="226" t="s">
        <v>3109</v>
      </c>
      <c r="J692" s="172" t="s">
        <v>261</v>
      </c>
      <c r="K692" s="245" t="s">
        <v>3110</v>
      </c>
      <c r="L692" s="141" t="s">
        <v>15</v>
      </c>
      <c r="M692" s="193">
        <v>46042</v>
      </c>
      <c r="N692" s="194" t="s">
        <v>4</v>
      </c>
      <c r="O692" s="141" t="s">
        <v>15</v>
      </c>
      <c r="P692" s="117"/>
      <c r="Q692" s="407">
        <v>46038</v>
      </c>
      <c r="R692" s="40" t="s">
        <v>445</v>
      </c>
      <c r="S692" s="208"/>
      <c r="T692" s="357"/>
      <c r="U692" s="84"/>
      <c r="V692" s="84"/>
      <c r="W692" s="84"/>
      <c r="X692" s="84"/>
      <c r="Y692" s="84"/>
      <c r="Z692" s="84"/>
      <c r="AA692" s="81"/>
      <c r="AB692" s="81"/>
      <c r="AC692" s="81"/>
      <c r="AD692" s="81"/>
      <c r="AE692" s="81"/>
      <c r="AF692" s="81"/>
      <c r="AG692" s="81"/>
    </row>
    <row r="693" spans="1:33" ht="15.75" customHeight="1" x14ac:dyDescent="0.3">
      <c r="A693" s="104"/>
      <c r="B693" s="104"/>
      <c r="C693" s="74">
        <f t="shared" ca="1" si="8"/>
        <v>674</v>
      </c>
      <c r="D693" s="635"/>
      <c r="E693" s="635"/>
      <c r="F693" s="576" t="s">
        <v>459</v>
      </c>
      <c r="G693" s="251" t="s">
        <v>448</v>
      </c>
      <c r="H693" s="243"/>
      <c r="I693" s="408" t="s">
        <v>440</v>
      </c>
      <c r="J693" s="247" t="s">
        <v>2270</v>
      </c>
      <c r="K693" s="226" t="s">
        <v>3089</v>
      </c>
      <c r="L693" s="141" t="s">
        <v>15</v>
      </c>
      <c r="M693" s="193">
        <v>46042</v>
      </c>
      <c r="N693" s="194" t="s">
        <v>4</v>
      </c>
      <c r="O693" s="197" t="s">
        <v>15</v>
      </c>
      <c r="P693" s="275"/>
      <c r="Q693" s="407">
        <v>46038</v>
      </c>
      <c r="R693" s="40" t="s">
        <v>445</v>
      </c>
      <c r="S693" s="2"/>
      <c r="T693" s="357"/>
      <c r="U693" s="525"/>
      <c r="V693" s="525"/>
      <c r="W693" s="525"/>
      <c r="X693" s="525"/>
      <c r="Y693" s="525"/>
      <c r="Z693" s="525"/>
      <c r="AA693" s="81"/>
      <c r="AB693" s="81"/>
      <c r="AC693" s="81"/>
      <c r="AD693" s="81"/>
      <c r="AE693" s="81"/>
      <c r="AF693" s="81"/>
      <c r="AG693" s="81"/>
    </row>
    <row r="694" spans="1:33" ht="15.75" customHeight="1" x14ac:dyDescent="0.3">
      <c r="A694" s="104"/>
      <c r="B694" s="104"/>
      <c r="C694" s="74">
        <f t="shared" ref="C694:C716" ca="1" si="9">1+COUNT(INDIRECT("A1:"&amp;(ADDRESS(ROW()-1,COLUMN()))))</f>
        <v>675</v>
      </c>
      <c r="D694" s="257" t="s">
        <v>390</v>
      </c>
      <c r="E694" s="253" t="s">
        <v>257</v>
      </c>
      <c r="F694" s="567" t="s">
        <v>457</v>
      </c>
      <c r="G694" s="219" t="s">
        <v>448</v>
      </c>
      <c r="H694" s="264"/>
      <c r="I694" s="226" t="s">
        <v>389</v>
      </c>
      <c r="J694" s="172" t="s">
        <v>261</v>
      </c>
      <c r="K694" s="245" t="s">
        <v>3111</v>
      </c>
      <c r="L694" s="141" t="s">
        <v>15</v>
      </c>
      <c r="M694" s="193">
        <v>46043</v>
      </c>
      <c r="N694" s="194" t="s">
        <v>4</v>
      </c>
      <c r="O694" s="141" t="s">
        <v>15</v>
      </c>
      <c r="P694" s="117"/>
      <c r="Q694" s="407">
        <v>46038</v>
      </c>
      <c r="R694" s="40" t="s">
        <v>445</v>
      </c>
      <c r="S694" s="208"/>
      <c r="T694" s="357"/>
      <c r="U694" s="84"/>
      <c r="V694" s="84"/>
      <c r="W694" s="84"/>
      <c r="X694" s="84"/>
      <c r="Y694" s="84"/>
      <c r="Z694" s="84"/>
      <c r="AA694" s="81"/>
      <c r="AB694" s="81"/>
      <c r="AC694" s="81"/>
      <c r="AD694" s="81"/>
      <c r="AE694" s="81"/>
      <c r="AF694" s="81"/>
      <c r="AG694" s="81"/>
    </row>
    <row r="695" spans="1:33" ht="15.75" customHeight="1" x14ac:dyDescent="0.3">
      <c r="A695" s="104"/>
      <c r="B695" s="104"/>
      <c r="C695" s="74">
        <f t="shared" ca="1" si="9"/>
        <v>676</v>
      </c>
      <c r="D695" s="578"/>
      <c r="E695" s="575" t="s">
        <v>237</v>
      </c>
      <c r="F695" s="567" t="s">
        <v>459</v>
      </c>
      <c r="G695" s="219" t="s">
        <v>448</v>
      </c>
      <c r="H695" s="264"/>
      <c r="I695" s="226"/>
      <c r="J695" s="172" t="s">
        <v>261</v>
      </c>
      <c r="K695" s="245" t="s">
        <v>3112</v>
      </c>
      <c r="L695" s="141" t="s">
        <v>15</v>
      </c>
      <c r="M695" s="193">
        <v>46043</v>
      </c>
      <c r="N695" s="194" t="s">
        <v>4</v>
      </c>
      <c r="O695" s="141" t="s">
        <v>158</v>
      </c>
      <c r="P695" s="117" t="s">
        <v>211</v>
      </c>
      <c r="Q695" s="407">
        <v>46038</v>
      </c>
      <c r="R695" s="40" t="s">
        <v>445</v>
      </c>
      <c r="S695" s="208" t="s">
        <v>3113</v>
      </c>
      <c r="T695" s="357"/>
      <c r="U695" s="84"/>
      <c r="V695" s="84"/>
      <c r="W695" s="84"/>
      <c r="X695" s="84"/>
      <c r="Y695" s="84"/>
      <c r="Z695" s="84"/>
      <c r="AA695" s="81"/>
      <c r="AB695" s="81"/>
      <c r="AC695" s="81"/>
      <c r="AD695" s="81"/>
      <c r="AE695" s="81"/>
      <c r="AF695" s="81"/>
      <c r="AG695" s="81"/>
    </row>
    <row r="696" spans="1:33" ht="15.75" customHeight="1" x14ac:dyDescent="0.3">
      <c r="A696" s="104"/>
      <c r="B696" s="104"/>
      <c r="C696" s="74">
        <f t="shared" ca="1" si="9"/>
        <v>677</v>
      </c>
      <c r="D696" s="578"/>
      <c r="E696" s="579"/>
      <c r="F696" s="567" t="s">
        <v>459</v>
      </c>
      <c r="G696" s="219" t="s">
        <v>448</v>
      </c>
      <c r="H696" s="264"/>
      <c r="I696" s="226" t="s">
        <v>3114</v>
      </c>
      <c r="J696" s="247" t="s">
        <v>2270</v>
      </c>
      <c r="K696" s="245" t="s">
        <v>3115</v>
      </c>
      <c r="L696" s="141" t="s">
        <v>15</v>
      </c>
      <c r="M696" s="193">
        <v>46043</v>
      </c>
      <c r="N696" s="194" t="s">
        <v>4</v>
      </c>
      <c r="O696" s="141" t="s">
        <v>15</v>
      </c>
      <c r="P696" s="117"/>
      <c r="Q696" s="407">
        <v>46038</v>
      </c>
      <c r="R696" s="40" t="s">
        <v>445</v>
      </c>
      <c r="S696" s="208"/>
      <c r="T696" s="357"/>
      <c r="U696" s="84"/>
      <c r="V696" s="84"/>
      <c r="W696" s="84"/>
      <c r="X696" s="84"/>
      <c r="Y696" s="84"/>
      <c r="Z696" s="84"/>
      <c r="AA696" s="81"/>
      <c r="AB696" s="81"/>
      <c r="AC696" s="81"/>
      <c r="AD696" s="81"/>
      <c r="AE696" s="81"/>
      <c r="AF696" s="81"/>
      <c r="AG696" s="81"/>
    </row>
    <row r="697" spans="1:33" ht="15.75" customHeight="1" x14ac:dyDescent="0.3">
      <c r="A697" s="104"/>
      <c r="B697" s="104"/>
      <c r="C697" s="74">
        <f t="shared" ca="1" si="9"/>
        <v>678</v>
      </c>
      <c r="D697" s="578"/>
      <c r="E697" s="579"/>
      <c r="F697" s="567" t="s">
        <v>459</v>
      </c>
      <c r="G697" s="219" t="s">
        <v>448</v>
      </c>
      <c r="H697" s="264"/>
      <c r="I697" s="226" t="s">
        <v>3116</v>
      </c>
      <c r="J697" s="247" t="s">
        <v>2270</v>
      </c>
      <c r="K697" s="245" t="s">
        <v>3117</v>
      </c>
      <c r="L697" s="141" t="s">
        <v>15</v>
      </c>
      <c r="M697" s="193">
        <v>46043</v>
      </c>
      <c r="N697" s="194" t="s">
        <v>4</v>
      </c>
      <c r="O697" s="141" t="s">
        <v>15</v>
      </c>
      <c r="P697" s="117"/>
      <c r="Q697" s="407">
        <v>46038</v>
      </c>
      <c r="R697" s="40" t="s">
        <v>445</v>
      </c>
      <c r="S697" s="208"/>
      <c r="T697" s="357"/>
      <c r="U697" s="84"/>
      <c r="V697" s="84"/>
      <c r="W697" s="84"/>
      <c r="X697" s="84"/>
      <c r="Y697" s="84"/>
      <c r="Z697" s="84"/>
      <c r="AA697" s="81"/>
      <c r="AB697" s="81"/>
      <c r="AC697" s="81"/>
      <c r="AD697" s="81"/>
      <c r="AE697" s="81"/>
      <c r="AF697" s="81"/>
      <c r="AG697" s="81"/>
    </row>
    <row r="698" spans="1:33" ht="15.75" customHeight="1" x14ac:dyDescent="0.3">
      <c r="A698" s="104"/>
      <c r="B698" s="104"/>
      <c r="C698" s="74">
        <f t="shared" ca="1" si="9"/>
        <v>679</v>
      </c>
      <c r="D698" s="578"/>
      <c r="E698" s="579"/>
      <c r="F698" s="567" t="s">
        <v>459</v>
      </c>
      <c r="G698" s="219" t="s">
        <v>448</v>
      </c>
      <c r="H698" s="264"/>
      <c r="I698" s="226" t="s">
        <v>3118</v>
      </c>
      <c r="J698" s="247" t="s">
        <v>2270</v>
      </c>
      <c r="K698" s="245" t="s">
        <v>3119</v>
      </c>
      <c r="L698" s="141" t="s">
        <v>15</v>
      </c>
      <c r="M698" s="193">
        <v>46043</v>
      </c>
      <c r="N698" s="194" t="s">
        <v>4</v>
      </c>
      <c r="O698" s="141" t="s">
        <v>15</v>
      </c>
      <c r="P698" s="117"/>
      <c r="Q698" s="407">
        <v>46038</v>
      </c>
      <c r="R698" s="40" t="s">
        <v>445</v>
      </c>
      <c r="S698" s="208"/>
      <c r="T698" s="357"/>
      <c r="U698" s="84"/>
      <c r="V698" s="84"/>
      <c r="W698" s="84"/>
      <c r="X698" s="84"/>
      <c r="Y698" s="84"/>
      <c r="Z698" s="84"/>
      <c r="AA698" s="81"/>
      <c r="AB698" s="81"/>
      <c r="AC698" s="81"/>
      <c r="AD698" s="81"/>
      <c r="AE698" s="81"/>
      <c r="AF698" s="81"/>
      <c r="AG698" s="81"/>
    </row>
    <row r="699" spans="1:33" ht="15.75" customHeight="1" x14ac:dyDescent="0.3">
      <c r="A699" s="104"/>
      <c r="B699" s="104"/>
      <c r="C699" s="74">
        <f t="shared" ca="1" si="9"/>
        <v>680</v>
      </c>
      <c r="D699" s="578"/>
      <c r="E699" s="579"/>
      <c r="F699" s="567" t="s">
        <v>459</v>
      </c>
      <c r="G699" s="219" t="s">
        <v>448</v>
      </c>
      <c r="H699" s="264"/>
      <c r="I699" s="226" t="s">
        <v>3120</v>
      </c>
      <c r="J699" s="247" t="s">
        <v>2270</v>
      </c>
      <c r="K699" s="245" t="s">
        <v>3121</v>
      </c>
      <c r="L699" s="141" t="s">
        <v>15</v>
      </c>
      <c r="M699" s="193">
        <v>46043</v>
      </c>
      <c r="N699" s="194" t="s">
        <v>4</v>
      </c>
      <c r="O699" s="141" t="s">
        <v>15</v>
      </c>
      <c r="P699" s="117"/>
      <c r="Q699" s="407">
        <v>46038</v>
      </c>
      <c r="R699" s="40" t="s">
        <v>445</v>
      </c>
      <c r="S699" s="208"/>
      <c r="T699" s="357"/>
      <c r="U699" s="84"/>
      <c r="V699" s="84"/>
      <c r="W699" s="84"/>
      <c r="X699" s="84"/>
      <c r="Y699" s="84"/>
      <c r="Z699" s="84"/>
      <c r="AA699" s="81"/>
      <c r="AB699" s="81"/>
      <c r="AC699" s="81"/>
      <c r="AD699" s="81"/>
      <c r="AE699" s="81"/>
      <c r="AF699" s="81"/>
      <c r="AG699" s="81"/>
    </row>
    <row r="700" spans="1:33" ht="15.75" customHeight="1" x14ac:dyDescent="0.3">
      <c r="A700" s="104"/>
      <c r="B700" s="104"/>
      <c r="C700" s="74">
        <f t="shared" ca="1" si="9"/>
        <v>681</v>
      </c>
      <c r="D700" s="257" t="s">
        <v>392</v>
      </c>
      <c r="E700" s="253" t="s">
        <v>257</v>
      </c>
      <c r="F700" s="567" t="s">
        <v>457</v>
      </c>
      <c r="G700" s="219" t="s">
        <v>448</v>
      </c>
      <c r="H700" s="264"/>
      <c r="I700" s="226" t="s">
        <v>389</v>
      </c>
      <c r="J700" s="172" t="s">
        <v>261</v>
      </c>
      <c r="K700" s="245" t="s">
        <v>3122</v>
      </c>
      <c r="L700" s="141" t="s">
        <v>15</v>
      </c>
      <c r="M700" s="193">
        <v>46043</v>
      </c>
      <c r="N700" s="194" t="s">
        <v>4</v>
      </c>
      <c r="O700" s="141" t="s">
        <v>15</v>
      </c>
      <c r="P700" s="117"/>
      <c r="Q700" s="407">
        <v>46038</v>
      </c>
      <c r="R700" s="40" t="s">
        <v>445</v>
      </c>
      <c r="S700" s="208"/>
      <c r="T700" s="357"/>
      <c r="U700" s="84"/>
      <c r="V700" s="84"/>
      <c r="W700" s="84"/>
      <c r="X700" s="84"/>
      <c r="Y700" s="84"/>
      <c r="Z700" s="84"/>
      <c r="AA700" s="81"/>
      <c r="AB700" s="81"/>
      <c r="AC700" s="81"/>
      <c r="AD700" s="81"/>
      <c r="AE700" s="81"/>
      <c r="AF700" s="81"/>
      <c r="AG700" s="81"/>
    </row>
    <row r="701" spans="1:33" ht="15.75" customHeight="1" x14ac:dyDescent="0.3">
      <c r="A701" s="104"/>
      <c r="B701" s="104"/>
      <c r="C701" s="74">
        <f t="shared" ca="1" si="9"/>
        <v>682</v>
      </c>
      <c r="D701" s="578"/>
      <c r="E701" s="575" t="s">
        <v>237</v>
      </c>
      <c r="F701" s="567" t="s">
        <v>459</v>
      </c>
      <c r="G701" s="219" t="s">
        <v>448</v>
      </c>
      <c r="H701" s="264"/>
      <c r="I701" s="226"/>
      <c r="J701" s="172" t="s">
        <v>261</v>
      </c>
      <c r="K701" s="245" t="s">
        <v>3123</v>
      </c>
      <c r="L701" s="290" t="s">
        <v>15</v>
      </c>
      <c r="M701" s="407">
        <v>46045</v>
      </c>
      <c r="N701" s="40" t="s">
        <v>4</v>
      </c>
      <c r="O701" s="141" t="s">
        <v>158</v>
      </c>
      <c r="P701" s="117" t="s">
        <v>211</v>
      </c>
      <c r="Q701" s="407">
        <v>46038</v>
      </c>
      <c r="R701" s="40" t="s">
        <v>445</v>
      </c>
      <c r="S701" s="208" t="s">
        <v>3124</v>
      </c>
      <c r="T701" s="357"/>
      <c r="U701" s="84"/>
      <c r="V701" s="84"/>
      <c r="W701" s="84"/>
      <c r="X701" s="84"/>
      <c r="Y701" s="84"/>
      <c r="Z701" s="84"/>
      <c r="AA701" s="81"/>
      <c r="AB701" s="81"/>
      <c r="AC701" s="81"/>
      <c r="AD701" s="81"/>
      <c r="AE701" s="81"/>
      <c r="AF701" s="81"/>
      <c r="AG701" s="81"/>
    </row>
    <row r="702" spans="1:33" ht="15.75" customHeight="1" x14ac:dyDescent="0.3">
      <c r="A702" s="104"/>
      <c r="B702" s="104"/>
      <c r="C702" s="74">
        <f t="shared" ca="1" si="9"/>
        <v>683</v>
      </c>
      <c r="D702" s="578"/>
      <c r="E702" s="579"/>
      <c r="F702" s="567" t="s">
        <v>459</v>
      </c>
      <c r="G702" s="219" t="s">
        <v>448</v>
      </c>
      <c r="H702" s="264"/>
      <c r="I702" s="226" t="s">
        <v>3125</v>
      </c>
      <c r="J702" s="172" t="s">
        <v>3126</v>
      </c>
      <c r="K702" s="245" t="s">
        <v>3127</v>
      </c>
      <c r="L702" s="141" t="s">
        <v>15</v>
      </c>
      <c r="M702" s="193">
        <v>46043</v>
      </c>
      <c r="N702" s="194" t="s">
        <v>4</v>
      </c>
      <c r="O702" s="141" t="s">
        <v>15</v>
      </c>
      <c r="P702" s="117"/>
      <c r="Q702" s="407">
        <v>46038</v>
      </c>
      <c r="R702" s="40" t="s">
        <v>445</v>
      </c>
      <c r="S702" s="208"/>
      <c r="T702" s="357"/>
      <c r="U702" s="84"/>
      <c r="V702" s="84"/>
      <c r="W702" s="84"/>
      <c r="X702" s="84"/>
      <c r="Y702" s="84"/>
      <c r="Z702" s="84"/>
      <c r="AA702" s="81"/>
      <c r="AB702" s="81"/>
      <c r="AC702" s="81"/>
      <c r="AD702" s="81"/>
      <c r="AE702" s="81"/>
      <c r="AF702" s="81"/>
      <c r="AG702" s="81"/>
    </row>
    <row r="703" spans="1:33" ht="15.75" customHeight="1" x14ac:dyDescent="0.3">
      <c r="A703" s="104"/>
      <c r="B703" s="104"/>
      <c r="C703" s="74">
        <f t="shared" ca="1" si="9"/>
        <v>684</v>
      </c>
      <c r="D703" s="578"/>
      <c r="E703" s="579"/>
      <c r="F703" s="567" t="s">
        <v>459</v>
      </c>
      <c r="G703" s="219" t="s">
        <v>448</v>
      </c>
      <c r="H703" s="264"/>
      <c r="I703" s="226" t="s">
        <v>3128</v>
      </c>
      <c r="J703" s="172" t="s">
        <v>3126</v>
      </c>
      <c r="K703" s="245" t="s">
        <v>3129</v>
      </c>
      <c r="L703" s="141" t="s">
        <v>15</v>
      </c>
      <c r="M703" s="193">
        <v>46043</v>
      </c>
      <c r="N703" s="194" t="s">
        <v>4</v>
      </c>
      <c r="O703" s="141" t="s">
        <v>15</v>
      </c>
      <c r="P703" s="117"/>
      <c r="Q703" s="407">
        <v>46038</v>
      </c>
      <c r="R703" s="40" t="s">
        <v>445</v>
      </c>
      <c r="S703" s="208"/>
      <c r="T703" s="357"/>
      <c r="U703" s="84"/>
      <c r="V703" s="84"/>
      <c r="W703" s="84"/>
      <c r="X703" s="84"/>
      <c r="Y703" s="84"/>
      <c r="Z703" s="84"/>
      <c r="AA703" s="81"/>
      <c r="AB703" s="81"/>
      <c r="AC703" s="81"/>
      <c r="AD703" s="81"/>
      <c r="AE703" s="81"/>
      <c r="AF703" s="81"/>
      <c r="AG703" s="81"/>
    </row>
    <row r="704" spans="1:33" ht="15.75" customHeight="1" x14ac:dyDescent="0.3">
      <c r="A704" s="104"/>
      <c r="B704" s="104"/>
      <c r="C704" s="74">
        <f t="shared" ca="1" si="9"/>
        <v>685</v>
      </c>
      <c r="D704" s="578"/>
      <c r="E704" s="579"/>
      <c r="F704" s="567" t="s">
        <v>459</v>
      </c>
      <c r="G704" s="219" t="s">
        <v>448</v>
      </c>
      <c r="H704" s="264"/>
      <c r="I704" s="226" t="s">
        <v>3130</v>
      </c>
      <c r="J704" s="172" t="s">
        <v>3126</v>
      </c>
      <c r="K704" s="245" t="s">
        <v>3131</v>
      </c>
      <c r="L704" s="141" t="s">
        <v>15</v>
      </c>
      <c r="M704" s="193">
        <v>46043</v>
      </c>
      <c r="N704" s="194" t="s">
        <v>4</v>
      </c>
      <c r="O704" s="141" t="s">
        <v>15</v>
      </c>
      <c r="P704" s="117"/>
      <c r="Q704" s="407">
        <v>46038</v>
      </c>
      <c r="R704" s="40" t="s">
        <v>445</v>
      </c>
      <c r="S704" s="208"/>
      <c r="T704" s="357"/>
      <c r="U704" s="84"/>
      <c r="V704" s="84"/>
      <c r="W704" s="84"/>
      <c r="X704" s="84"/>
      <c r="Y704" s="84"/>
      <c r="Z704" s="84"/>
      <c r="AA704" s="81"/>
      <c r="AB704" s="81"/>
      <c r="AC704" s="81"/>
      <c r="AD704" s="81"/>
      <c r="AE704" s="81"/>
      <c r="AF704" s="81"/>
      <c r="AG704" s="81"/>
    </row>
    <row r="705" spans="1:33" ht="15.75" customHeight="1" x14ac:dyDescent="0.3">
      <c r="A705" s="104"/>
      <c r="B705" s="104"/>
      <c r="C705" s="74">
        <f t="shared" ca="1" si="9"/>
        <v>686</v>
      </c>
      <c r="D705" s="578"/>
      <c r="E705" s="579"/>
      <c r="F705" s="567" t="s">
        <v>459</v>
      </c>
      <c r="G705" s="219" t="s">
        <v>448</v>
      </c>
      <c r="H705" s="264"/>
      <c r="I705" s="226" t="s">
        <v>3132</v>
      </c>
      <c r="J705" s="172" t="s">
        <v>3126</v>
      </c>
      <c r="K705" s="245" t="s">
        <v>3133</v>
      </c>
      <c r="L705" s="141" t="s">
        <v>15</v>
      </c>
      <c r="M705" s="193">
        <v>46043</v>
      </c>
      <c r="N705" s="194" t="s">
        <v>4</v>
      </c>
      <c r="O705" s="141" t="s">
        <v>15</v>
      </c>
      <c r="P705" s="117"/>
      <c r="Q705" s="407">
        <v>46038</v>
      </c>
      <c r="R705" s="40" t="s">
        <v>445</v>
      </c>
      <c r="S705" s="208"/>
      <c r="T705" s="357"/>
      <c r="U705" s="84"/>
      <c r="V705" s="84"/>
      <c r="W705" s="84"/>
      <c r="X705" s="84"/>
      <c r="Y705" s="84"/>
      <c r="Z705" s="84"/>
      <c r="AA705" s="81"/>
      <c r="AB705" s="81"/>
      <c r="AC705" s="81"/>
      <c r="AD705" s="81"/>
      <c r="AE705" s="81"/>
      <c r="AF705" s="81"/>
      <c r="AG705" s="81"/>
    </row>
    <row r="706" spans="1:33" ht="15.75" customHeight="1" x14ac:dyDescent="0.3">
      <c r="A706" s="104"/>
      <c r="B706" s="104"/>
      <c r="C706" s="74">
        <f t="shared" ca="1" si="9"/>
        <v>687</v>
      </c>
      <c r="D706" s="578"/>
      <c r="E706" s="579"/>
      <c r="F706" s="567" t="s">
        <v>459</v>
      </c>
      <c r="G706" s="219" t="s">
        <v>448</v>
      </c>
      <c r="H706" s="264"/>
      <c r="I706" s="226" t="s">
        <v>3134</v>
      </c>
      <c r="J706" s="172" t="s">
        <v>3126</v>
      </c>
      <c r="K706" s="245" t="s">
        <v>3135</v>
      </c>
      <c r="L706" s="141" t="s">
        <v>15</v>
      </c>
      <c r="M706" s="193">
        <v>46043</v>
      </c>
      <c r="N706" s="194" t="s">
        <v>4</v>
      </c>
      <c r="O706" s="141" t="s">
        <v>15</v>
      </c>
      <c r="P706" s="117"/>
      <c r="Q706" s="407">
        <v>46038</v>
      </c>
      <c r="R706" s="40" t="s">
        <v>445</v>
      </c>
      <c r="S706" s="208"/>
      <c r="T706" s="357"/>
      <c r="U706" s="84"/>
      <c r="V706" s="84"/>
      <c r="W706" s="84"/>
      <c r="X706" s="84"/>
      <c r="Y706" s="84"/>
      <c r="Z706" s="84"/>
      <c r="AA706" s="81"/>
      <c r="AB706" s="81"/>
      <c r="AC706" s="81"/>
      <c r="AD706" s="81"/>
      <c r="AE706" s="81"/>
      <c r="AF706" s="81"/>
      <c r="AG706" s="81"/>
    </row>
    <row r="707" spans="1:33" ht="15.75" customHeight="1" x14ac:dyDescent="0.3">
      <c r="A707" s="104"/>
      <c r="B707" s="104"/>
      <c r="C707" s="74">
        <f t="shared" ca="1" si="9"/>
        <v>688</v>
      </c>
      <c r="D707" s="578"/>
      <c r="E707" s="579"/>
      <c r="F707" s="567" t="s">
        <v>459</v>
      </c>
      <c r="G707" s="219" t="s">
        <v>448</v>
      </c>
      <c r="H707" s="264"/>
      <c r="I707" s="226" t="s">
        <v>3136</v>
      </c>
      <c r="J707" s="172" t="s">
        <v>3126</v>
      </c>
      <c r="K707" s="245" t="s">
        <v>3137</v>
      </c>
      <c r="L707" s="141" t="s">
        <v>15</v>
      </c>
      <c r="M707" s="193">
        <v>46043</v>
      </c>
      <c r="N707" s="194" t="s">
        <v>4</v>
      </c>
      <c r="O707" s="141" t="s">
        <v>15</v>
      </c>
      <c r="P707" s="117"/>
      <c r="Q707" s="407">
        <v>46038</v>
      </c>
      <c r="R707" s="40" t="s">
        <v>445</v>
      </c>
      <c r="S707" s="208"/>
      <c r="T707" s="357"/>
      <c r="U707" s="84"/>
      <c r="V707" s="84"/>
      <c r="W707" s="84"/>
      <c r="X707" s="84"/>
      <c r="Y707" s="84"/>
      <c r="Z707" s="84"/>
      <c r="AA707" s="81"/>
      <c r="AB707" s="81"/>
      <c r="AC707" s="81"/>
      <c r="AD707" s="81"/>
      <c r="AE707" s="81"/>
      <c r="AF707" s="81"/>
      <c r="AG707" s="81"/>
    </row>
    <row r="708" spans="1:33" ht="15.75" customHeight="1" x14ac:dyDescent="0.3">
      <c r="A708" s="104"/>
      <c r="B708" s="104"/>
      <c r="C708" s="74">
        <f t="shared" ca="1" si="9"/>
        <v>689</v>
      </c>
      <c r="D708" s="578"/>
      <c r="E708" s="579"/>
      <c r="F708" s="567" t="s">
        <v>459</v>
      </c>
      <c r="G708" s="219" t="s">
        <v>448</v>
      </c>
      <c r="H708" s="264"/>
      <c r="I708" s="226" t="s">
        <v>3138</v>
      </c>
      <c r="J708" s="172" t="s">
        <v>3126</v>
      </c>
      <c r="K708" s="245" t="s">
        <v>3139</v>
      </c>
      <c r="L708" s="141" t="s">
        <v>15</v>
      </c>
      <c r="M708" s="193">
        <v>46043</v>
      </c>
      <c r="N708" s="194" t="s">
        <v>4</v>
      </c>
      <c r="O708" s="141" t="s">
        <v>15</v>
      </c>
      <c r="P708" s="117"/>
      <c r="Q708" s="407">
        <v>46038</v>
      </c>
      <c r="R708" s="40" t="s">
        <v>445</v>
      </c>
      <c r="S708" s="208"/>
      <c r="T708" s="357"/>
      <c r="U708" s="84"/>
      <c r="V708" s="84"/>
      <c r="W708" s="84"/>
      <c r="X708" s="84"/>
      <c r="Y708" s="84"/>
      <c r="Z708" s="84"/>
      <c r="AA708" s="81"/>
      <c r="AB708" s="81"/>
      <c r="AC708" s="81"/>
      <c r="AD708" s="81"/>
      <c r="AE708" s="81"/>
      <c r="AF708" s="81"/>
      <c r="AG708" s="81"/>
    </row>
    <row r="709" spans="1:33" ht="15.75" customHeight="1" x14ac:dyDescent="0.3">
      <c r="A709" s="104"/>
      <c r="B709" s="104"/>
      <c r="C709" s="74">
        <f t="shared" ca="1" si="9"/>
        <v>690</v>
      </c>
      <c r="D709" s="578"/>
      <c r="E709" s="579"/>
      <c r="F709" s="567" t="s">
        <v>459</v>
      </c>
      <c r="G709" s="219" t="s">
        <v>448</v>
      </c>
      <c r="H709" s="264"/>
      <c r="I709" s="226" t="s">
        <v>3140</v>
      </c>
      <c r="J709" s="172" t="s">
        <v>3126</v>
      </c>
      <c r="K709" s="245" t="s">
        <v>3141</v>
      </c>
      <c r="L709" s="141" t="s">
        <v>15</v>
      </c>
      <c r="M709" s="193">
        <v>46043</v>
      </c>
      <c r="N709" s="194" t="s">
        <v>4</v>
      </c>
      <c r="O709" s="141" t="s">
        <v>15</v>
      </c>
      <c r="P709" s="117"/>
      <c r="Q709" s="407">
        <v>46038</v>
      </c>
      <c r="R709" s="40" t="s">
        <v>445</v>
      </c>
      <c r="S709" s="208"/>
      <c r="T709" s="357"/>
      <c r="U709" s="84"/>
      <c r="V709" s="84"/>
      <c r="W709" s="84"/>
      <c r="X709" s="84"/>
      <c r="Y709" s="84"/>
      <c r="Z709" s="84"/>
      <c r="AA709" s="81"/>
      <c r="AB709" s="81"/>
      <c r="AC709" s="81"/>
      <c r="AD709" s="81"/>
      <c r="AE709" s="81"/>
      <c r="AF709" s="81"/>
      <c r="AG709" s="81"/>
    </row>
    <row r="710" spans="1:33" ht="15.75" customHeight="1" x14ac:dyDescent="0.3">
      <c r="A710" s="104"/>
      <c r="B710" s="104"/>
      <c r="C710" s="74">
        <f t="shared" ca="1" si="9"/>
        <v>691</v>
      </c>
      <c r="D710" s="578"/>
      <c r="E710" s="579"/>
      <c r="F710" s="567" t="s">
        <v>459</v>
      </c>
      <c r="G710" s="219" t="s">
        <v>448</v>
      </c>
      <c r="H710" s="264"/>
      <c r="I710" s="226" t="s">
        <v>3142</v>
      </c>
      <c r="J710" s="172" t="s">
        <v>3126</v>
      </c>
      <c r="K710" s="245" t="s">
        <v>3143</v>
      </c>
      <c r="L710" s="141" t="s">
        <v>15</v>
      </c>
      <c r="M710" s="193">
        <v>46043</v>
      </c>
      <c r="N710" s="194" t="s">
        <v>4</v>
      </c>
      <c r="O710" s="141" t="s">
        <v>15</v>
      </c>
      <c r="P710" s="117"/>
      <c r="Q710" s="407">
        <v>46038</v>
      </c>
      <c r="R710" s="40" t="s">
        <v>445</v>
      </c>
      <c r="S710" s="208"/>
      <c r="T710" s="357"/>
      <c r="U710" s="84"/>
      <c r="V710" s="84"/>
      <c r="W710" s="84"/>
      <c r="X710" s="84"/>
      <c r="Y710" s="84"/>
      <c r="Z710" s="84"/>
      <c r="AA710" s="81"/>
      <c r="AB710" s="81"/>
      <c r="AC710" s="81"/>
      <c r="AD710" s="81"/>
      <c r="AE710" s="81"/>
      <c r="AF710" s="81"/>
      <c r="AG710" s="81"/>
    </row>
    <row r="711" spans="1:33" ht="15.75" customHeight="1" x14ac:dyDescent="0.3">
      <c r="A711" s="104"/>
      <c r="B711" s="104"/>
      <c r="C711" s="74">
        <f t="shared" ca="1" si="9"/>
        <v>692</v>
      </c>
      <c r="D711" s="578"/>
      <c r="E711" s="579"/>
      <c r="F711" s="567" t="s">
        <v>459</v>
      </c>
      <c r="G711" s="219" t="s">
        <v>448</v>
      </c>
      <c r="H711" s="264"/>
      <c r="I711" s="226" t="s">
        <v>3144</v>
      </c>
      <c r="J711" s="172" t="s">
        <v>3126</v>
      </c>
      <c r="K711" s="245" t="s">
        <v>3145</v>
      </c>
      <c r="L711" s="141" t="s">
        <v>15</v>
      </c>
      <c r="M711" s="193">
        <v>46043</v>
      </c>
      <c r="N711" s="194" t="s">
        <v>4</v>
      </c>
      <c r="O711" s="141" t="s">
        <v>15</v>
      </c>
      <c r="P711" s="117"/>
      <c r="Q711" s="407">
        <v>46038</v>
      </c>
      <c r="R711" s="40" t="s">
        <v>445</v>
      </c>
      <c r="S711" s="208"/>
      <c r="T711" s="357"/>
      <c r="U711" s="84"/>
      <c r="V711" s="84"/>
      <c r="W711" s="84"/>
      <c r="X711" s="84"/>
      <c r="Y711" s="84"/>
      <c r="Z711" s="84"/>
      <c r="AA711" s="81"/>
      <c r="AB711" s="81"/>
      <c r="AC711" s="81"/>
      <c r="AD711" s="81"/>
      <c r="AE711" s="81"/>
      <c r="AF711" s="81"/>
      <c r="AG711" s="81"/>
    </row>
    <row r="712" spans="1:33" ht="15.75" customHeight="1" x14ac:dyDescent="0.3">
      <c r="A712" s="104"/>
      <c r="B712" s="104"/>
      <c r="C712" s="74">
        <f t="shared" ca="1" si="9"/>
        <v>693</v>
      </c>
      <c r="D712" s="578"/>
      <c r="E712" s="579"/>
      <c r="F712" s="567" t="s">
        <v>459</v>
      </c>
      <c r="G712" s="219" t="s">
        <v>448</v>
      </c>
      <c r="H712" s="264"/>
      <c r="I712" s="226" t="s">
        <v>3146</v>
      </c>
      <c r="J712" s="172" t="s">
        <v>3126</v>
      </c>
      <c r="K712" s="245" t="s">
        <v>3147</v>
      </c>
      <c r="L712" s="141" t="s">
        <v>15</v>
      </c>
      <c r="M712" s="193">
        <v>46043</v>
      </c>
      <c r="N712" s="194" t="s">
        <v>4</v>
      </c>
      <c r="O712" s="141" t="s">
        <v>15</v>
      </c>
      <c r="P712" s="117"/>
      <c r="Q712" s="407">
        <v>46038</v>
      </c>
      <c r="R712" s="40" t="s">
        <v>445</v>
      </c>
      <c r="S712" s="208"/>
      <c r="T712" s="357"/>
      <c r="U712" s="84"/>
      <c r="V712" s="84"/>
      <c r="W712" s="84"/>
      <c r="X712" s="84"/>
      <c r="Y712" s="84"/>
      <c r="Z712" s="84"/>
      <c r="AA712" s="81"/>
      <c r="AB712" s="81"/>
      <c r="AC712" s="81"/>
      <c r="AD712" s="81"/>
      <c r="AE712" s="81"/>
      <c r="AF712" s="81"/>
      <c r="AG712" s="81"/>
    </row>
    <row r="713" spans="1:33" ht="15.75" customHeight="1" x14ac:dyDescent="0.3">
      <c r="A713" s="104"/>
      <c r="B713" s="104"/>
      <c r="C713" s="74">
        <f t="shared" ca="1" si="9"/>
        <v>694</v>
      </c>
      <c r="D713" s="578"/>
      <c r="E713" s="579"/>
      <c r="F713" s="567" t="s">
        <v>459</v>
      </c>
      <c r="G713" s="219" t="s">
        <v>448</v>
      </c>
      <c r="H713" s="264"/>
      <c r="I713" s="226" t="s">
        <v>3148</v>
      </c>
      <c r="J713" s="172" t="s">
        <v>3126</v>
      </c>
      <c r="K713" s="245" t="s">
        <v>3149</v>
      </c>
      <c r="L713" s="141" t="s">
        <v>15</v>
      </c>
      <c r="M713" s="193">
        <v>46043</v>
      </c>
      <c r="N713" s="194" t="s">
        <v>4</v>
      </c>
      <c r="O713" s="141" t="s">
        <v>15</v>
      </c>
      <c r="P713" s="117"/>
      <c r="Q713" s="407">
        <v>46038</v>
      </c>
      <c r="R713" s="40" t="s">
        <v>445</v>
      </c>
      <c r="S713" s="208"/>
      <c r="T713" s="357"/>
      <c r="U713" s="84"/>
      <c r="V713" s="84"/>
      <c r="W713" s="84"/>
      <c r="X713" s="84"/>
      <c r="Y713" s="84"/>
      <c r="Z713" s="84"/>
      <c r="AA713" s="81"/>
      <c r="AB713" s="81"/>
      <c r="AC713" s="81"/>
      <c r="AD713" s="81"/>
      <c r="AE713" s="81"/>
      <c r="AF713" s="81"/>
      <c r="AG713" s="81"/>
    </row>
    <row r="714" spans="1:33" ht="15.75" customHeight="1" x14ac:dyDescent="0.3">
      <c r="A714" s="104"/>
      <c r="B714" s="104"/>
      <c r="C714" s="74">
        <f t="shared" ca="1" si="9"/>
        <v>695</v>
      </c>
      <c r="D714" s="257" t="s">
        <v>394</v>
      </c>
      <c r="E714" s="253" t="s">
        <v>257</v>
      </c>
      <c r="F714" s="567" t="s">
        <v>457</v>
      </c>
      <c r="G714" s="219" t="s">
        <v>448</v>
      </c>
      <c r="H714" s="264"/>
      <c r="I714" s="226" t="s">
        <v>389</v>
      </c>
      <c r="J714" s="172" t="s">
        <v>261</v>
      </c>
      <c r="K714" s="245" t="s">
        <v>3150</v>
      </c>
      <c r="L714" s="141" t="s">
        <v>15</v>
      </c>
      <c r="M714" s="193">
        <v>46043</v>
      </c>
      <c r="N714" s="194" t="s">
        <v>4</v>
      </c>
      <c r="O714" s="141" t="s">
        <v>15</v>
      </c>
      <c r="P714" s="117"/>
      <c r="Q714" s="407">
        <v>46038</v>
      </c>
      <c r="R714" s="40" t="s">
        <v>445</v>
      </c>
      <c r="S714" s="208"/>
      <c r="T714" s="357"/>
      <c r="U714" s="84"/>
      <c r="V714" s="84"/>
      <c r="W714" s="84"/>
      <c r="X714" s="84"/>
      <c r="Y714" s="84"/>
      <c r="Z714" s="84"/>
      <c r="AA714" s="81"/>
      <c r="AB714" s="81"/>
      <c r="AC714" s="81"/>
      <c r="AD714" s="81"/>
      <c r="AE714" s="81"/>
      <c r="AF714" s="81"/>
      <c r="AG714" s="81"/>
    </row>
    <row r="715" spans="1:33" ht="15.75" customHeight="1" x14ac:dyDescent="0.3">
      <c r="A715" s="104"/>
      <c r="B715" s="104"/>
      <c r="C715" s="74">
        <f t="shared" ca="1" si="9"/>
        <v>696</v>
      </c>
      <c r="D715" s="578"/>
      <c r="E715" s="575" t="s">
        <v>237</v>
      </c>
      <c r="F715" s="567" t="s">
        <v>459</v>
      </c>
      <c r="G715" s="219" t="s">
        <v>448</v>
      </c>
      <c r="H715" s="264"/>
      <c r="I715" s="226" t="s">
        <v>442</v>
      </c>
      <c r="J715" s="247" t="s">
        <v>2270</v>
      </c>
      <c r="K715" s="245" t="s">
        <v>3151</v>
      </c>
      <c r="L715" s="141" t="s">
        <v>15</v>
      </c>
      <c r="M715" s="193">
        <v>46043</v>
      </c>
      <c r="N715" s="194" t="s">
        <v>4</v>
      </c>
      <c r="O715" s="141" t="s">
        <v>158</v>
      </c>
      <c r="P715" s="117" t="s">
        <v>211</v>
      </c>
      <c r="Q715" s="407">
        <v>46038</v>
      </c>
      <c r="R715" s="40" t="s">
        <v>445</v>
      </c>
      <c r="S715" s="208" t="s">
        <v>3152</v>
      </c>
      <c r="T715" s="357"/>
      <c r="U715" s="84"/>
      <c r="V715" s="84"/>
      <c r="W715" s="84"/>
      <c r="X715" s="84"/>
      <c r="Y715" s="84"/>
      <c r="Z715" s="84"/>
      <c r="AA715" s="81"/>
      <c r="AB715" s="81"/>
      <c r="AC715" s="81"/>
      <c r="AD715" s="81"/>
      <c r="AE715" s="81"/>
      <c r="AF715" s="81"/>
      <c r="AG715" s="81"/>
    </row>
    <row r="716" spans="1:33" ht="15.75" customHeight="1" x14ac:dyDescent="0.3">
      <c r="A716" s="104"/>
      <c r="B716" s="104"/>
      <c r="C716" s="74">
        <f t="shared" ca="1" si="9"/>
        <v>697</v>
      </c>
      <c r="D716" s="578"/>
      <c r="E716" s="579"/>
      <c r="F716" s="567" t="s">
        <v>459</v>
      </c>
      <c r="G716" s="219" t="s">
        <v>448</v>
      </c>
      <c r="H716" s="264"/>
      <c r="I716" s="226" t="s">
        <v>440</v>
      </c>
      <c r="J716" s="172" t="s">
        <v>261</v>
      </c>
      <c r="K716" s="245" t="s">
        <v>402</v>
      </c>
      <c r="L716" s="141" t="s">
        <v>15</v>
      </c>
      <c r="M716" s="193">
        <v>46043</v>
      </c>
      <c r="N716" s="194" t="s">
        <v>4</v>
      </c>
      <c r="O716" s="141" t="s">
        <v>15</v>
      </c>
      <c r="P716" s="117"/>
      <c r="Q716" s="407">
        <v>46038</v>
      </c>
      <c r="R716" s="40" t="s">
        <v>445</v>
      </c>
      <c r="S716" s="208"/>
      <c r="T716" s="357"/>
      <c r="U716" s="84"/>
      <c r="V716" s="84"/>
      <c r="W716" s="84"/>
      <c r="X716" s="84"/>
      <c r="Y716" s="84"/>
      <c r="Z716" s="84"/>
      <c r="AA716" s="81"/>
      <c r="AB716" s="81"/>
      <c r="AC716" s="81"/>
      <c r="AD716" s="81"/>
      <c r="AE716" s="81"/>
      <c r="AF716" s="81"/>
      <c r="AG716" s="81"/>
    </row>
    <row r="717" spans="1:33" ht="15.75" customHeight="1" x14ac:dyDescent="0.3">
      <c r="A717" s="104"/>
      <c r="B717" s="104"/>
      <c r="C717" s="696" t="s">
        <v>2276</v>
      </c>
      <c r="D717" s="602"/>
      <c r="E717" s="602"/>
      <c r="F717" s="602"/>
      <c r="G717" s="602"/>
      <c r="H717" s="602"/>
      <c r="I717" s="602"/>
      <c r="J717" s="602"/>
      <c r="K717" s="602"/>
      <c r="L717" s="602"/>
      <c r="M717" s="602"/>
      <c r="N717" s="602"/>
      <c r="O717" s="602"/>
      <c r="P717" s="602"/>
      <c r="Q717" s="602"/>
      <c r="R717" s="602"/>
      <c r="S717" s="602"/>
      <c r="T717" s="602"/>
      <c r="U717" s="602"/>
      <c r="V717" s="602"/>
      <c r="W717" s="602"/>
      <c r="X717" s="602"/>
      <c r="Y717" s="602"/>
      <c r="Z717" s="602"/>
      <c r="AA717" s="81"/>
      <c r="AB717" s="81"/>
      <c r="AC717" s="81"/>
      <c r="AD717" s="81"/>
      <c r="AE717" s="81"/>
      <c r="AF717" s="81"/>
      <c r="AG717" s="81"/>
    </row>
    <row r="718" spans="1:33" ht="15.75" customHeight="1" x14ac:dyDescent="0.3">
      <c r="A718" s="104"/>
      <c r="B718" s="104"/>
      <c r="C718" s="74">
        <f t="shared" ref="C718:C858" ca="1" si="10">1+COUNT(INDIRECT("A1:"&amp;(ADDRESS(ROW()-1,COLUMN()))))</f>
        <v>698</v>
      </c>
      <c r="D718" s="285" t="s">
        <v>324</v>
      </c>
      <c r="E718" s="318" t="s">
        <v>257</v>
      </c>
      <c r="F718" s="580" t="s">
        <v>457</v>
      </c>
      <c r="G718" s="353" t="s">
        <v>448</v>
      </c>
      <c r="H718" s="315"/>
      <c r="I718" s="247" t="s">
        <v>383</v>
      </c>
      <c r="J718" s="247" t="s">
        <v>261</v>
      </c>
      <c r="K718" s="248" t="s">
        <v>395</v>
      </c>
      <c r="L718" s="290" t="s">
        <v>15</v>
      </c>
      <c r="M718" s="407">
        <v>46045</v>
      </c>
      <c r="N718" s="194" t="s">
        <v>4</v>
      </c>
      <c r="O718" s="290" t="s">
        <v>15</v>
      </c>
      <c r="P718" s="393"/>
      <c r="Q718" s="407">
        <v>46038</v>
      </c>
      <c r="R718" s="40" t="s">
        <v>445</v>
      </c>
      <c r="S718" s="362" t="s">
        <v>3153</v>
      </c>
      <c r="T718" s="15"/>
      <c r="U718" s="315"/>
      <c r="V718" s="315"/>
      <c r="W718" s="315"/>
      <c r="X718" s="315"/>
      <c r="Y718" s="315"/>
      <c r="Z718" s="315"/>
      <c r="AA718" s="81"/>
      <c r="AB718" s="81"/>
      <c r="AC718" s="81"/>
      <c r="AD718" s="81"/>
      <c r="AE718" s="81"/>
      <c r="AF718" s="81"/>
      <c r="AG718" s="81"/>
    </row>
    <row r="719" spans="1:33" ht="15.75" customHeight="1" x14ac:dyDescent="0.3">
      <c r="A719" s="104"/>
      <c r="B719" s="104"/>
      <c r="C719" s="74">
        <f t="shared" ca="1" si="10"/>
        <v>699</v>
      </c>
      <c r="D719" s="166" t="s">
        <v>2277</v>
      </c>
      <c r="E719" s="286" t="s">
        <v>359</v>
      </c>
      <c r="F719" s="580" t="s">
        <v>3060</v>
      </c>
      <c r="G719" s="353" t="s">
        <v>448</v>
      </c>
      <c r="H719" s="277"/>
      <c r="I719" s="246"/>
      <c r="J719" s="248" t="s">
        <v>2278</v>
      </c>
      <c r="K719" s="248" t="s">
        <v>3154</v>
      </c>
      <c r="L719" s="290" t="s">
        <v>15</v>
      </c>
      <c r="M719" s="407">
        <v>46045</v>
      </c>
      <c r="N719" s="40" t="s">
        <v>6</v>
      </c>
      <c r="O719" s="290" t="s">
        <v>15</v>
      </c>
      <c r="P719" s="393"/>
      <c r="Q719" s="407">
        <v>46038</v>
      </c>
      <c r="R719" s="40" t="s">
        <v>445</v>
      </c>
      <c r="S719" s="206"/>
      <c r="T719" s="15"/>
      <c r="U719" s="315"/>
      <c r="V719" s="315"/>
      <c r="W719" s="315"/>
      <c r="X719" s="315"/>
      <c r="Y719" s="315"/>
      <c r="Z719" s="315"/>
      <c r="AA719" s="81"/>
      <c r="AB719" s="81"/>
      <c r="AC719" s="81"/>
      <c r="AD719" s="81"/>
      <c r="AE719" s="81"/>
      <c r="AF719" s="81"/>
      <c r="AG719" s="81"/>
    </row>
    <row r="720" spans="1:33" ht="15.75" customHeight="1" x14ac:dyDescent="0.3">
      <c r="A720" s="104"/>
      <c r="B720" s="104"/>
      <c r="C720" s="74">
        <f t="shared" ca="1" si="10"/>
        <v>700</v>
      </c>
      <c r="D720" s="694" t="s">
        <v>396</v>
      </c>
      <c r="E720" s="286" t="s">
        <v>257</v>
      </c>
      <c r="F720" s="580" t="s">
        <v>457</v>
      </c>
      <c r="G720" s="353" t="s">
        <v>448</v>
      </c>
      <c r="H720" s="277"/>
      <c r="I720" s="246"/>
      <c r="J720" s="247" t="s">
        <v>261</v>
      </c>
      <c r="K720" s="247" t="s">
        <v>3101</v>
      </c>
      <c r="L720" s="290" t="s">
        <v>15</v>
      </c>
      <c r="M720" s="407">
        <v>46042</v>
      </c>
      <c r="N720" s="40" t="s">
        <v>6</v>
      </c>
      <c r="O720" s="290" t="s">
        <v>15</v>
      </c>
      <c r="P720" s="393"/>
      <c r="Q720" s="407">
        <v>46038</v>
      </c>
      <c r="R720" s="40" t="s">
        <v>445</v>
      </c>
      <c r="S720" s="206"/>
      <c r="T720" s="15"/>
      <c r="U720" s="315"/>
      <c r="V720" s="315"/>
      <c r="W720" s="315"/>
      <c r="X720" s="315"/>
      <c r="Y720" s="315"/>
      <c r="Z720" s="315"/>
      <c r="AA720" s="81"/>
      <c r="AB720" s="81"/>
      <c r="AC720" s="81"/>
      <c r="AD720" s="81"/>
      <c r="AE720" s="81"/>
      <c r="AF720" s="81"/>
      <c r="AG720" s="81"/>
    </row>
    <row r="721" spans="1:33" ht="15.75" customHeight="1" x14ac:dyDescent="0.3">
      <c r="A721" s="104"/>
      <c r="B721" s="104"/>
      <c r="C721" s="74">
        <f t="shared" ca="1" si="10"/>
        <v>701</v>
      </c>
      <c r="D721" s="635"/>
      <c r="E721" s="286" t="s">
        <v>237</v>
      </c>
      <c r="F721" s="580" t="s">
        <v>459</v>
      </c>
      <c r="G721" s="353" t="s">
        <v>448</v>
      </c>
      <c r="H721" s="277"/>
      <c r="I721" s="246"/>
      <c r="J721" s="247" t="s">
        <v>3155</v>
      </c>
      <c r="K721" s="247" t="s">
        <v>3156</v>
      </c>
      <c r="L721" s="290" t="s">
        <v>15</v>
      </c>
      <c r="M721" s="407">
        <v>46042</v>
      </c>
      <c r="N721" s="40" t="s">
        <v>6</v>
      </c>
      <c r="O721" s="290" t="s">
        <v>15</v>
      </c>
      <c r="P721" s="393"/>
      <c r="Q721" s="407">
        <v>46038</v>
      </c>
      <c r="R721" s="40" t="s">
        <v>445</v>
      </c>
      <c r="S721" s="206"/>
      <c r="T721" s="15"/>
      <c r="U721" s="315"/>
      <c r="V721" s="315"/>
      <c r="W721" s="315"/>
      <c r="X721" s="315"/>
      <c r="Y721" s="315"/>
      <c r="Z721" s="315"/>
      <c r="AA721" s="81"/>
      <c r="AB721" s="81"/>
      <c r="AC721" s="81"/>
      <c r="AD721" s="81"/>
      <c r="AE721" s="81"/>
      <c r="AF721" s="81"/>
      <c r="AG721" s="81"/>
    </row>
    <row r="722" spans="1:33" ht="15.75" customHeight="1" x14ac:dyDescent="0.3">
      <c r="A722" s="104"/>
      <c r="B722" s="104"/>
      <c r="C722" s="74">
        <f t="shared" ca="1" si="10"/>
        <v>702</v>
      </c>
      <c r="D722" s="694" t="s">
        <v>397</v>
      </c>
      <c r="E722" s="286" t="s">
        <v>257</v>
      </c>
      <c r="F722" s="580" t="s">
        <v>457</v>
      </c>
      <c r="G722" s="353" t="s">
        <v>448</v>
      </c>
      <c r="H722" s="277"/>
      <c r="I722" s="246"/>
      <c r="J722" s="247" t="s">
        <v>261</v>
      </c>
      <c r="K722" s="248" t="s">
        <v>327</v>
      </c>
      <c r="L722" s="290" t="s">
        <v>15</v>
      </c>
      <c r="M722" s="407">
        <v>46045</v>
      </c>
      <c r="N722" s="40" t="s">
        <v>4</v>
      </c>
      <c r="O722" s="290" t="s">
        <v>15</v>
      </c>
      <c r="P722" s="393"/>
      <c r="Q722" s="407">
        <v>46038</v>
      </c>
      <c r="R722" s="40" t="s">
        <v>445</v>
      </c>
      <c r="S722" s="40" t="s">
        <v>3157</v>
      </c>
      <c r="T722" s="15"/>
      <c r="U722" s="315"/>
      <c r="V722" s="315"/>
      <c r="W722" s="315"/>
      <c r="X722" s="315"/>
      <c r="Y722" s="315"/>
      <c r="Z722" s="315"/>
      <c r="AA722" s="81"/>
      <c r="AB722" s="81"/>
      <c r="AC722" s="81"/>
      <c r="AD722" s="81"/>
      <c r="AE722" s="81"/>
      <c r="AF722" s="81"/>
      <c r="AG722" s="81"/>
    </row>
    <row r="723" spans="1:33" ht="15.75" customHeight="1" x14ac:dyDescent="0.3">
      <c r="A723" s="104"/>
      <c r="B723" s="104"/>
      <c r="C723" s="74">
        <f t="shared" ca="1" si="10"/>
        <v>703</v>
      </c>
      <c r="D723" s="635"/>
      <c r="E723" s="286" t="s">
        <v>237</v>
      </c>
      <c r="F723" s="580" t="s">
        <v>459</v>
      </c>
      <c r="G723" s="353" t="s">
        <v>448</v>
      </c>
      <c r="H723" s="277"/>
      <c r="I723" s="246"/>
      <c r="J723" s="247" t="s">
        <v>3155</v>
      </c>
      <c r="K723" s="248" t="s">
        <v>2621</v>
      </c>
      <c r="L723" s="290" t="s">
        <v>46</v>
      </c>
      <c r="M723" s="582"/>
      <c r="N723" s="327"/>
      <c r="O723" s="290" t="s">
        <v>46</v>
      </c>
      <c r="P723" s="320"/>
      <c r="Q723" s="407">
        <v>46038</v>
      </c>
      <c r="R723" s="40" t="s">
        <v>445</v>
      </c>
      <c r="S723" s="583" t="s">
        <v>3158</v>
      </c>
      <c r="T723" s="15"/>
      <c r="U723" s="374"/>
      <c r="V723" s="374"/>
      <c r="W723" s="374"/>
      <c r="X723" s="374"/>
      <c r="Y723" s="374"/>
      <c r="Z723" s="374"/>
      <c r="AA723" s="81"/>
      <c r="AB723" s="81"/>
      <c r="AC723" s="81"/>
      <c r="AD723" s="81"/>
      <c r="AE723" s="81"/>
      <c r="AF723" s="81"/>
      <c r="AG723" s="81"/>
    </row>
    <row r="724" spans="1:33" ht="15.75" customHeight="1" x14ac:dyDescent="0.3">
      <c r="A724" s="104"/>
      <c r="B724" s="104"/>
      <c r="C724" s="74">
        <f t="shared" ca="1" si="10"/>
        <v>704</v>
      </c>
      <c r="D724" s="669" t="s">
        <v>328</v>
      </c>
      <c r="E724" s="318" t="s">
        <v>257</v>
      </c>
      <c r="F724" s="580" t="s">
        <v>457</v>
      </c>
      <c r="G724" s="353" t="s">
        <v>448</v>
      </c>
      <c r="H724" s="315"/>
      <c r="I724" s="246"/>
      <c r="J724" s="247" t="s">
        <v>261</v>
      </c>
      <c r="K724" s="247" t="s">
        <v>2587</v>
      </c>
      <c r="L724" s="290" t="s">
        <v>15</v>
      </c>
      <c r="M724" s="407">
        <v>46042</v>
      </c>
      <c r="N724" s="40" t="s">
        <v>6</v>
      </c>
      <c r="O724" s="290" t="s">
        <v>15</v>
      </c>
      <c r="P724" s="393"/>
      <c r="Q724" s="407">
        <v>46038</v>
      </c>
      <c r="R724" s="40" t="s">
        <v>445</v>
      </c>
      <c r="S724" s="206"/>
      <c r="T724" s="15"/>
      <c r="U724" s="315"/>
      <c r="V724" s="315"/>
      <c r="W724" s="315"/>
      <c r="X724" s="315"/>
      <c r="Y724" s="315"/>
      <c r="Z724" s="315"/>
      <c r="AA724" s="81"/>
      <c r="AB724" s="81"/>
      <c r="AC724" s="81"/>
      <c r="AD724" s="81"/>
      <c r="AE724" s="81"/>
      <c r="AF724" s="81"/>
      <c r="AG724" s="81"/>
    </row>
    <row r="725" spans="1:33" ht="15.75" customHeight="1" x14ac:dyDescent="0.3">
      <c r="A725" s="104"/>
      <c r="B725" s="104"/>
      <c r="C725" s="74">
        <f t="shared" ca="1" si="10"/>
        <v>705</v>
      </c>
      <c r="D725" s="636"/>
      <c r="E725" s="338"/>
      <c r="F725" s="580" t="s">
        <v>459</v>
      </c>
      <c r="G725" s="353" t="s">
        <v>448</v>
      </c>
      <c r="H725" s="315"/>
      <c r="I725" s="246"/>
      <c r="J725" s="247" t="s">
        <v>365</v>
      </c>
      <c r="K725" s="248" t="s">
        <v>3159</v>
      </c>
      <c r="L725" s="290" t="s">
        <v>15</v>
      </c>
      <c r="M725" s="407">
        <v>46042</v>
      </c>
      <c r="N725" s="40" t="s">
        <v>6</v>
      </c>
      <c r="O725" s="290" t="s">
        <v>15</v>
      </c>
      <c r="P725" s="393"/>
      <c r="Q725" s="407">
        <v>46038</v>
      </c>
      <c r="R725" s="40" t="s">
        <v>445</v>
      </c>
      <c r="S725" s="206"/>
      <c r="T725" s="15"/>
      <c r="U725" s="315"/>
      <c r="V725" s="315"/>
      <c r="W725" s="315"/>
      <c r="X725" s="315"/>
      <c r="Y725" s="315"/>
      <c r="Z725" s="315"/>
      <c r="AA725" s="81"/>
      <c r="AB725" s="81"/>
      <c r="AC725" s="81"/>
      <c r="AD725" s="81"/>
      <c r="AE725" s="81"/>
      <c r="AF725" s="81"/>
      <c r="AG725" s="81"/>
    </row>
    <row r="726" spans="1:33" ht="15.75" customHeight="1" x14ac:dyDescent="0.3">
      <c r="A726" s="104"/>
      <c r="B726" s="104"/>
      <c r="C726" s="74">
        <f t="shared" ca="1" si="10"/>
        <v>706</v>
      </c>
      <c r="D726" s="636"/>
      <c r="E726" s="697"/>
      <c r="F726" s="580" t="s">
        <v>459</v>
      </c>
      <c r="G726" s="353" t="s">
        <v>455</v>
      </c>
      <c r="H726" s="315"/>
      <c r="I726" s="248" t="s">
        <v>3160</v>
      </c>
      <c r="J726" s="247" t="s">
        <v>365</v>
      </c>
      <c r="K726" s="248" t="s">
        <v>371</v>
      </c>
      <c r="L726" s="290" t="s">
        <v>15</v>
      </c>
      <c r="M726" s="407">
        <v>46042</v>
      </c>
      <c r="N726" s="40" t="s">
        <v>6</v>
      </c>
      <c r="O726" s="290" t="s">
        <v>15</v>
      </c>
      <c r="P726" s="393"/>
      <c r="Q726" s="407">
        <v>46038</v>
      </c>
      <c r="R726" s="40" t="s">
        <v>445</v>
      </c>
      <c r="S726" s="206"/>
      <c r="T726" s="15"/>
      <c r="U726" s="315"/>
      <c r="V726" s="315"/>
      <c r="W726" s="315"/>
      <c r="X726" s="315"/>
      <c r="Y726" s="315"/>
      <c r="Z726" s="315"/>
      <c r="AA726" s="81"/>
      <c r="AB726" s="81"/>
      <c r="AC726" s="81"/>
      <c r="AD726" s="81"/>
      <c r="AE726" s="81"/>
      <c r="AF726" s="81"/>
      <c r="AG726" s="81"/>
    </row>
    <row r="727" spans="1:33" ht="15.75" customHeight="1" x14ac:dyDescent="0.3">
      <c r="A727" s="104"/>
      <c r="B727" s="104"/>
      <c r="C727" s="74">
        <f t="shared" ca="1" si="10"/>
        <v>707</v>
      </c>
      <c r="D727" s="636"/>
      <c r="E727" s="636"/>
      <c r="F727" s="580" t="s">
        <v>459</v>
      </c>
      <c r="G727" s="353" t="s">
        <v>448</v>
      </c>
      <c r="H727" s="315"/>
      <c r="I727" s="248" t="s">
        <v>3161</v>
      </c>
      <c r="J727" s="247" t="s">
        <v>238</v>
      </c>
      <c r="K727" s="247" t="s">
        <v>2560</v>
      </c>
      <c r="L727" s="290" t="s">
        <v>15</v>
      </c>
      <c r="M727" s="407">
        <v>46042</v>
      </c>
      <c r="N727" s="40" t="s">
        <v>6</v>
      </c>
      <c r="O727" s="290" t="s">
        <v>15</v>
      </c>
      <c r="P727" s="393"/>
      <c r="Q727" s="407">
        <v>46038</v>
      </c>
      <c r="R727" s="40" t="s">
        <v>445</v>
      </c>
      <c r="S727" s="206"/>
      <c r="T727" s="15"/>
      <c r="U727" s="315"/>
      <c r="V727" s="315"/>
      <c r="W727" s="315"/>
      <c r="X727" s="315"/>
      <c r="Y727" s="315"/>
      <c r="Z727" s="315"/>
      <c r="AA727" s="81"/>
      <c r="AB727" s="81"/>
      <c r="AC727" s="81"/>
      <c r="AD727" s="81"/>
      <c r="AE727" s="81"/>
      <c r="AF727" s="81"/>
      <c r="AG727" s="81"/>
    </row>
    <row r="728" spans="1:33" ht="15.75" customHeight="1" x14ac:dyDescent="0.3">
      <c r="A728" s="104"/>
      <c r="B728" s="104"/>
      <c r="C728" s="74">
        <f t="shared" ca="1" si="10"/>
        <v>708</v>
      </c>
      <c r="D728" s="636"/>
      <c r="E728" s="636"/>
      <c r="F728" s="580" t="s">
        <v>459</v>
      </c>
      <c r="G728" s="353" t="s">
        <v>448</v>
      </c>
      <c r="H728" s="315"/>
      <c r="I728" s="248" t="s">
        <v>3162</v>
      </c>
      <c r="J728" s="247" t="s">
        <v>238</v>
      </c>
      <c r="K728" s="247" t="s">
        <v>2563</v>
      </c>
      <c r="L728" s="290" t="s">
        <v>15</v>
      </c>
      <c r="M728" s="407">
        <v>46042</v>
      </c>
      <c r="N728" s="40" t="s">
        <v>6</v>
      </c>
      <c r="O728" s="290" t="s">
        <v>15</v>
      </c>
      <c r="P728" s="393"/>
      <c r="Q728" s="407">
        <v>46038</v>
      </c>
      <c r="R728" s="40" t="s">
        <v>445</v>
      </c>
      <c r="S728" s="206"/>
      <c r="T728" s="15"/>
      <c r="U728" s="315"/>
      <c r="V728" s="315"/>
      <c r="W728" s="315"/>
      <c r="X728" s="315"/>
      <c r="Y728" s="315"/>
      <c r="Z728" s="315"/>
      <c r="AA728" s="81"/>
      <c r="AB728" s="81"/>
      <c r="AC728" s="81"/>
      <c r="AD728" s="81"/>
      <c r="AE728" s="81"/>
      <c r="AF728" s="81"/>
      <c r="AG728" s="81"/>
    </row>
    <row r="729" spans="1:33" ht="15.75" customHeight="1" x14ac:dyDescent="0.3">
      <c r="A729" s="104"/>
      <c r="B729" s="104"/>
      <c r="C729" s="74">
        <f t="shared" ca="1" si="10"/>
        <v>709</v>
      </c>
      <c r="D729" s="636"/>
      <c r="E729" s="636"/>
      <c r="F729" s="580" t="s">
        <v>459</v>
      </c>
      <c r="G729" s="353" t="s">
        <v>448</v>
      </c>
      <c r="H729" s="315"/>
      <c r="I729" s="248" t="s">
        <v>3163</v>
      </c>
      <c r="J729" s="247" t="s">
        <v>238</v>
      </c>
      <c r="K729" s="247" t="s">
        <v>2566</v>
      </c>
      <c r="L729" s="290" t="s">
        <v>15</v>
      </c>
      <c r="M729" s="407">
        <v>46042</v>
      </c>
      <c r="N729" s="40" t="s">
        <v>6</v>
      </c>
      <c r="O729" s="290" t="s">
        <v>15</v>
      </c>
      <c r="P729" s="393"/>
      <c r="Q729" s="407">
        <v>46038</v>
      </c>
      <c r="R729" s="40" t="s">
        <v>445</v>
      </c>
      <c r="S729" s="206"/>
      <c r="T729" s="15"/>
      <c r="U729" s="315"/>
      <c r="V729" s="315"/>
      <c r="W729" s="315"/>
      <c r="X729" s="315"/>
      <c r="Y729" s="315"/>
      <c r="Z729" s="315"/>
      <c r="AA729" s="81"/>
      <c r="AB729" s="81"/>
      <c r="AC729" s="81"/>
      <c r="AD729" s="81"/>
      <c r="AE729" s="81"/>
      <c r="AF729" s="81"/>
      <c r="AG729" s="81"/>
    </row>
    <row r="730" spans="1:33" ht="15.75" customHeight="1" x14ac:dyDescent="0.3">
      <c r="A730" s="104"/>
      <c r="B730" s="104"/>
      <c r="C730" s="74">
        <f t="shared" ca="1" si="10"/>
        <v>710</v>
      </c>
      <c r="D730" s="635"/>
      <c r="E730" s="635"/>
      <c r="F730" s="580" t="s">
        <v>459</v>
      </c>
      <c r="G730" s="353" t="s">
        <v>448</v>
      </c>
      <c r="H730" s="315"/>
      <c r="I730" s="248" t="s">
        <v>3164</v>
      </c>
      <c r="J730" s="247" t="s">
        <v>238</v>
      </c>
      <c r="K730" s="247" t="s">
        <v>2569</v>
      </c>
      <c r="L730" s="290" t="s">
        <v>15</v>
      </c>
      <c r="M730" s="407">
        <v>46042</v>
      </c>
      <c r="N730" s="40" t="s">
        <v>6</v>
      </c>
      <c r="O730" s="290" t="s">
        <v>15</v>
      </c>
      <c r="P730" s="393"/>
      <c r="Q730" s="407">
        <v>46038</v>
      </c>
      <c r="R730" s="40" t="s">
        <v>445</v>
      </c>
      <c r="S730" s="206"/>
      <c r="T730" s="15"/>
      <c r="U730" s="315"/>
      <c r="V730" s="315"/>
      <c r="W730" s="315"/>
      <c r="X730" s="315"/>
      <c r="Y730" s="315"/>
      <c r="Z730" s="315"/>
      <c r="AA730" s="81"/>
      <c r="AB730" s="81"/>
      <c r="AC730" s="81"/>
      <c r="AD730" s="81"/>
      <c r="AE730" s="81"/>
      <c r="AF730" s="81"/>
      <c r="AG730" s="81"/>
    </row>
    <row r="731" spans="1:33" ht="15.75" customHeight="1" x14ac:dyDescent="0.3">
      <c r="A731" s="104"/>
      <c r="B731" s="104"/>
      <c r="C731" s="74">
        <f t="shared" ca="1" si="10"/>
        <v>711</v>
      </c>
      <c r="D731" s="669" t="s">
        <v>329</v>
      </c>
      <c r="E731" s="318" t="s">
        <v>257</v>
      </c>
      <c r="F731" s="580" t="s">
        <v>457</v>
      </c>
      <c r="G731" s="353" t="s">
        <v>448</v>
      </c>
      <c r="H731" s="315"/>
      <c r="I731" s="246"/>
      <c r="J731" s="247" t="s">
        <v>261</v>
      </c>
      <c r="K731" s="247" t="s">
        <v>2605</v>
      </c>
      <c r="L731" s="290" t="s">
        <v>15</v>
      </c>
      <c r="M731" s="407">
        <v>46042</v>
      </c>
      <c r="N731" s="40" t="s">
        <v>6</v>
      </c>
      <c r="O731" s="290" t="s">
        <v>15</v>
      </c>
      <c r="P731" s="393"/>
      <c r="Q731" s="407">
        <v>46038</v>
      </c>
      <c r="R731" s="40" t="s">
        <v>445</v>
      </c>
      <c r="S731" s="206"/>
      <c r="T731" s="15"/>
      <c r="U731" s="315"/>
      <c r="V731" s="315"/>
      <c r="W731" s="315"/>
      <c r="X731" s="315"/>
      <c r="Y731" s="315"/>
      <c r="Z731" s="315"/>
      <c r="AA731" s="81"/>
      <c r="AB731" s="81"/>
      <c r="AC731" s="81"/>
      <c r="AD731" s="81"/>
      <c r="AE731" s="81"/>
      <c r="AF731" s="81"/>
      <c r="AG731" s="81"/>
    </row>
    <row r="732" spans="1:33" ht="15.75" customHeight="1" x14ac:dyDescent="0.3">
      <c r="A732" s="104"/>
      <c r="B732" s="104"/>
      <c r="C732" s="74">
        <f t="shared" ca="1" si="10"/>
        <v>712</v>
      </c>
      <c r="D732" s="636"/>
      <c r="E732" s="338"/>
      <c r="F732" s="580" t="s">
        <v>459</v>
      </c>
      <c r="G732" s="353" t="s">
        <v>448</v>
      </c>
      <c r="H732" s="315"/>
      <c r="I732" s="246"/>
      <c r="J732" s="247" t="s">
        <v>365</v>
      </c>
      <c r="K732" s="248" t="s">
        <v>3165</v>
      </c>
      <c r="L732" s="290" t="s">
        <v>15</v>
      </c>
      <c r="M732" s="407">
        <v>46042</v>
      </c>
      <c r="N732" s="40" t="s">
        <v>6</v>
      </c>
      <c r="O732" s="290" t="s">
        <v>15</v>
      </c>
      <c r="P732" s="393"/>
      <c r="Q732" s="407">
        <v>46038</v>
      </c>
      <c r="R732" s="40" t="s">
        <v>445</v>
      </c>
      <c r="S732" s="206"/>
      <c r="T732" s="15"/>
      <c r="U732" s="315"/>
      <c r="V732" s="315"/>
      <c r="W732" s="315"/>
      <c r="X732" s="315"/>
      <c r="Y732" s="315"/>
      <c r="Z732" s="315"/>
      <c r="AA732" s="81"/>
      <c r="AB732" s="81"/>
      <c r="AC732" s="81"/>
      <c r="AD732" s="81"/>
      <c r="AE732" s="81"/>
      <c r="AF732" s="81"/>
      <c r="AG732" s="81"/>
    </row>
    <row r="733" spans="1:33" ht="15.75" customHeight="1" x14ac:dyDescent="0.3">
      <c r="A733" s="104"/>
      <c r="B733" s="104"/>
      <c r="C733" s="74">
        <f t="shared" ca="1" si="10"/>
        <v>713</v>
      </c>
      <c r="D733" s="636"/>
      <c r="E733" s="697"/>
      <c r="F733" s="580" t="s">
        <v>459</v>
      </c>
      <c r="G733" s="353" t="s">
        <v>455</v>
      </c>
      <c r="H733" s="315"/>
      <c r="I733" s="248" t="s">
        <v>3166</v>
      </c>
      <c r="J733" s="247" t="s">
        <v>365</v>
      </c>
      <c r="K733" s="248" t="s">
        <v>371</v>
      </c>
      <c r="L733" s="290" t="s">
        <v>15</v>
      </c>
      <c r="M733" s="407">
        <v>46042</v>
      </c>
      <c r="N733" s="40" t="s">
        <v>6</v>
      </c>
      <c r="O733" s="290" t="s">
        <v>15</v>
      </c>
      <c r="P733" s="393"/>
      <c r="Q733" s="407">
        <v>46038</v>
      </c>
      <c r="R733" s="40" t="s">
        <v>445</v>
      </c>
      <c r="S733" s="206"/>
      <c r="T733" s="15"/>
      <c r="U733" s="315"/>
      <c r="V733" s="315"/>
      <c r="W733" s="315"/>
      <c r="X733" s="315"/>
      <c r="Y733" s="315"/>
      <c r="Z733" s="315"/>
      <c r="AA733" s="81"/>
      <c r="AB733" s="81"/>
      <c r="AC733" s="81"/>
      <c r="AD733" s="81"/>
      <c r="AE733" s="81"/>
      <c r="AF733" s="81"/>
      <c r="AG733" s="81"/>
    </row>
    <row r="734" spans="1:33" ht="15.75" customHeight="1" x14ac:dyDescent="0.3">
      <c r="A734" s="104"/>
      <c r="B734" s="104"/>
      <c r="C734" s="74">
        <f t="shared" ca="1" si="10"/>
        <v>714</v>
      </c>
      <c r="D734" s="636"/>
      <c r="E734" s="636"/>
      <c r="F734" s="580" t="s">
        <v>459</v>
      </c>
      <c r="G734" s="353" t="s">
        <v>448</v>
      </c>
      <c r="H734" s="315"/>
      <c r="I734" s="248" t="s">
        <v>3167</v>
      </c>
      <c r="J734" s="247" t="s">
        <v>238</v>
      </c>
      <c r="K734" s="247" t="s">
        <v>2560</v>
      </c>
      <c r="L734" s="290" t="s">
        <v>15</v>
      </c>
      <c r="M734" s="407">
        <v>46042</v>
      </c>
      <c r="N734" s="40" t="s">
        <v>6</v>
      </c>
      <c r="O734" s="290" t="s">
        <v>15</v>
      </c>
      <c r="P734" s="393"/>
      <c r="Q734" s="407">
        <v>46038</v>
      </c>
      <c r="R734" s="40" t="s">
        <v>445</v>
      </c>
      <c r="S734" s="206"/>
      <c r="T734" s="15"/>
      <c r="U734" s="315"/>
      <c r="V734" s="315"/>
      <c r="W734" s="315"/>
      <c r="X734" s="315"/>
      <c r="Y734" s="315"/>
      <c r="Z734" s="315"/>
      <c r="AA734" s="81"/>
      <c r="AB734" s="81"/>
      <c r="AC734" s="81"/>
      <c r="AD734" s="81"/>
      <c r="AE734" s="81"/>
      <c r="AF734" s="81"/>
      <c r="AG734" s="81"/>
    </row>
    <row r="735" spans="1:33" ht="15.75" customHeight="1" x14ac:dyDescent="0.3">
      <c r="A735" s="104"/>
      <c r="B735" s="104"/>
      <c r="C735" s="74">
        <f t="shared" ca="1" si="10"/>
        <v>715</v>
      </c>
      <c r="D735" s="636"/>
      <c r="E735" s="636"/>
      <c r="F735" s="580" t="s">
        <v>459</v>
      </c>
      <c r="G735" s="353" t="s">
        <v>448</v>
      </c>
      <c r="H735" s="315"/>
      <c r="I735" s="248" t="s">
        <v>3168</v>
      </c>
      <c r="J735" s="247" t="s">
        <v>238</v>
      </c>
      <c r="K735" s="247" t="s">
        <v>2563</v>
      </c>
      <c r="L735" s="290" t="s">
        <v>15</v>
      </c>
      <c r="M735" s="407">
        <v>46042</v>
      </c>
      <c r="N735" s="40" t="s">
        <v>6</v>
      </c>
      <c r="O735" s="290" t="s">
        <v>15</v>
      </c>
      <c r="P735" s="393"/>
      <c r="Q735" s="407">
        <v>46038</v>
      </c>
      <c r="R735" s="40" t="s">
        <v>445</v>
      </c>
      <c r="S735" s="206"/>
      <c r="T735" s="15"/>
      <c r="U735" s="315"/>
      <c r="V735" s="315"/>
      <c r="W735" s="315"/>
      <c r="X735" s="315"/>
      <c r="Y735" s="315"/>
      <c r="Z735" s="315"/>
      <c r="AA735" s="81"/>
      <c r="AB735" s="81"/>
      <c r="AC735" s="81"/>
      <c r="AD735" s="81"/>
      <c r="AE735" s="81"/>
      <c r="AF735" s="81"/>
      <c r="AG735" s="81"/>
    </row>
    <row r="736" spans="1:33" ht="15.75" customHeight="1" x14ac:dyDescent="0.3">
      <c r="A736" s="104"/>
      <c r="B736" s="104"/>
      <c r="C736" s="74">
        <f t="shared" ca="1" si="10"/>
        <v>716</v>
      </c>
      <c r="D736" s="636"/>
      <c r="E736" s="636"/>
      <c r="F736" s="580" t="s">
        <v>459</v>
      </c>
      <c r="G736" s="353" t="s">
        <v>448</v>
      </c>
      <c r="H736" s="315"/>
      <c r="I736" s="248" t="s">
        <v>3169</v>
      </c>
      <c r="J736" s="247" t="s">
        <v>238</v>
      </c>
      <c r="K736" s="247" t="s">
        <v>2566</v>
      </c>
      <c r="L736" s="290" t="s">
        <v>15</v>
      </c>
      <c r="M736" s="407">
        <v>46042</v>
      </c>
      <c r="N736" s="40" t="s">
        <v>6</v>
      </c>
      <c r="O736" s="290" t="s">
        <v>15</v>
      </c>
      <c r="P736" s="393"/>
      <c r="Q736" s="407">
        <v>46038</v>
      </c>
      <c r="R736" s="40" t="s">
        <v>445</v>
      </c>
      <c r="S736" s="206"/>
      <c r="T736" s="15"/>
      <c r="U736" s="315"/>
      <c r="V736" s="315"/>
      <c r="W736" s="315"/>
      <c r="X736" s="315"/>
      <c r="Y736" s="315"/>
      <c r="Z736" s="315"/>
      <c r="AA736" s="81"/>
      <c r="AB736" s="81"/>
      <c r="AC736" s="81"/>
      <c r="AD736" s="81"/>
      <c r="AE736" s="81"/>
      <c r="AF736" s="81"/>
      <c r="AG736" s="81"/>
    </row>
    <row r="737" spans="1:33" ht="15.75" customHeight="1" x14ac:dyDescent="0.3">
      <c r="A737" s="104"/>
      <c r="B737" s="104"/>
      <c r="C737" s="74">
        <f t="shared" ca="1" si="10"/>
        <v>717</v>
      </c>
      <c r="D737" s="635"/>
      <c r="E737" s="635"/>
      <c r="F737" s="580" t="s">
        <v>459</v>
      </c>
      <c r="G737" s="353" t="s">
        <v>448</v>
      </c>
      <c r="H737" s="315"/>
      <c r="I737" s="248" t="s">
        <v>3170</v>
      </c>
      <c r="J737" s="247" t="s">
        <v>238</v>
      </c>
      <c r="K737" s="247" t="s">
        <v>2569</v>
      </c>
      <c r="L737" s="290" t="s">
        <v>15</v>
      </c>
      <c r="M737" s="407">
        <v>46042</v>
      </c>
      <c r="N737" s="40" t="s">
        <v>6</v>
      </c>
      <c r="O737" s="290" t="s">
        <v>15</v>
      </c>
      <c r="P737" s="393"/>
      <c r="Q737" s="407">
        <v>46038</v>
      </c>
      <c r="R737" s="40" t="s">
        <v>445</v>
      </c>
      <c r="S737" s="206"/>
      <c r="T737" s="15"/>
      <c r="U737" s="315"/>
      <c r="V737" s="315"/>
      <c r="W737" s="315"/>
      <c r="X737" s="315"/>
      <c r="Y737" s="315"/>
      <c r="Z737" s="315"/>
      <c r="AA737" s="81"/>
      <c r="AB737" s="81"/>
      <c r="AC737" s="81"/>
      <c r="AD737" s="81"/>
      <c r="AE737" s="81"/>
      <c r="AF737" s="81"/>
      <c r="AG737" s="81"/>
    </row>
    <row r="738" spans="1:33" ht="15.75" customHeight="1" x14ac:dyDescent="0.3">
      <c r="A738" s="104"/>
      <c r="B738" s="104"/>
      <c r="C738" s="74">
        <f t="shared" ca="1" si="10"/>
        <v>718</v>
      </c>
      <c r="D738" s="313" t="s">
        <v>398</v>
      </c>
      <c r="E738" s="326" t="s">
        <v>257</v>
      </c>
      <c r="F738" s="580" t="s">
        <v>457</v>
      </c>
      <c r="G738" s="353" t="s">
        <v>448</v>
      </c>
      <c r="H738" s="315"/>
      <c r="I738" s="248" t="s">
        <v>2279</v>
      </c>
      <c r="J738" s="247" t="s">
        <v>261</v>
      </c>
      <c r="K738" s="247" t="s">
        <v>2280</v>
      </c>
      <c r="L738" s="290" t="s">
        <v>15</v>
      </c>
      <c r="M738" s="407">
        <v>46042</v>
      </c>
      <c r="N738" s="40" t="s">
        <v>6</v>
      </c>
      <c r="O738" s="290" t="s">
        <v>15</v>
      </c>
      <c r="P738" s="393"/>
      <c r="Q738" s="407">
        <v>46038</v>
      </c>
      <c r="R738" s="40" t="s">
        <v>445</v>
      </c>
      <c r="S738" s="206"/>
      <c r="T738" s="15"/>
      <c r="U738" s="315"/>
      <c r="V738" s="315"/>
      <c r="W738" s="315"/>
      <c r="X738" s="315"/>
      <c r="Y738" s="315"/>
      <c r="Z738" s="315"/>
      <c r="AA738" s="81"/>
      <c r="AB738" s="81"/>
      <c r="AC738" s="81"/>
      <c r="AD738" s="81"/>
      <c r="AE738" s="81"/>
      <c r="AF738" s="81"/>
      <c r="AG738" s="81"/>
    </row>
    <row r="739" spans="1:33" ht="15.75" customHeight="1" x14ac:dyDescent="0.3">
      <c r="A739" s="15"/>
      <c r="B739" s="15"/>
      <c r="C739" s="74">
        <f t="shared" ca="1" si="10"/>
        <v>719</v>
      </c>
      <c r="D739" s="452" t="s">
        <v>2281</v>
      </c>
      <c r="E739" s="324" t="s">
        <v>257</v>
      </c>
      <c r="F739" s="381" t="s">
        <v>457</v>
      </c>
      <c r="G739" s="319" t="s">
        <v>448</v>
      </c>
      <c r="H739" s="383"/>
      <c r="I739" s="359" t="s">
        <v>2282</v>
      </c>
      <c r="J739" s="240" t="s">
        <v>2283</v>
      </c>
      <c r="K739" s="248" t="s">
        <v>2284</v>
      </c>
      <c r="L739" s="290" t="s">
        <v>15</v>
      </c>
      <c r="M739" s="407">
        <v>46042</v>
      </c>
      <c r="N739" s="40" t="s">
        <v>6</v>
      </c>
      <c r="O739" s="290" t="s">
        <v>15</v>
      </c>
      <c r="P739" s="321" t="s">
        <v>211</v>
      </c>
      <c r="Q739" s="407">
        <v>46038</v>
      </c>
      <c r="R739" s="40" t="s">
        <v>445</v>
      </c>
      <c r="S739" s="282" t="s">
        <v>3171</v>
      </c>
      <c r="T739" s="15"/>
      <c r="U739" s="315"/>
      <c r="V739" s="315"/>
      <c r="W739" s="315"/>
      <c r="X739" s="315"/>
      <c r="Y739" s="315"/>
      <c r="Z739" s="315"/>
      <c r="AA739" s="15"/>
      <c r="AB739" s="15"/>
      <c r="AC739" s="15"/>
      <c r="AD739" s="15"/>
      <c r="AE739" s="15"/>
      <c r="AF739" s="15"/>
      <c r="AG739" s="15"/>
    </row>
    <row r="740" spans="1:33" ht="15.75" customHeight="1" x14ac:dyDescent="0.3">
      <c r="A740" s="104"/>
      <c r="B740" s="104"/>
      <c r="C740" s="74">
        <f t="shared" ca="1" si="10"/>
        <v>720</v>
      </c>
      <c r="D740" s="673" t="s">
        <v>2285</v>
      </c>
      <c r="E740" s="314" t="s">
        <v>198</v>
      </c>
      <c r="F740" s="285" t="s">
        <v>3063</v>
      </c>
      <c r="G740" s="353" t="s">
        <v>448</v>
      </c>
      <c r="H740" s="246"/>
      <c r="I740" s="279" t="s">
        <v>3172</v>
      </c>
      <c r="J740" s="239" t="s">
        <v>235</v>
      </c>
      <c r="K740" s="273" t="s">
        <v>2286</v>
      </c>
      <c r="L740" s="384" t="s">
        <v>46</v>
      </c>
      <c r="M740" s="582"/>
      <c r="N740" s="327"/>
      <c r="O740" s="340"/>
      <c r="P740" s="393"/>
      <c r="Q740" s="407">
        <v>46038</v>
      </c>
      <c r="R740" s="40" t="s">
        <v>445</v>
      </c>
      <c r="S740" s="206"/>
      <c r="T740" s="15"/>
      <c r="U740" s="374"/>
      <c r="V740" s="374"/>
      <c r="W740" s="374"/>
      <c r="X740" s="374"/>
      <c r="Y740" s="374"/>
      <c r="Z740" s="374"/>
      <c r="AA740" s="81"/>
      <c r="AB740" s="81"/>
      <c r="AC740" s="81"/>
      <c r="AD740" s="81"/>
      <c r="AE740" s="81"/>
      <c r="AF740" s="81"/>
      <c r="AG740" s="81"/>
    </row>
    <row r="741" spans="1:33" ht="15.75" customHeight="1" x14ac:dyDescent="0.3">
      <c r="A741" s="104"/>
      <c r="B741" s="104"/>
      <c r="C741" s="74">
        <f t="shared" ca="1" si="10"/>
        <v>721</v>
      </c>
      <c r="D741" s="635"/>
      <c r="E741" s="314" t="s">
        <v>198</v>
      </c>
      <c r="F741" s="285" t="s">
        <v>3063</v>
      </c>
      <c r="G741" s="353" t="s">
        <v>448</v>
      </c>
      <c r="H741" s="246"/>
      <c r="I741" s="279" t="s">
        <v>3173</v>
      </c>
      <c r="J741" s="239" t="s">
        <v>235</v>
      </c>
      <c r="K741" s="273" t="s">
        <v>2287</v>
      </c>
      <c r="L741" s="290" t="s">
        <v>15</v>
      </c>
      <c r="M741" s="407">
        <v>46042</v>
      </c>
      <c r="N741" s="40" t="s">
        <v>6</v>
      </c>
      <c r="O741" s="340"/>
      <c r="P741" s="393"/>
      <c r="Q741" s="407">
        <v>46038</v>
      </c>
      <c r="R741" s="40" t="s">
        <v>445</v>
      </c>
      <c r="S741" s="206"/>
      <c r="T741" s="15"/>
      <c r="U741" s="374"/>
      <c r="V741" s="374"/>
      <c r="W741" s="374"/>
      <c r="X741" s="374"/>
      <c r="Y741" s="374"/>
      <c r="Z741" s="374"/>
      <c r="AA741" s="81"/>
      <c r="AB741" s="81"/>
      <c r="AC741" s="81"/>
      <c r="AD741" s="81"/>
      <c r="AE741" s="81"/>
      <c r="AF741" s="81"/>
      <c r="AG741" s="81"/>
    </row>
    <row r="742" spans="1:33" ht="15.75" customHeight="1" x14ac:dyDescent="0.3">
      <c r="A742" s="104"/>
      <c r="B742" s="104"/>
      <c r="C742" s="74">
        <f t="shared" ca="1" si="10"/>
        <v>722</v>
      </c>
      <c r="D742" s="584"/>
      <c r="E742" s="314" t="s">
        <v>216</v>
      </c>
      <c r="F742" s="285" t="s">
        <v>458</v>
      </c>
      <c r="G742" s="353" t="s">
        <v>448</v>
      </c>
      <c r="H742" s="246"/>
      <c r="I742" s="246"/>
      <c r="J742" s="239" t="s">
        <v>236</v>
      </c>
      <c r="K742" s="273" t="s">
        <v>2288</v>
      </c>
      <c r="L742" s="290" t="s">
        <v>15</v>
      </c>
      <c r="M742" s="407">
        <v>46042</v>
      </c>
      <c r="N742" s="40" t="s">
        <v>6</v>
      </c>
      <c r="O742" s="388"/>
      <c r="P742" s="393"/>
      <c r="Q742" s="407">
        <v>46038</v>
      </c>
      <c r="R742" s="40" t="s">
        <v>445</v>
      </c>
      <c r="S742" s="362" t="s">
        <v>3174</v>
      </c>
      <c r="T742" s="15"/>
      <c r="U742" s="374"/>
      <c r="V742" s="374"/>
      <c r="W742" s="374"/>
      <c r="X742" s="374"/>
      <c r="Y742" s="374"/>
      <c r="Z742" s="374"/>
      <c r="AA742" s="81"/>
      <c r="AB742" s="81"/>
      <c r="AC742" s="81"/>
      <c r="AD742" s="81"/>
      <c r="AE742" s="81"/>
      <c r="AF742" s="81"/>
      <c r="AG742" s="81"/>
    </row>
    <row r="743" spans="1:33" ht="15.75" customHeight="1" x14ac:dyDescent="0.3">
      <c r="A743" s="104"/>
      <c r="B743" s="104"/>
      <c r="C743" s="130">
        <f t="shared" ca="1" si="10"/>
        <v>723</v>
      </c>
      <c r="D743" s="86"/>
      <c r="E743" s="314"/>
      <c r="F743" s="285" t="s">
        <v>458</v>
      </c>
      <c r="G743" s="353" t="s">
        <v>448</v>
      </c>
      <c r="H743" s="246"/>
      <c r="I743" s="246"/>
      <c r="J743" s="248" t="s">
        <v>2289</v>
      </c>
      <c r="K743" s="404" t="s">
        <v>3067</v>
      </c>
      <c r="L743" s="141" t="s">
        <v>2</v>
      </c>
      <c r="M743" s="193"/>
      <c r="N743" s="194"/>
      <c r="O743" s="141"/>
      <c r="P743" s="117"/>
      <c r="Q743" s="407"/>
      <c r="R743" s="40"/>
      <c r="S743" s="208"/>
      <c r="T743" s="357"/>
      <c r="U743" s="84"/>
      <c r="V743" s="84"/>
      <c r="W743" s="84"/>
      <c r="X743" s="84"/>
      <c r="Y743" s="84"/>
      <c r="Z743" s="84"/>
      <c r="AA743" s="81"/>
      <c r="AB743" s="81"/>
      <c r="AC743" s="81"/>
      <c r="AD743" s="81"/>
      <c r="AE743" s="81"/>
      <c r="AF743" s="81"/>
      <c r="AG743" s="81"/>
    </row>
    <row r="744" spans="1:33" ht="15.75" customHeight="1" x14ac:dyDescent="0.3">
      <c r="A744" s="104"/>
      <c r="B744" s="104"/>
      <c r="C744" s="74">
        <f t="shared" ca="1" si="10"/>
        <v>724</v>
      </c>
      <c r="D744" s="584"/>
      <c r="E744" s="585" t="s">
        <v>432</v>
      </c>
      <c r="F744" s="285" t="s">
        <v>458</v>
      </c>
      <c r="G744" s="353" t="s">
        <v>448</v>
      </c>
      <c r="H744" s="246"/>
      <c r="I744" s="325" t="s">
        <v>3175</v>
      </c>
      <c r="J744" s="239" t="s">
        <v>2290</v>
      </c>
      <c r="K744" s="404" t="s">
        <v>3176</v>
      </c>
      <c r="L744" s="290" t="s">
        <v>15</v>
      </c>
      <c r="M744" s="407">
        <v>46045</v>
      </c>
      <c r="N744" s="40" t="s">
        <v>4</v>
      </c>
      <c r="O744" s="388"/>
      <c r="P744" s="393"/>
      <c r="Q744" s="407"/>
      <c r="R744" s="40"/>
      <c r="S744" s="282"/>
      <c r="T744" s="15"/>
      <c r="U744" s="374"/>
      <c r="V744" s="374"/>
      <c r="W744" s="374"/>
      <c r="X744" s="374"/>
      <c r="Y744" s="374"/>
      <c r="Z744" s="374"/>
      <c r="AA744" s="81"/>
      <c r="AB744" s="81"/>
      <c r="AC744" s="81"/>
      <c r="AD744" s="81"/>
      <c r="AE744" s="81"/>
      <c r="AF744" s="81"/>
      <c r="AG744" s="81"/>
    </row>
    <row r="745" spans="1:33" ht="409.6" customHeight="1" x14ac:dyDescent="0.3">
      <c r="A745" s="104"/>
      <c r="B745" s="104"/>
      <c r="C745" s="74">
        <f t="shared" ca="1" si="10"/>
        <v>725</v>
      </c>
      <c r="D745" s="586" t="s">
        <v>399</v>
      </c>
      <c r="E745" s="286" t="s">
        <v>359</v>
      </c>
      <c r="F745" s="580" t="s">
        <v>3060</v>
      </c>
      <c r="G745" s="353" t="s">
        <v>448</v>
      </c>
      <c r="H745" s="277"/>
      <c r="I745" s="246"/>
      <c r="J745" s="358" t="s">
        <v>232</v>
      </c>
      <c r="K745" s="248" t="s">
        <v>3177</v>
      </c>
      <c r="L745" s="290" t="s">
        <v>15</v>
      </c>
      <c r="M745" s="407">
        <v>46043</v>
      </c>
      <c r="N745" s="40" t="s">
        <v>4</v>
      </c>
      <c r="O745" s="384" t="s">
        <v>158</v>
      </c>
      <c r="P745" s="281" t="s">
        <v>211</v>
      </c>
      <c r="Q745" s="407">
        <v>46038</v>
      </c>
      <c r="R745" s="40" t="s">
        <v>445</v>
      </c>
      <c r="S745" s="282" t="s">
        <v>3178</v>
      </c>
      <c r="T745" s="15"/>
      <c r="U745" s="315"/>
      <c r="V745" s="315"/>
      <c r="W745" s="315"/>
      <c r="X745" s="315"/>
      <c r="Y745" s="315"/>
      <c r="Z745" s="315"/>
      <c r="AA745" s="81"/>
      <c r="AB745" s="81"/>
      <c r="AC745" s="81"/>
      <c r="AD745" s="81"/>
      <c r="AE745" s="81"/>
      <c r="AF745" s="81"/>
      <c r="AG745" s="81"/>
    </row>
    <row r="746" spans="1:33" ht="15.75" customHeight="1" x14ac:dyDescent="0.3">
      <c r="A746" s="104"/>
      <c r="B746" s="104"/>
      <c r="C746" s="74">
        <f t="shared" ca="1" si="10"/>
        <v>726</v>
      </c>
      <c r="D746" s="694" t="s">
        <v>400</v>
      </c>
      <c r="E746" s="286" t="s">
        <v>257</v>
      </c>
      <c r="F746" s="580" t="s">
        <v>457</v>
      </c>
      <c r="G746" s="353" t="s">
        <v>448</v>
      </c>
      <c r="H746" s="277"/>
      <c r="I746" s="247" t="s">
        <v>383</v>
      </c>
      <c r="J746" s="247" t="s">
        <v>261</v>
      </c>
      <c r="K746" s="248" t="s">
        <v>3179</v>
      </c>
      <c r="L746" s="290" t="s">
        <v>15</v>
      </c>
      <c r="M746" s="407">
        <v>46043</v>
      </c>
      <c r="N746" s="40" t="s">
        <v>4</v>
      </c>
      <c r="O746" s="290" t="s">
        <v>15</v>
      </c>
      <c r="P746" s="393"/>
      <c r="Q746" s="407">
        <v>46038</v>
      </c>
      <c r="R746" s="40" t="s">
        <v>445</v>
      </c>
      <c r="S746" s="206"/>
      <c r="T746" s="15"/>
      <c r="U746" s="315"/>
      <c r="V746" s="315"/>
      <c r="W746" s="315"/>
      <c r="X746" s="315"/>
      <c r="Y746" s="315"/>
      <c r="Z746" s="315"/>
      <c r="AA746" s="81"/>
      <c r="AB746" s="81"/>
      <c r="AC746" s="81"/>
      <c r="AD746" s="81"/>
      <c r="AE746" s="81"/>
      <c r="AF746" s="81"/>
      <c r="AG746" s="81"/>
    </row>
    <row r="747" spans="1:33" ht="15.75" customHeight="1" x14ac:dyDescent="0.3">
      <c r="A747" s="104"/>
      <c r="B747" s="104"/>
      <c r="C747" s="74">
        <f t="shared" ca="1" si="10"/>
        <v>727</v>
      </c>
      <c r="D747" s="636"/>
      <c r="E747" s="694"/>
      <c r="F747" s="580" t="s">
        <v>459</v>
      </c>
      <c r="G747" s="353" t="s">
        <v>448</v>
      </c>
      <c r="H747" s="277"/>
      <c r="I747" s="248" t="s">
        <v>3180</v>
      </c>
      <c r="J747" s="247" t="s">
        <v>2270</v>
      </c>
      <c r="K747" s="247" t="s">
        <v>3071</v>
      </c>
      <c r="L747" s="290" t="s">
        <v>15</v>
      </c>
      <c r="M747" s="407">
        <v>46043</v>
      </c>
      <c r="N747" s="40" t="s">
        <v>4</v>
      </c>
      <c r="O747" s="290" t="s">
        <v>15</v>
      </c>
      <c r="P747" s="393"/>
      <c r="Q747" s="407">
        <v>46038</v>
      </c>
      <c r="R747" s="40" t="s">
        <v>445</v>
      </c>
      <c r="S747" s="206"/>
      <c r="T747" s="15"/>
      <c r="U747" s="315"/>
      <c r="V747" s="315"/>
      <c r="W747" s="315"/>
      <c r="X747" s="315"/>
      <c r="Y747" s="315"/>
      <c r="Z747" s="315"/>
      <c r="AA747" s="81"/>
      <c r="AB747" s="81"/>
      <c r="AC747" s="81"/>
      <c r="AD747" s="81"/>
      <c r="AE747" s="81"/>
      <c r="AF747" s="81"/>
      <c r="AG747" s="81"/>
    </row>
    <row r="748" spans="1:33" ht="15.75" customHeight="1" x14ac:dyDescent="0.3">
      <c r="A748" s="104"/>
      <c r="B748" s="104"/>
      <c r="C748" s="74">
        <f t="shared" ca="1" si="10"/>
        <v>728</v>
      </c>
      <c r="D748" s="636"/>
      <c r="E748" s="636"/>
      <c r="F748" s="580" t="s">
        <v>459</v>
      </c>
      <c r="G748" s="353" t="s">
        <v>448</v>
      </c>
      <c r="H748" s="277"/>
      <c r="I748" s="248" t="s">
        <v>3072</v>
      </c>
      <c r="J748" s="247" t="s">
        <v>2270</v>
      </c>
      <c r="K748" s="247" t="s">
        <v>3073</v>
      </c>
      <c r="L748" s="290" t="s">
        <v>15</v>
      </c>
      <c r="M748" s="407">
        <v>46043</v>
      </c>
      <c r="N748" s="40" t="s">
        <v>4</v>
      </c>
      <c r="O748" s="290" t="s">
        <v>15</v>
      </c>
      <c r="P748" s="393"/>
      <c r="Q748" s="407">
        <v>46038</v>
      </c>
      <c r="R748" s="40" t="s">
        <v>445</v>
      </c>
      <c r="S748" s="206"/>
      <c r="T748" s="15"/>
      <c r="U748" s="315"/>
      <c r="V748" s="315"/>
      <c r="W748" s="315"/>
      <c r="X748" s="315"/>
      <c r="Y748" s="315"/>
      <c r="Z748" s="315"/>
      <c r="AA748" s="81"/>
      <c r="AB748" s="81"/>
      <c r="AC748" s="81"/>
      <c r="AD748" s="81"/>
      <c r="AE748" s="81"/>
      <c r="AF748" s="81"/>
      <c r="AG748" s="81"/>
    </row>
    <row r="749" spans="1:33" ht="15.75" customHeight="1" x14ac:dyDescent="0.3">
      <c r="A749" s="104"/>
      <c r="B749" s="104"/>
      <c r="C749" s="74">
        <f t="shared" ca="1" si="10"/>
        <v>729</v>
      </c>
      <c r="D749" s="636"/>
      <c r="E749" s="636"/>
      <c r="F749" s="580" t="s">
        <v>459</v>
      </c>
      <c r="G749" s="353" t="s">
        <v>448</v>
      </c>
      <c r="H749" s="277"/>
      <c r="I749" s="248" t="s">
        <v>3074</v>
      </c>
      <c r="J749" s="247" t="s">
        <v>2270</v>
      </c>
      <c r="K749" s="248" t="s">
        <v>3075</v>
      </c>
      <c r="L749" s="290" t="s">
        <v>15</v>
      </c>
      <c r="M749" s="407">
        <v>46043</v>
      </c>
      <c r="N749" s="40" t="s">
        <v>4</v>
      </c>
      <c r="O749" s="290" t="s">
        <v>15</v>
      </c>
      <c r="P749" s="393"/>
      <c r="Q749" s="407">
        <v>46038</v>
      </c>
      <c r="R749" s="40" t="s">
        <v>445</v>
      </c>
      <c r="S749" s="206"/>
      <c r="T749" s="15"/>
      <c r="U749" s="315"/>
      <c r="V749" s="315"/>
      <c r="W749" s="315"/>
      <c r="X749" s="315"/>
      <c r="Y749" s="315"/>
      <c r="Z749" s="315"/>
      <c r="AA749" s="81"/>
      <c r="AB749" s="81"/>
      <c r="AC749" s="81"/>
      <c r="AD749" s="81"/>
      <c r="AE749" s="81"/>
      <c r="AF749" s="81"/>
      <c r="AG749" s="81"/>
    </row>
    <row r="750" spans="1:33" ht="15.75" customHeight="1" x14ac:dyDescent="0.3">
      <c r="A750" s="104"/>
      <c r="B750" s="104"/>
      <c r="C750" s="74">
        <f t="shared" ca="1" si="10"/>
        <v>730</v>
      </c>
      <c r="D750" s="636"/>
      <c r="E750" s="636"/>
      <c r="F750" s="580" t="s">
        <v>459</v>
      </c>
      <c r="G750" s="353" t="s">
        <v>448</v>
      </c>
      <c r="H750" s="277"/>
      <c r="I750" s="248" t="s">
        <v>3076</v>
      </c>
      <c r="J750" s="247" t="s">
        <v>2270</v>
      </c>
      <c r="K750" s="247" t="s">
        <v>3077</v>
      </c>
      <c r="L750" s="290" t="s">
        <v>15</v>
      </c>
      <c r="M750" s="407">
        <v>46043</v>
      </c>
      <c r="N750" s="40" t="s">
        <v>4</v>
      </c>
      <c r="O750" s="290" t="s">
        <v>15</v>
      </c>
      <c r="P750" s="393"/>
      <c r="Q750" s="407">
        <v>46038</v>
      </c>
      <c r="R750" s="40" t="s">
        <v>445</v>
      </c>
      <c r="S750" s="206"/>
      <c r="T750" s="15"/>
      <c r="U750" s="315"/>
      <c r="V750" s="315"/>
      <c r="W750" s="315"/>
      <c r="X750" s="315"/>
      <c r="Y750" s="315"/>
      <c r="Z750" s="315"/>
      <c r="AA750" s="81"/>
      <c r="AB750" s="81"/>
      <c r="AC750" s="81"/>
      <c r="AD750" s="81"/>
      <c r="AE750" s="81"/>
      <c r="AF750" s="81"/>
      <c r="AG750" s="81"/>
    </row>
    <row r="751" spans="1:33" ht="15.75" customHeight="1" x14ac:dyDescent="0.3">
      <c r="A751" s="104"/>
      <c r="B751" s="104"/>
      <c r="C751" s="74">
        <f t="shared" ca="1" si="10"/>
        <v>731</v>
      </c>
      <c r="D751" s="636"/>
      <c r="E751" s="636"/>
      <c r="F751" s="580" t="s">
        <v>459</v>
      </c>
      <c r="G751" s="353" t="s">
        <v>448</v>
      </c>
      <c r="H751" s="277"/>
      <c r="I751" s="248" t="s">
        <v>3078</v>
      </c>
      <c r="J751" s="247" t="s">
        <v>2270</v>
      </c>
      <c r="K751" s="248" t="s">
        <v>3079</v>
      </c>
      <c r="L751" s="290" t="s">
        <v>15</v>
      </c>
      <c r="M751" s="407">
        <v>46043</v>
      </c>
      <c r="N751" s="40" t="s">
        <v>4</v>
      </c>
      <c r="O751" s="290" t="s">
        <v>15</v>
      </c>
      <c r="P751" s="393"/>
      <c r="Q751" s="407">
        <v>46038</v>
      </c>
      <c r="R751" s="40" t="s">
        <v>445</v>
      </c>
      <c r="S751" s="206"/>
      <c r="T751" s="15"/>
      <c r="U751" s="315"/>
      <c r="V751" s="315"/>
      <c r="W751" s="315"/>
      <c r="X751" s="315"/>
      <c r="Y751" s="315"/>
      <c r="Z751" s="315"/>
      <c r="AA751" s="81"/>
      <c r="AB751" s="81"/>
      <c r="AC751" s="81"/>
      <c r="AD751" s="81"/>
      <c r="AE751" s="81"/>
      <c r="AF751" s="81"/>
      <c r="AG751" s="81"/>
    </row>
    <row r="752" spans="1:33" ht="15.75" customHeight="1" x14ac:dyDescent="0.3">
      <c r="A752" s="104"/>
      <c r="B752" s="104"/>
      <c r="C752" s="74">
        <f t="shared" ca="1" si="10"/>
        <v>732</v>
      </c>
      <c r="D752" s="635"/>
      <c r="E752" s="635"/>
      <c r="F752" s="580" t="s">
        <v>459</v>
      </c>
      <c r="G752" s="353" t="s">
        <v>448</v>
      </c>
      <c r="H752" s="277"/>
      <c r="I752" s="248" t="s">
        <v>3080</v>
      </c>
      <c r="J752" s="247" t="s">
        <v>2270</v>
      </c>
      <c r="K752" s="247" t="s">
        <v>3081</v>
      </c>
      <c r="L752" s="290" t="s">
        <v>15</v>
      </c>
      <c r="M752" s="407">
        <v>46043</v>
      </c>
      <c r="N752" s="40" t="s">
        <v>4</v>
      </c>
      <c r="O752" s="290" t="s">
        <v>15</v>
      </c>
      <c r="P752" s="393"/>
      <c r="Q752" s="407">
        <v>46038</v>
      </c>
      <c r="R752" s="40" t="s">
        <v>445</v>
      </c>
      <c r="S752" s="206"/>
      <c r="T752" s="15"/>
      <c r="U752" s="315"/>
      <c r="V752" s="315"/>
      <c r="W752" s="315"/>
      <c r="X752" s="315"/>
      <c r="Y752" s="315"/>
      <c r="Z752" s="315"/>
      <c r="AA752" s="81"/>
      <c r="AB752" s="81"/>
      <c r="AC752" s="81"/>
      <c r="AD752" s="81"/>
      <c r="AE752" s="81"/>
      <c r="AF752" s="81"/>
      <c r="AG752" s="81"/>
    </row>
    <row r="753" spans="1:33" ht="15.75" customHeight="1" x14ac:dyDescent="0.3">
      <c r="A753" s="104"/>
      <c r="B753" s="104"/>
      <c r="C753" s="74">
        <f t="shared" ca="1" si="10"/>
        <v>733</v>
      </c>
      <c r="D753" s="695" t="s">
        <v>2225</v>
      </c>
      <c r="E753" s="286" t="s">
        <v>257</v>
      </c>
      <c r="F753" s="580" t="s">
        <v>457</v>
      </c>
      <c r="G753" s="353" t="s">
        <v>448</v>
      </c>
      <c r="H753" s="277"/>
      <c r="I753" s="247" t="s">
        <v>383</v>
      </c>
      <c r="J753" s="247" t="s">
        <v>261</v>
      </c>
      <c r="K753" s="247" t="s">
        <v>3101</v>
      </c>
      <c r="L753" s="290" t="s">
        <v>15</v>
      </c>
      <c r="M753" s="407">
        <v>46043</v>
      </c>
      <c r="N753" s="40" t="s">
        <v>4</v>
      </c>
      <c r="O753" s="290" t="s">
        <v>15</v>
      </c>
      <c r="P753" s="393"/>
      <c r="Q753" s="407">
        <v>46038</v>
      </c>
      <c r="R753" s="40" t="s">
        <v>445</v>
      </c>
      <c r="S753" s="206"/>
      <c r="T753" s="15"/>
      <c r="U753" s="315"/>
      <c r="V753" s="315"/>
      <c r="W753" s="315"/>
      <c r="X753" s="315"/>
      <c r="Y753" s="315"/>
      <c r="Z753" s="315"/>
      <c r="AA753" s="81"/>
      <c r="AB753" s="81"/>
      <c r="AC753" s="81"/>
      <c r="AD753" s="81"/>
      <c r="AE753" s="81"/>
      <c r="AF753" s="81"/>
      <c r="AG753" s="81"/>
    </row>
    <row r="754" spans="1:33" ht="15.75" customHeight="1" x14ac:dyDescent="0.3">
      <c r="A754" s="104"/>
      <c r="B754" s="104"/>
      <c r="C754" s="74">
        <f t="shared" ca="1" si="10"/>
        <v>734</v>
      </c>
      <c r="D754" s="635"/>
      <c r="E754" s="286" t="s">
        <v>237</v>
      </c>
      <c r="F754" s="580" t="s">
        <v>459</v>
      </c>
      <c r="G754" s="353" t="s">
        <v>448</v>
      </c>
      <c r="H754" s="277"/>
      <c r="I754" s="246"/>
      <c r="J754" s="247" t="s">
        <v>3155</v>
      </c>
      <c r="K754" s="248" t="s">
        <v>3181</v>
      </c>
      <c r="L754" s="290" t="s">
        <v>15</v>
      </c>
      <c r="M754" s="407">
        <v>46043</v>
      </c>
      <c r="N754" s="40" t="s">
        <v>4</v>
      </c>
      <c r="O754" s="290" t="s">
        <v>15</v>
      </c>
      <c r="P754" s="393"/>
      <c r="Q754" s="407">
        <v>46038</v>
      </c>
      <c r="R754" s="40" t="s">
        <v>445</v>
      </c>
      <c r="S754" s="206"/>
      <c r="T754" s="15"/>
      <c r="U754" s="315"/>
      <c r="V754" s="315"/>
      <c r="W754" s="315"/>
      <c r="X754" s="315"/>
      <c r="Y754" s="315"/>
      <c r="Z754" s="315"/>
      <c r="AA754" s="81"/>
      <c r="AB754" s="81"/>
      <c r="AC754" s="81"/>
      <c r="AD754" s="81"/>
      <c r="AE754" s="81"/>
      <c r="AF754" s="81"/>
      <c r="AG754" s="81"/>
    </row>
    <row r="755" spans="1:33" ht="15.75" customHeight="1" x14ac:dyDescent="0.3">
      <c r="A755" s="104"/>
      <c r="B755" s="104"/>
      <c r="C755" s="74">
        <f t="shared" ca="1" si="10"/>
        <v>735</v>
      </c>
      <c r="D755" s="694" t="s">
        <v>401</v>
      </c>
      <c r="E755" s="286" t="s">
        <v>257</v>
      </c>
      <c r="F755" s="580" t="s">
        <v>457</v>
      </c>
      <c r="G755" s="353" t="s">
        <v>448</v>
      </c>
      <c r="H755" s="277"/>
      <c r="I755" s="247" t="s">
        <v>383</v>
      </c>
      <c r="J755" s="247" t="s">
        <v>261</v>
      </c>
      <c r="K755" s="248" t="s">
        <v>3182</v>
      </c>
      <c r="L755" s="290" t="s">
        <v>15</v>
      </c>
      <c r="M755" s="407">
        <v>46045</v>
      </c>
      <c r="N755" s="40" t="s">
        <v>4</v>
      </c>
      <c r="O755" s="290" t="s">
        <v>15</v>
      </c>
      <c r="P755" s="393"/>
      <c r="Q755" s="407">
        <v>46038</v>
      </c>
      <c r="R755" s="40" t="s">
        <v>445</v>
      </c>
      <c r="S755" s="282" t="s">
        <v>3183</v>
      </c>
      <c r="T755" s="15"/>
      <c r="U755" s="315"/>
      <c r="V755" s="315"/>
      <c r="W755" s="315"/>
      <c r="X755" s="315"/>
      <c r="Y755" s="315"/>
      <c r="Z755" s="315"/>
      <c r="AA755" s="81"/>
      <c r="AB755" s="81"/>
      <c r="AC755" s="81"/>
      <c r="AD755" s="81"/>
      <c r="AE755" s="81"/>
      <c r="AF755" s="81"/>
      <c r="AG755" s="81"/>
    </row>
    <row r="756" spans="1:33" ht="15.75" customHeight="1" x14ac:dyDescent="0.3">
      <c r="A756" s="104"/>
      <c r="B756" s="104"/>
      <c r="C756" s="74">
        <f t="shared" ca="1" si="10"/>
        <v>736</v>
      </c>
      <c r="D756" s="636"/>
      <c r="E756" s="286" t="s">
        <v>237</v>
      </c>
      <c r="F756" s="580" t="s">
        <v>459</v>
      </c>
      <c r="G756" s="353" t="s">
        <v>448</v>
      </c>
      <c r="H756" s="277"/>
      <c r="I756" s="246"/>
      <c r="J756" s="247" t="s">
        <v>2270</v>
      </c>
      <c r="K756" s="248" t="s">
        <v>3184</v>
      </c>
      <c r="L756" s="290" t="s">
        <v>15</v>
      </c>
      <c r="M756" s="407">
        <v>46045</v>
      </c>
      <c r="N756" s="40" t="s">
        <v>4</v>
      </c>
      <c r="O756" s="290" t="s">
        <v>158</v>
      </c>
      <c r="P756" s="281" t="s">
        <v>211</v>
      </c>
      <c r="Q756" s="407">
        <v>46038</v>
      </c>
      <c r="R756" s="40" t="s">
        <v>445</v>
      </c>
      <c r="S756" s="373" t="s">
        <v>3185</v>
      </c>
      <c r="T756" s="15"/>
      <c r="U756" s="315"/>
      <c r="V756" s="315"/>
      <c r="W756" s="315"/>
      <c r="X756" s="315"/>
      <c r="Y756" s="315"/>
      <c r="Z756" s="315"/>
      <c r="AA756" s="81"/>
      <c r="AB756" s="81"/>
      <c r="AC756" s="81"/>
      <c r="AD756" s="81"/>
      <c r="AE756" s="81"/>
      <c r="AF756" s="81"/>
      <c r="AG756" s="81"/>
    </row>
    <row r="757" spans="1:33" ht="15.75" customHeight="1" x14ac:dyDescent="0.3">
      <c r="A757" s="104"/>
      <c r="B757" s="104"/>
      <c r="C757" s="74">
        <f t="shared" ca="1" si="10"/>
        <v>737</v>
      </c>
      <c r="D757" s="635"/>
      <c r="E757" s="581"/>
      <c r="F757" s="580" t="s">
        <v>459</v>
      </c>
      <c r="G757" s="353" t="s">
        <v>448</v>
      </c>
      <c r="H757" s="277"/>
      <c r="I757" s="248" t="s">
        <v>468</v>
      </c>
      <c r="J757" s="247" t="s">
        <v>261</v>
      </c>
      <c r="K757" s="248" t="s">
        <v>3186</v>
      </c>
      <c r="L757" s="290" t="s">
        <v>15</v>
      </c>
      <c r="M757" s="407">
        <v>46043</v>
      </c>
      <c r="N757" s="40" t="s">
        <v>6</v>
      </c>
      <c r="O757" s="290" t="s">
        <v>158</v>
      </c>
      <c r="P757" s="281" t="s">
        <v>211</v>
      </c>
      <c r="Q757" s="407">
        <v>46038</v>
      </c>
      <c r="R757" s="40" t="s">
        <v>445</v>
      </c>
      <c r="S757" s="282" t="s">
        <v>3187</v>
      </c>
      <c r="T757" s="15"/>
      <c r="U757" s="315"/>
      <c r="V757" s="315"/>
      <c r="W757" s="315"/>
      <c r="X757" s="315"/>
      <c r="Y757" s="315"/>
      <c r="Z757" s="315"/>
      <c r="AA757" s="81"/>
      <c r="AB757" s="81"/>
      <c r="AC757" s="81"/>
      <c r="AD757" s="81"/>
      <c r="AE757" s="81"/>
      <c r="AF757" s="81"/>
      <c r="AG757" s="81"/>
    </row>
    <row r="758" spans="1:33" ht="15.75" customHeight="1" x14ac:dyDescent="0.3">
      <c r="A758" s="104"/>
      <c r="B758" s="104"/>
      <c r="C758" s="74">
        <f t="shared" ca="1" si="10"/>
        <v>738</v>
      </c>
      <c r="D758" s="313" t="s">
        <v>304</v>
      </c>
      <c r="E758" s="326" t="s">
        <v>237</v>
      </c>
      <c r="F758" s="580" t="s">
        <v>459</v>
      </c>
      <c r="G758" s="353" t="s">
        <v>448</v>
      </c>
      <c r="H758" s="315"/>
      <c r="I758" s="247" t="s">
        <v>383</v>
      </c>
      <c r="J758" s="247" t="s">
        <v>242</v>
      </c>
      <c r="K758" s="247" t="s">
        <v>305</v>
      </c>
      <c r="L758" s="290" t="s">
        <v>15</v>
      </c>
      <c r="M758" s="407">
        <v>46045</v>
      </c>
      <c r="N758" s="40" t="s">
        <v>4</v>
      </c>
      <c r="O758" s="290" t="s">
        <v>15</v>
      </c>
      <c r="P758" s="393"/>
      <c r="Q758" s="407">
        <v>46038</v>
      </c>
      <c r="R758" s="40" t="s">
        <v>445</v>
      </c>
      <c r="S758" s="373" t="s">
        <v>3188</v>
      </c>
      <c r="T758" s="15"/>
      <c r="U758" s="315"/>
      <c r="V758" s="315"/>
      <c r="W758" s="315"/>
      <c r="X758" s="315"/>
      <c r="Y758" s="315"/>
      <c r="Z758" s="315"/>
      <c r="AA758" s="81"/>
      <c r="AB758" s="81"/>
      <c r="AC758" s="81"/>
      <c r="AD758" s="81"/>
      <c r="AE758" s="81"/>
      <c r="AF758" s="81"/>
      <c r="AG758" s="81"/>
    </row>
    <row r="759" spans="1:33" ht="15.75" customHeight="1" x14ac:dyDescent="0.3">
      <c r="A759" s="104"/>
      <c r="B759" s="104"/>
      <c r="C759" s="74">
        <f t="shared" ca="1" si="10"/>
        <v>739</v>
      </c>
      <c r="D759" s="694" t="s">
        <v>384</v>
      </c>
      <c r="E759" s="286" t="s">
        <v>257</v>
      </c>
      <c r="F759" s="386" t="s">
        <v>457</v>
      </c>
      <c r="G759" s="318" t="s">
        <v>448</v>
      </c>
      <c r="H759" s="277"/>
      <c r="I759" s="247" t="s">
        <v>383</v>
      </c>
      <c r="J759" s="247" t="s">
        <v>261</v>
      </c>
      <c r="K759" s="247" t="s">
        <v>3189</v>
      </c>
      <c r="L759" s="290" t="s">
        <v>15</v>
      </c>
      <c r="M759" s="407">
        <v>46043</v>
      </c>
      <c r="N759" s="40" t="s">
        <v>6</v>
      </c>
      <c r="O759" s="290" t="s">
        <v>15</v>
      </c>
      <c r="P759" s="393"/>
      <c r="Q759" s="407">
        <v>46038</v>
      </c>
      <c r="R759" s="40" t="s">
        <v>445</v>
      </c>
      <c r="S759" s="206"/>
      <c r="T759" s="15"/>
      <c r="U759" s="315"/>
      <c r="V759" s="315"/>
      <c r="W759" s="315"/>
      <c r="X759" s="315"/>
      <c r="Y759" s="315"/>
      <c r="Z759" s="315"/>
      <c r="AA759" s="81"/>
      <c r="AB759" s="81"/>
      <c r="AC759" s="81"/>
      <c r="AD759" s="81"/>
      <c r="AE759" s="81"/>
      <c r="AF759" s="81"/>
      <c r="AG759" s="81"/>
    </row>
    <row r="760" spans="1:33" ht="15.75" customHeight="1" x14ac:dyDescent="0.3">
      <c r="A760" s="104"/>
      <c r="B760" s="104"/>
      <c r="C760" s="74">
        <f t="shared" ca="1" si="10"/>
        <v>740</v>
      </c>
      <c r="D760" s="636"/>
      <c r="E760" s="694" t="s">
        <v>237</v>
      </c>
      <c r="F760" s="386" t="s">
        <v>459</v>
      </c>
      <c r="G760" s="318" t="s">
        <v>448</v>
      </c>
      <c r="H760" s="277"/>
      <c r="I760" s="246"/>
      <c r="J760" s="247" t="s">
        <v>261</v>
      </c>
      <c r="K760" s="247" t="s">
        <v>3190</v>
      </c>
      <c r="L760" s="290" t="s">
        <v>15</v>
      </c>
      <c r="M760" s="407">
        <v>46043</v>
      </c>
      <c r="N760" s="40" t="s">
        <v>6</v>
      </c>
      <c r="O760" s="290" t="s">
        <v>15</v>
      </c>
      <c r="P760" s="393"/>
      <c r="Q760" s="407">
        <v>46038</v>
      </c>
      <c r="R760" s="40" t="s">
        <v>445</v>
      </c>
      <c r="S760" s="206"/>
      <c r="T760" s="15"/>
      <c r="U760" s="315"/>
      <c r="V760" s="315"/>
      <c r="W760" s="315"/>
      <c r="X760" s="315"/>
      <c r="Y760" s="315"/>
      <c r="Z760" s="315"/>
      <c r="AA760" s="81"/>
      <c r="AB760" s="81"/>
      <c r="AC760" s="81"/>
      <c r="AD760" s="81"/>
      <c r="AE760" s="81"/>
      <c r="AF760" s="81"/>
      <c r="AG760" s="81"/>
    </row>
    <row r="761" spans="1:33" ht="15.75" customHeight="1" x14ac:dyDescent="0.3">
      <c r="A761" s="104"/>
      <c r="B761" s="104"/>
      <c r="C761" s="74">
        <f t="shared" ca="1" si="10"/>
        <v>741</v>
      </c>
      <c r="D761" s="636"/>
      <c r="E761" s="636"/>
      <c r="F761" s="386" t="s">
        <v>459</v>
      </c>
      <c r="G761" s="318" t="s">
        <v>448</v>
      </c>
      <c r="H761" s="277"/>
      <c r="I761" s="247" t="s">
        <v>3083</v>
      </c>
      <c r="J761" s="247" t="s">
        <v>261</v>
      </c>
      <c r="K761" s="247" t="s">
        <v>3084</v>
      </c>
      <c r="L761" s="290" t="s">
        <v>15</v>
      </c>
      <c r="M761" s="407">
        <v>46043</v>
      </c>
      <c r="N761" s="40" t="s">
        <v>6</v>
      </c>
      <c r="O761" s="290" t="s">
        <v>15</v>
      </c>
      <c r="P761" s="393"/>
      <c r="Q761" s="407">
        <v>46038</v>
      </c>
      <c r="R761" s="40" t="s">
        <v>445</v>
      </c>
      <c r="S761" s="206"/>
      <c r="T761" s="15"/>
      <c r="U761" s="315"/>
      <c r="V761" s="315"/>
      <c r="W761" s="315"/>
      <c r="X761" s="315"/>
      <c r="Y761" s="315"/>
      <c r="Z761" s="315"/>
      <c r="AA761" s="81"/>
      <c r="AB761" s="81"/>
      <c r="AC761" s="81"/>
      <c r="AD761" s="81"/>
      <c r="AE761" s="81"/>
      <c r="AF761" s="81"/>
      <c r="AG761" s="81"/>
    </row>
    <row r="762" spans="1:33" ht="15.75" customHeight="1" x14ac:dyDescent="0.3">
      <c r="A762" s="104"/>
      <c r="B762" s="104"/>
      <c r="C762" s="74">
        <f t="shared" ca="1" si="10"/>
        <v>742</v>
      </c>
      <c r="D762" s="636"/>
      <c r="E762" s="636"/>
      <c r="F762" s="386" t="s">
        <v>459</v>
      </c>
      <c r="G762" s="318" t="s">
        <v>448</v>
      </c>
      <c r="H762" s="277"/>
      <c r="I762" s="247" t="s">
        <v>3085</v>
      </c>
      <c r="J762" s="247" t="s">
        <v>261</v>
      </c>
      <c r="K762" s="247" t="s">
        <v>3086</v>
      </c>
      <c r="L762" s="290" t="s">
        <v>15</v>
      </c>
      <c r="M762" s="407">
        <v>46043</v>
      </c>
      <c r="N762" s="40" t="s">
        <v>6</v>
      </c>
      <c r="O762" s="290" t="s">
        <v>158</v>
      </c>
      <c r="P762" s="281" t="s">
        <v>211</v>
      </c>
      <c r="Q762" s="407">
        <v>46038</v>
      </c>
      <c r="R762" s="40" t="s">
        <v>445</v>
      </c>
      <c r="S762" s="282" t="s">
        <v>3191</v>
      </c>
      <c r="T762" s="15"/>
      <c r="U762" s="315"/>
      <c r="V762" s="315"/>
      <c r="W762" s="315"/>
      <c r="X762" s="315"/>
      <c r="Y762" s="315"/>
      <c r="Z762" s="315"/>
      <c r="AA762" s="81"/>
      <c r="AB762" s="81"/>
      <c r="AC762" s="81"/>
      <c r="AD762" s="81"/>
      <c r="AE762" s="81"/>
      <c r="AF762" s="81"/>
      <c r="AG762" s="81"/>
    </row>
    <row r="763" spans="1:33" ht="15.75" customHeight="1" x14ac:dyDescent="0.3">
      <c r="A763" s="104"/>
      <c r="B763" s="104"/>
      <c r="C763" s="74">
        <f t="shared" ca="1" si="10"/>
        <v>743</v>
      </c>
      <c r="D763" s="635"/>
      <c r="E763" s="635"/>
      <c r="F763" s="386" t="s">
        <v>459</v>
      </c>
      <c r="G763" s="318" t="s">
        <v>448</v>
      </c>
      <c r="H763" s="277"/>
      <c r="I763" s="248" t="s">
        <v>3192</v>
      </c>
      <c r="J763" s="247" t="s">
        <v>261</v>
      </c>
      <c r="K763" s="247" t="s">
        <v>3084</v>
      </c>
      <c r="L763" s="290" t="s">
        <v>15</v>
      </c>
      <c r="M763" s="407">
        <v>46043</v>
      </c>
      <c r="N763" s="40" t="s">
        <v>6</v>
      </c>
      <c r="O763" s="290" t="s">
        <v>15</v>
      </c>
      <c r="P763" s="393"/>
      <c r="Q763" s="407">
        <v>46038</v>
      </c>
      <c r="R763" s="40" t="s">
        <v>445</v>
      </c>
      <c r="S763" s="206"/>
      <c r="T763" s="15"/>
      <c r="U763" s="315"/>
      <c r="V763" s="315"/>
      <c r="W763" s="315"/>
      <c r="X763" s="315"/>
      <c r="Y763" s="315"/>
      <c r="Z763" s="315"/>
      <c r="AA763" s="81"/>
      <c r="AB763" s="81"/>
      <c r="AC763" s="81"/>
      <c r="AD763" s="81"/>
      <c r="AE763" s="81"/>
      <c r="AF763" s="81"/>
      <c r="AG763" s="81"/>
    </row>
    <row r="764" spans="1:33" ht="15.75" customHeight="1" x14ac:dyDescent="0.3">
      <c r="A764" s="104"/>
      <c r="B764" s="104"/>
      <c r="C764" s="74">
        <f t="shared" ca="1" si="10"/>
        <v>744</v>
      </c>
      <c r="D764" s="671" t="s">
        <v>403</v>
      </c>
      <c r="E764" s="314" t="s">
        <v>198</v>
      </c>
      <c r="F764" s="285" t="s">
        <v>3063</v>
      </c>
      <c r="G764" s="353" t="s">
        <v>448</v>
      </c>
      <c r="H764" s="246"/>
      <c r="I764" s="246"/>
      <c r="J764" s="240" t="s">
        <v>3064</v>
      </c>
      <c r="K764" s="276" t="s">
        <v>3193</v>
      </c>
      <c r="L764" s="290" t="s">
        <v>15</v>
      </c>
      <c r="M764" s="407">
        <v>46043</v>
      </c>
      <c r="N764" s="40" t="s">
        <v>6</v>
      </c>
      <c r="O764" s="290" t="s">
        <v>15</v>
      </c>
      <c r="P764" s="340"/>
      <c r="Q764" s="407">
        <v>46038</v>
      </c>
      <c r="R764" s="40" t="s">
        <v>445</v>
      </c>
      <c r="S764" s="383"/>
      <c r="T764" s="15"/>
      <c r="U764" s="315"/>
      <c r="V764" s="315"/>
      <c r="W764" s="315"/>
      <c r="X764" s="315"/>
      <c r="Y764" s="315"/>
      <c r="Z764" s="315"/>
      <c r="AA764" s="81"/>
      <c r="AB764" s="81"/>
      <c r="AC764" s="81"/>
      <c r="AD764" s="81"/>
      <c r="AE764" s="81"/>
      <c r="AF764" s="81"/>
      <c r="AG764" s="81"/>
    </row>
    <row r="765" spans="1:33" ht="15.75" customHeight="1" x14ac:dyDescent="0.3">
      <c r="A765" s="104"/>
      <c r="B765" s="104"/>
      <c r="C765" s="74">
        <f t="shared" ca="1" si="10"/>
        <v>745</v>
      </c>
      <c r="D765" s="636"/>
      <c r="E765" s="314" t="s">
        <v>216</v>
      </c>
      <c r="F765" s="285" t="s">
        <v>458</v>
      </c>
      <c r="G765" s="353" t="s">
        <v>448</v>
      </c>
      <c r="H765" s="246"/>
      <c r="I765" s="246"/>
      <c r="J765" s="240" t="s">
        <v>3194</v>
      </c>
      <c r="K765" s="276" t="s">
        <v>3195</v>
      </c>
      <c r="L765" s="290" t="s">
        <v>15</v>
      </c>
      <c r="M765" s="407">
        <v>46043</v>
      </c>
      <c r="N765" s="40" t="s">
        <v>6</v>
      </c>
      <c r="O765" s="290" t="s">
        <v>15</v>
      </c>
      <c r="P765" s="340"/>
      <c r="Q765" s="407">
        <v>46038</v>
      </c>
      <c r="R765" s="40" t="s">
        <v>445</v>
      </c>
      <c r="S765" s="383"/>
      <c r="T765" s="15"/>
      <c r="U765" s="315"/>
      <c r="V765" s="315"/>
      <c r="W765" s="315"/>
      <c r="X765" s="315"/>
      <c r="Y765" s="315"/>
      <c r="Z765" s="315"/>
      <c r="AA765" s="81"/>
      <c r="AB765" s="81"/>
      <c r="AC765" s="81"/>
      <c r="AD765" s="81"/>
      <c r="AE765" s="81"/>
      <c r="AF765" s="81"/>
      <c r="AG765" s="81"/>
    </row>
    <row r="766" spans="1:33" ht="15.75" customHeight="1" x14ac:dyDescent="0.3">
      <c r="A766" s="104"/>
      <c r="B766" s="104"/>
      <c r="C766" s="74">
        <f t="shared" ca="1" si="10"/>
        <v>746</v>
      </c>
      <c r="D766" s="635"/>
      <c r="E766" s="338"/>
      <c r="F766" s="285" t="s">
        <v>458</v>
      </c>
      <c r="G766" s="353" t="s">
        <v>448</v>
      </c>
      <c r="H766" s="246"/>
      <c r="I766" s="246"/>
      <c r="J766" s="240" t="s">
        <v>404</v>
      </c>
      <c r="K766" s="273" t="s">
        <v>2291</v>
      </c>
      <c r="L766" s="290" t="s">
        <v>15</v>
      </c>
      <c r="M766" s="407">
        <v>46043</v>
      </c>
      <c r="N766" s="40" t="s">
        <v>6</v>
      </c>
      <c r="O766" s="290" t="s">
        <v>158</v>
      </c>
      <c r="P766" s="405" t="s">
        <v>211</v>
      </c>
      <c r="Q766" s="407">
        <v>46038</v>
      </c>
      <c r="R766" s="40" t="s">
        <v>445</v>
      </c>
      <c r="S766" s="587" t="s">
        <v>3196</v>
      </c>
      <c r="T766" s="15"/>
      <c r="U766" s="315"/>
      <c r="V766" s="315"/>
      <c r="W766" s="315"/>
      <c r="X766" s="315"/>
      <c r="Y766" s="315"/>
      <c r="Z766" s="315"/>
      <c r="AA766" s="81"/>
      <c r="AB766" s="81"/>
      <c r="AC766" s="81"/>
      <c r="AD766" s="81"/>
      <c r="AE766" s="81"/>
      <c r="AF766" s="81"/>
      <c r="AG766" s="81"/>
    </row>
    <row r="767" spans="1:33" ht="15.75" customHeight="1" x14ac:dyDescent="0.3">
      <c r="A767" s="104"/>
      <c r="B767" s="104"/>
      <c r="C767" s="74">
        <f t="shared" ca="1" si="10"/>
        <v>747</v>
      </c>
      <c r="D767" s="673" t="s">
        <v>2292</v>
      </c>
      <c r="E767" s="314" t="s">
        <v>198</v>
      </c>
      <c r="F767" s="285" t="s">
        <v>3063</v>
      </c>
      <c r="G767" s="353" t="s">
        <v>448</v>
      </c>
      <c r="H767" s="246"/>
      <c r="I767" s="278" t="s">
        <v>3197</v>
      </c>
      <c r="J767" s="240" t="s">
        <v>3064</v>
      </c>
      <c r="K767" s="273" t="s">
        <v>2293</v>
      </c>
      <c r="L767" s="290" t="s">
        <v>46</v>
      </c>
      <c r="M767" s="398"/>
      <c r="N767" s="286"/>
      <c r="O767" s="340"/>
      <c r="P767" s="393"/>
      <c r="Q767" s="407">
        <v>46038</v>
      </c>
      <c r="R767" s="40" t="s">
        <v>445</v>
      </c>
      <c r="S767" s="383"/>
      <c r="T767" s="15"/>
      <c r="U767" s="315"/>
      <c r="V767" s="315"/>
      <c r="W767" s="315"/>
      <c r="X767" s="315"/>
      <c r="Y767" s="315"/>
      <c r="Z767" s="315"/>
      <c r="AA767" s="81"/>
      <c r="AB767" s="81"/>
      <c r="AC767" s="81"/>
      <c r="AD767" s="81"/>
      <c r="AE767" s="81"/>
      <c r="AF767" s="81"/>
      <c r="AG767" s="81"/>
    </row>
    <row r="768" spans="1:33" ht="15.75" customHeight="1" x14ac:dyDescent="0.3">
      <c r="A768" s="104"/>
      <c r="B768" s="104"/>
      <c r="C768" s="74">
        <f t="shared" ca="1" si="10"/>
        <v>748</v>
      </c>
      <c r="D768" s="635"/>
      <c r="E768" s="314" t="s">
        <v>198</v>
      </c>
      <c r="F768" s="285" t="s">
        <v>3063</v>
      </c>
      <c r="G768" s="353" t="s">
        <v>448</v>
      </c>
      <c r="H768" s="246"/>
      <c r="I768" s="278" t="s">
        <v>3198</v>
      </c>
      <c r="J768" s="240" t="s">
        <v>3064</v>
      </c>
      <c r="K768" s="273" t="s">
        <v>2294</v>
      </c>
      <c r="L768" s="290" t="s">
        <v>15</v>
      </c>
      <c r="M768" s="407">
        <v>46043</v>
      </c>
      <c r="N768" s="40" t="s">
        <v>6</v>
      </c>
      <c r="O768" s="340"/>
      <c r="P768" s="393"/>
      <c r="Q768" s="407">
        <v>46038</v>
      </c>
      <c r="R768" s="40" t="s">
        <v>445</v>
      </c>
      <c r="S768" s="383"/>
      <c r="T768" s="15"/>
      <c r="U768" s="315"/>
      <c r="V768" s="315"/>
      <c r="W768" s="315"/>
      <c r="X768" s="315"/>
      <c r="Y768" s="315"/>
      <c r="Z768" s="315"/>
      <c r="AA768" s="81"/>
      <c r="AB768" s="81"/>
      <c r="AC768" s="81"/>
      <c r="AD768" s="81"/>
      <c r="AE768" s="81"/>
      <c r="AF768" s="81"/>
      <c r="AG768" s="81"/>
    </row>
    <row r="769" spans="1:33" ht="15.75" customHeight="1" x14ac:dyDescent="0.3">
      <c r="A769" s="104"/>
      <c r="B769" s="104"/>
      <c r="C769" s="74">
        <f t="shared" ca="1" si="10"/>
        <v>749</v>
      </c>
      <c r="D769" s="584"/>
      <c r="E769" s="314" t="s">
        <v>216</v>
      </c>
      <c r="F769" s="285" t="s">
        <v>458</v>
      </c>
      <c r="G769" s="353" t="s">
        <v>448</v>
      </c>
      <c r="H769" s="246"/>
      <c r="I769" s="246"/>
      <c r="J769" s="239" t="s">
        <v>236</v>
      </c>
      <c r="K769" s="273" t="s">
        <v>2295</v>
      </c>
      <c r="L769" s="290" t="s">
        <v>15</v>
      </c>
      <c r="M769" s="407">
        <v>46043</v>
      </c>
      <c r="N769" s="40" t="s">
        <v>6</v>
      </c>
      <c r="O769" s="290" t="s">
        <v>15</v>
      </c>
      <c r="P769" s="393"/>
      <c r="Q769" s="407">
        <v>46038</v>
      </c>
      <c r="R769" s="40" t="s">
        <v>445</v>
      </c>
      <c r="S769" s="383"/>
      <c r="T769" s="15"/>
      <c r="U769" s="315"/>
      <c r="V769" s="315"/>
      <c r="W769" s="315"/>
      <c r="X769" s="315"/>
      <c r="Y769" s="315"/>
      <c r="Z769" s="315"/>
      <c r="AA769" s="81"/>
      <c r="AB769" s="81"/>
      <c r="AC769" s="81"/>
      <c r="AD769" s="81"/>
      <c r="AE769" s="81"/>
      <c r="AF769" s="81"/>
      <c r="AG769" s="81"/>
    </row>
    <row r="770" spans="1:33" ht="15.75" customHeight="1" x14ac:dyDescent="0.3">
      <c r="A770" s="104"/>
      <c r="B770" s="104"/>
      <c r="C770" s="130">
        <f t="shared" ca="1" si="10"/>
        <v>750</v>
      </c>
      <c r="D770" s="86"/>
      <c r="E770" s="314"/>
      <c r="F770" s="285" t="s">
        <v>458</v>
      </c>
      <c r="G770" s="353" t="s">
        <v>448</v>
      </c>
      <c r="H770" s="246"/>
      <c r="I770" s="246"/>
      <c r="J770" s="239" t="s">
        <v>2289</v>
      </c>
      <c r="K770" s="404" t="s">
        <v>3067</v>
      </c>
      <c r="L770" s="141" t="s">
        <v>2</v>
      </c>
      <c r="M770" s="193"/>
      <c r="N770" s="194"/>
      <c r="O770" s="141"/>
      <c r="P770" s="117"/>
      <c r="Q770" s="407"/>
      <c r="R770" s="40"/>
      <c r="S770" s="208"/>
      <c r="T770" s="357"/>
      <c r="U770" s="84"/>
      <c r="V770" s="84"/>
      <c r="W770" s="84"/>
      <c r="X770" s="84"/>
      <c r="Y770" s="84"/>
      <c r="Z770" s="84"/>
      <c r="AA770" s="81"/>
      <c r="AB770" s="81"/>
      <c r="AC770" s="81"/>
      <c r="AD770" s="81"/>
      <c r="AE770" s="81"/>
      <c r="AF770" s="81"/>
      <c r="AG770" s="81"/>
    </row>
    <row r="771" spans="1:33" ht="15.75" customHeight="1" x14ac:dyDescent="0.3">
      <c r="A771" s="15"/>
      <c r="B771" s="15"/>
      <c r="C771" s="74">
        <f t="shared" ca="1" si="10"/>
        <v>751</v>
      </c>
      <c r="D771" s="588"/>
      <c r="E771" s="375" t="s">
        <v>432</v>
      </c>
      <c r="F771" s="387" t="s">
        <v>458</v>
      </c>
      <c r="G771" s="589" t="s">
        <v>448</v>
      </c>
      <c r="H771" s="246"/>
      <c r="I771" s="325" t="s">
        <v>3199</v>
      </c>
      <c r="J771" s="239" t="s">
        <v>2296</v>
      </c>
      <c r="K771" s="404" t="s">
        <v>3200</v>
      </c>
      <c r="L771" s="290" t="s">
        <v>15</v>
      </c>
      <c r="M771" s="407">
        <v>46045</v>
      </c>
      <c r="N771" s="40" t="s">
        <v>4</v>
      </c>
      <c r="O771" s="409"/>
      <c r="P771" s="590"/>
      <c r="Q771" s="475"/>
      <c r="R771" s="340"/>
      <c r="S771" s="591" t="s">
        <v>3188</v>
      </c>
      <c r="T771" s="45"/>
      <c r="U771" s="592"/>
      <c r="V771" s="592"/>
      <c r="W771" s="592"/>
      <c r="X771" s="592"/>
      <c r="Y771" s="592"/>
      <c r="Z771" s="592"/>
      <c r="AA771" s="15"/>
      <c r="AB771" s="15"/>
      <c r="AC771" s="15"/>
      <c r="AD771" s="15"/>
      <c r="AE771" s="15"/>
      <c r="AF771" s="15"/>
      <c r="AG771" s="15"/>
    </row>
    <row r="772" spans="1:33" ht="15.75" customHeight="1" x14ac:dyDescent="0.3">
      <c r="A772" s="104"/>
      <c r="B772" s="104"/>
      <c r="C772" s="74">
        <f t="shared" ca="1" si="10"/>
        <v>752</v>
      </c>
      <c r="D772" s="285" t="s">
        <v>405</v>
      </c>
      <c r="E772" s="326" t="s">
        <v>257</v>
      </c>
      <c r="F772" s="580" t="s">
        <v>457</v>
      </c>
      <c r="G772" s="353" t="s">
        <v>448</v>
      </c>
      <c r="H772" s="315"/>
      <c r="I772" s="248" t="s">
        <v>389</v>
      </c>
      <c r="J772" s="247" t="s">
        <v>261</v>
      </c>
      <c r="K772" s="247" t="s">
        <v>406</v>
      </c>
      <c r="L772" s="290" t="s">
        <v>15</v>
      </c>
      <c r="M772" s="407">
        <v>46043</v>
      </c>
      <c r="N772" s="40" t="s">
        <v>6</v>
      </c>
      <c r="O772" s="141" t="s">
        <v>15</v>
      </c>
      <c r="P772" s="117"/>
      <c r="Q772" s="407">
        <v>46038</v>
      </c>
      <c r="R772" s="40" t="s">
        <v>445</v>
      </c>
      <c r="S772" s="208"/>
      <c r="T772" s="357"/>
      <c r="U772" s="84"/>
      <c r="V772" s="84"/>
      <c r="W772" s="84"/>
      <c r="X772" s="84"/>
      <c r="Y772" s="84"/>
      <c r="Z772" s="84"/>
      <c r="AA772" s="81"/>
      <c r="AB772" s="81"/>
      <c r="AC772" s="81"/>
      <c r="AD772" s="81"/>
      <c r="AE772" s="81"/>
      <c r="AF772" s="81"/>
      <c r="AG772" s="81"/>
    </row>
    <row r="773" spans="1:33" ht="15.75" customHeight="1" x14ac:dyDescent="0.3">
      <c r="A773" s="104"/>
      <c r="B773" s="104"/>
      <c r="C773" s="74">
        <f t="shared" ca="1" si="10"/>
        <v>753</v>
      </c>
      <c r="D773" s="312" t="s">
        <v>2297</v>
      </c>
      <c r="E773" s="326" t="s">
        <v>257</v>
      </c>
      <c r="F773" s="386" t="s">
        <v>457</v>
      </c>
      <c r="G773" s="318" t="s">
        <v>448</v>
      </c>
      <c r="H773" s="315"/>
      <c r="I773" s="359" t="s">
        <v>2298</v>
      </c>
      <c r="J773" s="239" t="s">
        <v>2283</v>
      </c>
      <c r="K773" s="248" t="s">
        <v>2299</v>
      </c>
      <c r="L773" s="141" t="s">
        <v>15</v>
      </c>
      <c r="M773" s="407">
        <v>46045</v>
      </c>
      <c r="N773" s="40" t="s">
        <v>6</v>
      </c>
      <c r="O773" s="141" t="s">
        <v>158</v>
      </c>
      <c r="P773" s="117"/>
      <c r="Q773" s="407">
        <v>46038</v>
      </c>
      <c r="R773" s="40" t="s">
        <v>445</v>
      </c>
      <c r="S773" s="593" t="s">
        <v>3201</v>
      </c>
      <c r="T773" s="357"/>
      <c r="U773" s="84"/>
      <c r="V773" s="84"/>
      <c r="W773" s="84"/>
      <c r="X773" s="84"/>
      <c r="Y773" s="84"/>
      <c r="Z773" s="84"/>
      <c r="AA773" s="81"/>
      <c r="AB773" s="81"/>
      <c r="AC773" s="81"/>
      <c r="AD773" s="81"/>
      <c r="AE773" s="81"/>
      <c r="AF773" s="81"/>
      <c r="AG773" s="81"/>
    </row>
    <row r="774" spans="1:33" ht="15.75" customHeight="1" x14ac:dyDescent="0.3">
      <c r="A774" s="104"/>
      <c r="B774" s="104"/>
      <c r="C774" s="74">
        <f t="shared" ca="1" si="10"/>
        <v>754</v>
      </c>
      <c r="D774" s="673" t="s">
        <v>2300</v>
      </c>
      <c r="E774" s="314" t="s">
        <v>198</v>
      </c>
      <c r="F774" s="285" t="s">
        <v>3063</v>
      </c>
      <c r="G774" s="353" t="s">
        <v>448</v>
      </c>
      <c r="H774" s="246"/>
      <c r="I774" s="278" t="s">
        <v>3197</v>
      </c>
      <c r="J774" s="239" t="s">
        <v>235</v>
      </c>
      <c r="K774" s="273" t="s">
        <v>2301</v>
      </c>
      <c r="L774" s="141" t="s">
        <v>46</v>
      </c>
      <c r="M774" s="193"/>
      <c r="N774" s="194"/>
      <c r="O774" s="141"/>
      <c r="P774" s="117"/>
      <c r="Q774" s="407">
        <v>46038</v>
      </c>
      <c r="R774" s="40" t="s">
        <v>445</v>
      </c>
      <c r="S774" s="208"/>
      <c r="T774" s="357"/>
      <c r="U774" s="84"/>
      <c r="V774" s="84"/>
      <c r="W774" s="84"/>
      <c r="X774" s="84"/>
      <c r="Y774" s="84"/>
      <c r="Z774" s="84"/>
      <c r="AA774" s="81"/>
      <c r="AB774" s="81"/>
      <c r="AC774" s="81"/>
      <c r="AD774" s="81"/>
      <c r="AE774" s="81"/>
      <c r="AF774" s="81"/>
      <c r="AG774" s="81"/>
    </row>
    <row r="775" spans="1:33" ht="15.75" customHeight="1" x14ac:dyDescent="0.3">
      <c r="A775" s="104"/>
      <c r="B775" s="104"/>
      <c r="C775" s="74">
        <f t="shared" ca="1" si="10"/>
        <v>755</v>
      </c>
      <c r="D775" s="635"/>
      <c r="E775" s="314" t="s">
        <v>198</v>
      </c>
      <c r="F775" s="285" t="s">
        <v>3063</v>
      </c>
      <c r="G775" s="353" t="s">
        <v>448</v>
      </c>
      <c r="H775" s="246"/>
      <c r="I775" s="278" t="s">
        <v>3198</v>
      </c>
      <c r="J775" s="239" t="s">
        <v>235</v>
      </c>
      <c r="K775" s="239" t="s">
        <v>2302</v>
      </c>
      <c r="L775" s="141" t="s">
        <v>15</v>
      </c>
      <c r="M775" s="193"/>
      <c r="N775" s="194"/>
      <c r="O775" s="141"/>
      <c r="P775" s="117"/>
      <c r="Q775" s="407">
        <v>46038</v>
      </c>
      <c r="R775" s="40" t="s">
        <v>445</v>
      </c>
      <c r="S775" s="208"/>
      <c r="T775" s="357"/>
      <c r="U775" s="84"/>
      <c r="V775" s="84"/>
      <c r="W775" s="84"/>
      <c r="X775" s="84"/>
      <c r="Y775" s="84"/>
      <c r="Z775" s="84"/>
      <c r="AA775" s="81"/>
      <c r="AB775" s="81"/>
      <c r="AC775" s="81"/>
      <c r="AD775" s="81"/>
      <c r="AE775" s="81"/>
      <c r="AF775" s="81"/>
      <c r="AG775" s="81"/>
    </row>
    <row r="776" spans="1:33" ht="15.75" customHeight="1" x14ac:dyDescent="0.3">
      <c r="A776" s="104"/>
      <c r="B776" s="104"/>
      <c r="C776" s="74">
        <f t="shared" ca="1" si="10"/>
        <v>756</v>
      </c>
      <c r="D776" s="584"/>
      <c r="E776" s="314" t="s">
        <v>216</v>
      </c>
      <c r="F776" s="285" t="s">
        <v>458</v>
      </c>
      <c r="G776" s="353" t="s">
        <v>448</v>
      </c>
      <c r="H776" s="246"/>
      <c r="I776" s="246"/>
      <c r="J776" s="239" t="s">
        <v>236</v>
      </c>
      <c r="K776" s="239" t="s">
        <v>2303</v>
      </c>
      <c r="L776" s="141" t="s">
        <v>15</v>
      </c>
      <c r="M776" s="407">
        <v>46042</v>
      </c>
      <c r="N776" s="40" t="s">
        <v>4</v>
      </c>
      <c r="O776" s="141"/>
      <c r="P776" s="117"/>
      <c r="Q776" s="407">
        <v>46038</v>
      </c>
      <c r="R776" s="40" t="s">
        <v>445</v>
      </c>
      <c r="S776" s="208"/>
      <c r="T776" s="357"/>
      <c r="U776" s="84"/>
      <c r="V776" s="84"/>
      <c r="W776" s="84"/>
      <c r="X776" s="84"/>
      <c r="Y776" s="84"/>
      <c r="Z776" s="84"/>
      <c r="AA776" s="81"/>
      <c r="AB776" s="81"/>
      <c r="AC776" s="81"/>
      <c r="AD776" s="81"/>
      <c r="AE776" s="81"/>
      <c r="AF776" s="81"/>
      <c r="AG776" s="81"/>
    </row>
    <row r="777" spans="1:33" ht="15.75" customHeight="1" x14ac:dyDescent="0.3">
      <c r="A777" s="104"/>
      <c r="B777" s="104"/>
      <c r="C777" s="130">
        <f t="shared" ca="1" si="10"/>
        <v>757</v>
      </c>
      <c r="D777" s="86"/>
      <c r="E777" s="314"/>
      <c r="F777" s="285" t="s">
        <v>458</v>
      </c>
      <c r="G777" s="353" t="s">
        <v>448</v>
      </c>
      <c r="H777" s="246"/>
      <c r="I777" s="246"/>
      <c r="J777" s="239" t="s">
        <v>2304</v>
      </c>
      <c r="K777" s="239" t="s">
        <v>3067</v>
      </c>
      <c r="L777" s="141" t="s">
        <v>2</v>
      </c>
      <c r="M777" s="193"/>
      <c r="N777" s="194"/>
      <c r="O777" s="141"/>
      <c r="P777" s="117"/>
      <c r="Q777" s="407"/>
      <c r="R777" s="40"/>
      <c r="S777" s="208"/>
      <c r="T777" s="357"/>
      <c r="U777" s="84"/>
      <c r="V777" s="84"/>
      <c r="W777" s="84"/>
      <c r="X777" s="84"/>
      <c r="Y777" s="84"/>
      <c r="Z777" s="84"/>
      <c r="AA777" s="81"/>
      <c r="AB777" s="81"/>
      <c r="AC777" s="81"/>
      <c r="AD777" s="81"/>
      <c r="AE777" s="81"/>
      <c r="AF777" s="81"/>
      <c r="AG777" s="81"/>
    </row>
    <row r="778" spans="1:33" ht="15.75" customHeight="1" x14ac:dyDescent="0.3">
      <c r="A778" s="104"/>
      <c r="B778" s="104"/>
      <c r="C778" s="74">
        <f t="shared" ca="1" si="10"/>
        <v>758</v>
      </c>
      <c r="D778" s="584"/>
      <c r="E778" s="585" t="s">
        <v>432</v>
      </c>
      <c r="F778" s="285" t="s">
        <v>458</v>
      </c>
      <c r="G778" s="353" t="s">
        <v>448</v>
      </c>
      <c r="H778" s="246"/>
      <c r="I778" s="325" t="s">
        <v>3202</v>
      </c>
      <c r="J778" s="239" t="s">
        <v>2305</v>
      </c>
      <c r="K778" s="239" t="s">
        <v>3203</v>
      </c>
      <c r="L778" s="290" t="s">
        <v>15</v>
      </c>
      <c r="M778" s="407">
        <v>46045</v>
      </c>
      <c r="N778" s="40" t="s">
        <v>4</v>
      </c>
      <c r="O778" s="388"/>
      <c r="P778" s="393"/>
      <c r="Q778" s="407"/>
      <c r="R778" s="40"/>
      <c r="S778" s="282"/>
      <c r="T778" s="15"/>
      <c r="U778" s="374"/>
      <c r="V778" s="374"/>
      <c r="W778" s="374"/>
      <c r="X778" s="374"/>
      <c r="Y778" s="374"/>
      <c r="Z778" s="374"/>
      <c r="AA778" s="81"/>
      <c r="AB778" s="81"/>
      <c r="AC778" s="81"/>
      <c r="AD778" s="81"/>
      <c r="AE778" s="81"/>
      <c r="AF778" s="81"/>
      <c r="AG778" s="81"/>
    </row>
    <row r="779" spans="1:33" ht="15.75" customHeight="1" x14ac:dyDescent="0.3">
      <c r="A779" s="104"/>
      <c r="B779" s="104"/>
      <c r="C779" s="74">
        <f t="shared" ca="1" si="10"/>
        <v>759</v>
      </c>
      <c r="D779" s="586" t="s">
        <v>386</v>
      </c>
      <c r="E779" s="286" t="s">
        <v>359</v>
      </c>
      <c r="F779" s="580" t="s">
        <v>3060</v>
      </c>
      <c r="G779" s="353" t="s">
        <v>448</v>
      </c>
      <c r="H779" s="277"/>
      <c r="I779" s="246"/>
      <c r="J779" s="247" t="s">
        <v>387</v>
      </c>
      <c r="K779" s="248" t="s">
        <v>3204</v>
      </c>
      <c r="L779" s="141" t="s">
        <v>15</v>
      </c>
      <c r="M779" s="407">
        <v>46043</v>
      </c>
      <c r="N779" s="40" t="s">
        <v>4</v>
      </c>
      <c r="O779" s="141" t="s">
        <v>158</v>
      </c>
      <c r="P779" s="281" t="s">
        <v>211</v>
      </c>
      <c r="Q779" s="407">
        <v>46038</v>
      </c>
      <c r="R779" s="40" t="s">
        <v>445</v>
      </c>
      <c r="S779" s="208" t="s">
        <v>3205</v>
      </c>
      <c r="T779" s="357"/>
      <c r="U779" s="84"/>
      <c r="V779" s="84"/>
      <c r="W779" s="84"/>
      <c r="X779" s="84"/>
      <c r="Y779" s="84"/>
      <c r="Z779" s="84"/>
      <c r="AA779" s="81"/>
      <c r="AB779" s="81"/>
      <c r="AC779" s="81"/>
      <c r="AD779" s="81"/>
      <c r="AE779" s="81"/>
      <c r="AF779" s="81"/>
      <c r="AG779" s="81"/>
    </row>
    <row r="780" spans="1:33" ht="15.75" customHeight="1" x14ac:dyDescent="0.3">
      <c r="A780" s="104"/>
      <c r="B780" s="104"/>
      <c r="C780" s="74">
        <f t="shared" ca="1" si="10"/>
        <v>760</v>
      </c>
      <c r="D780" s="695" t="s">
        <v>407</v>
      </c>
      <c r="E780" s="286" t="s">
        <v>257</v>
      </c>
      <c r="F780" s="580" t="s">
        <v>457</v>
      </c>
      <c r="G780" s="353" t="s">
        <v>448</v>
      </c>
      <c r="H780" s="277"/>
      <c r="I780" s="247" t="s">
        <v>389</v>
      </c>
      <c r="J780" s="247" t="s">
        <v>261</v>
      </c>
      <c r="K780" s="247" t="s">
        <v>3206</v>
      </c>
      <c r="L780" s="141" t="s">
        <v>15</v>
      </c>
      <c r="M780" s="407">
        <v>46043</v>
      </c>
      <c r="N780" s="40" t="s">
        <v>4</v>
      </c>
      <c r="O780" s="141" t="s">
        <v>15</v>
      </c>
      <c r="P780" s="117"/>
      <c r="Q780" s="407">
        <v>46038</v>
      </c>
      <c r="R780" s="40" t="s">
        <v>445</v>
      </c>
      <c r="S780" s="208"/>
      <c r="T780" s="357"/>
      <c r="U780" s="84"/>
      <c r="V780" s="84"/>
      <c r="W780" s="84"/>
      <c r="X780" s="84"/>
      <c r="Y780" s="84"/>
      <c r="Z780" s="84"/>
      <c r="AA780" s="81"/>
      <c r="AB780" s="81"/>
      <c r="AC780" s="81"/>
      <c r="AD780" s="81"/>
      <c r="AE780" s="81"/>
      <c r="AF780" s="81"/>
      <c r="AG780" s="81"/>
    </row>
    <row r="781" spans="1:33" ht="15.75" customHeight="1" x14ac:dyDescent="0.3">
      <c r="A781" s="104"/>
      <c r="B781" s="104"/>
      <c r="C781" s="74">
        <f t="shared" ca="1" si="10"/>
        <v>761</v>
      </c>
      <c r="D781" s="635"/>
      <c r="E781" s="286" t="s">
        <v>237</v>
      </c>
      <c r="F781" s="580" t="s">
        <v>459</v>
      </c>
      <c r="G781" s="353" t="s">
        <v>448</v>
      </c>
      <c r="H781" s="277"/>
      <c r="I781" s="246"/>
      <c r="J781" s="247" t="s">
        <v>261</v>
      </c>
      <c r="K781" s="266" t="s">
        <v>3207</v>
      </c>
      <c r="L781" s="141" t="s">
        <v>15</v>
      </c>
      <c r="M781" s="407">
        <v>46045</v>
      </c>
      <c r="N781" s="40" t="s">
        <v>4</v>
      </c>
      <c r="O781" s="141" t="s">
        <v>46</v>
      </c>
      <c r="P781" s="117"/>
      <c r="Q781" s="407">
        <v>46038</v>
      </c>
      <c r="R781" s="40" t="s">
        <v>445</v>
      </c>
      <c r="S781" s="208"/>
      <c r="T781" s="357"/>
      <c r="U781" s="84"/>
      <c r="V781" s="84"/>
      <c r="W781" s="84"/>
      <c r="X781" s="84"/>
      <c r="Y781" s="84"/>
      <c r="Z781" s="84"/>
      <c r="AA781" s="81"/>
      <c r="AB781" s="81"/>
      <c r="AC781" s="81"/>
      <c r="AD781" s="81"/>
      <c r="AE781" s="81"/>
      <c r="AF781" s="81"/>
      <c r="AG781" s="81"/>
    </row>
    <row r="782" spans="1:33" ht="15.75" customHeight="1" x14ac:dyDescent="0.3">
      <c r="A782" s="104"/>
      <c r="B782" s="104"/>
      <c r="C782" s="74">
        <f t="shared" ca="1" si="10"/>
        <v>762</v>
      </c>
      <c r="D782" s="581" t="s">
        <v>408</v>
      </c>
      <c r="E782" s="286" t="s">
        <v>257</v>
      </c>
      <c r="F782" s="580" t="s">
        <v>457</v>
      </c>
      <c r="G782" s="353" t="s">
        <v>448</v>
      </c>
      <c r="H782" s="277"/>
      <c r="I782" s="247" t="s">
        <v>389</v>
      </c>
      <c r="J782" s="247" t="s">
        <v>261</v>
      </c>
      <c r="K782" s="247" t="s">
        <v>3208</v>
      </c>
      <c r="L782" s="141" t="s">
        <v>15</v>
      </c>
      <c r="M782" s="407">
        <v>46043</v>
      </c>
      <c r="N782" s="40" t="s">
        <v>4</v>
      </c>
      <c r="O782" s="141" t="s">
        <v>15</v>
      </c>
      <c r="P782" s="117"/>
      <c r="Q782" s="407">
        <v>46038</v>
      </c>
      <c r="R782" s="40" t="s">
        <v>445</v>
      </c>
      <c r="S782" s="208"/>
      <c r="T782" s="357"/>
      <c r="U782" s="84"/>
      <c r="V782" s="84"/>
      <c r="W782" s="84"/>
      <c r="X782" s="84"/>
      <c r="Y782" s="84"/>
      <c r="Z782" s="84"/>
      <c r="AA782" s="81"/>
      <c r="AB782" s="81"/>
      <c r="AC782" s="81"/>
      <c r="AD782" s="81"/>
      <c r="AE782" s="81"/>
      <c r="AF782" s="81"/>
      <c r="AG782" s="81"/>
    </row>
    <row r="783" spans="1:33" ht="15.75" customHeight="1" x14ac:dyDescent="0.3">
      <c r="A783" s="104"/>
      <c r="B783" s="104"/>
      <c r="C783" s="74">
        <f t="shared" ca="1" si="10"/>
        <v>763</v>
      </c>
      <c r="D783" s="594"/>
      <c r="E783" s="581" t="s">
        <v>237</v>
      </c>
      <c r="F783" s="580" t="s">
        <v>459</v>
      </c>
      <c r="G783" s="353" t="s">
        <v>448</v>
      </c>
      <c r="H783" s="277"/>
      <c r="I783" s="246"/>
      <c r="J783" s="247" t="s">
        <v>261</v>
      </c>
      <c r="K783" s="247" t="s">
        <v>3209</v>
      </c>
      <c r="L783" s="141" t="s">
        <v>15</v>
      </c>
      <c r="M783" s="407">
        <v>46043</v>
      </c>
      <c r="N783" s="40" t="s">
        <v>4</v>
      </c>
      <c r="O783" s="141" t="s">
        <v>158</v>
      </c>
      <c r="P783" s="117" t="s">
        <v>211</v>
      </c>
      <c r="Q783" s="407">
        <v>46038</v>
      </c>
      <c r="R783" s="40" t="s">
        <v>445</v>
      </c>
      <c r="S783" s="208" t="s">
        <v>3210</v>
      </c>
      <c r="T783" s="357"/>
      <c r="U783" s="84"/>
      <c r="V783" s="84"/>
      <c r="W783" s="84"/>
      <c r="X783" s="84"/>
      <c r="Y783" s="84"/>
      <c r="Z783" s="84"/>
      <c r="AA783" s="81"/>
      <c r="AB783" s="81"/>
      <c r="AC783" s="81"/>
      <c r="AD783" s="81"/>
      <c r="AE783" s="81"/>
      <c r="AF783" s="81"/>
      <c r="AG783" s="81"/>
    </row>
    <row r="784" spans="1:33" ht="15.75" customHeight="1" x14ac:dyDescent="0.3">
      <c r="A784" s="104"/>
      <c r="B784" s="104"/>
      <c r="C784" s="74">
        <f t="shared" ca="1" si="10"/>
        <v>764</v>
      </c>
      <c r="D784" s="594"/>
      <c r="E784" s="594"/>
      <c r="F784" s="580" t="s">
        <v>459</v>
      </c>
      <c r="G784" s="353" t="s">
        <v>448</v>
      </c>
      <c r="H784" s="277"/>
      <c r="I784" s="247" t="s">
        <v>3211</v>
      </c>
      <c r="J784" s="247" t="s">
        <v>261</v>
      </c>
      <c r="K784" s="247" t="s">
        <v>3212</v>
      </c>
      <c r="L784" s="141" t="s">
        <v>15</v>
      </c>
      <c r="M784" s="407">
        <v>46043</v>
      </c>
      <c r="N784" s="40" t="s">
        <v>4</v>
      </c>
      <c r="O784" s="141" t="s">
        <v>15</v>
      </c>
      <c r="P784" s="117"/>
      <c r="Q784" s="407">
        <v>46038</v>
      </c>
      <c r="R784" s="40" t="s">
        <v>445</v>
      </c>
      <c r="S784" s="208"/>
      <c r="T784" s="357"/>
      <c r="U784" s="84"/>
      <c r="V784" s="84"/>
      <c r="W784" s="84"/>
      <c r="X784" s="84"/>
      <c r="Y784" s="84"/>
      <c r="Z784" s="84"/>
      <c r="AA784" s="81"/>
      <c r="AB784" s="81"/>
      <c r="AC784" s="81"/>
      <c r="AD784" s="81"/>
      <c r="AE784" s="81"/>
      <c r="AF784" s="81"/>
      <c r="AG784" s="81"/>
    </row>
    <row r="785" spans="1:33" ht="15.75" customHeight="1" x14ac:dyDescent="0.3">
      <c r="A785" s="104"/>
      <c r="B785" s="104"/>
      <c r="C785" s="74">
        <f t="shared" ca="1" si="10"/>
        <v>765</v>
      </c>
      <c r="D785" s="594"/>
      <c r="E785" s="594"/>
      <c r="F785" s="580" t="s">
        <v>459</v>
      </c>
      <c r="G785" s="353" t="s">
        <v>448</v>
      </c>
      <c r="H785" s="277"/>
      <c r="I785" s="247" t="s">
        <v>3213</v>
      </c>
      <c r="J785" s="247" t="s">
        <v>261</v>
      </c>
      <c r="K785" s="247" t="s">
        <v>3214</v>
      </c>
      <c r="L785" s="141" t="s">
        <v>15</v>
      </c>
      <c r="M785" s="407">
        <v>46043</v>
      </c>
      <c r="N785" s="40" t="s">
        <v>4</v>
      </c>
      <c r="O785" s="141" t="s">
        <v>15</v>
      </c>
      <c r="P785" s="117"/>
      <c r="Q785" s="407">
        <v>46038</v>
      </c>
      <c r="R785" s="40" t="s">
        <v>445</v>
      </c>
      <c r="S785" s="208"/>
      <c r="T785" s="357"/>
      <c r="U785" s="84"/>
      <c r="V785" s="84"/>
      <c r="W785" s="84"/>
      <c r="X785" s="84"/>
      <c r="Y785" s="84"/>
      <c r="Z785" s="84"/>
      <c r="AA785" s="81"/>
      <c r="AB785" s="81"/>
      <c r="AC785" s="81"/>
      <c r="AD785" s="81"/>
      <c r="AE785" s="81"/>
      <c r="AF785" s="81"/>
      <c r="AG785" s="81"/>
    </row>
    <row r="786" spans="1:33" ht="15.75" customHeight="1" x14ac:dyDescent="0.3">
      <c r="A786" s="104"/>
      <c r="B786" s="104"/>
      <c r="C786" s="74">
        <f t="shared" ca="1" si="10"/>
        <v>766</v>
      </c>
      <c r="D786" s="594"/>
      <c r="E786" s="594"/>
      <c r="F786" s="580" t="s">
        <v>459</v>
      </c>
      <c r="G786" s="353" t="s">
        <v>448</v>
      </c>
      <c r="H786" s="277"/>
      <c r="I786" s="247" t="s">
        <v>3215</v>
      </c>
      <c r="J786" s="247" t="s">
        <v>261</v>
      </c>
      <c r="K786" s="247" t="s">
        <v>3216</v>
      </c>
      <c r="L786" s="141" t="s">
        <v>15</v>
      </c>
      <c r="M786" s="407">
        <v>46043</v>
      </c>
      <c r="N786" s="40" t="s">
        <v>4</v>
      </c>
      <c r="O786" s="141" t="s">
        <v>15</v>
      </c>
      <c r="P786" s="117"/>
      <c r="Q786" s="407">
        <v>46038</v>
      </c>
      <c r="R786" s="40" t="s">
        <v>445</v>
      </c>
      <c r="S786" s="208"/>
      <c r="T786" s="357"/>
      <c r="U786" s="84"/>
      <c r="V786" s="84"/>
      <c r="W786" s="84"/>
      <c r="X786" s="84"/>
      <c r="Y786" s="84"/>
      <c r="Z786" s="84"/>
      <c r="AA786" s="81"/>
      <c r="AB786" s="81"/>
      <c r="AC786" s="81"/>
      <c r="AD786" s="81"/>
      <c r="AE786" s="81"/>
      <c r="AF786" s="81"/>
      <c r="AG786" s="81"/>
    </row>
    <row r="787" spans="1:33" ht="15.75" customHeight="1" x14ac:dyDescent="0.3">
      <c r="A787" s="104"/>
      <c r="B787" s="104"/>
      <c r="C787" s="74">
        <f t="shared" ca="1" si="10"/>
        <v>767</v>
      </c>
      <c r="D787" s="581" t="s">
        <v>388</v>
      </c>
      <c r="E787" s="286" t="s">
        <v>257</v>
      </c>
      <c r="F787" s="580" t="s">
        <v>457</v>
      </c>
      <c r="G787" s="353" t="s">
        <v>448</v>
      </c>
      <c r="H787" s="277"/>
      <c r="I787" s="247" t="s">
        <v>389</v>
      </c>
      <c r="J787" s="247" t="s">
        <v>261</v>
      </c>
      <c r="K787" s="247" t="s">
        <v>3092</v>
      </c>
      <c r="L787" s="141" t="s">
        <v>15</v>
      </c>
      <c r="M787" s="407">
        <v>46043</v>
      </c>
      <c r="N787" s="40" t="s">
        <v>4</v>
      </c>
      <c r="O787" s="141" t="s">
        <v>15</v>
      </c>
      <c r="P787" s="117"/>
      <c r="Q787" s="407">
        <v>46038</v>
      </c>
      <c r="R787" s="40" t="s">
        <v>445</v>
      </c>
      <c r="S787" s="208"/>
      <c r="T787" s="357"/>
      <c r="U787" s="84"/>
      <c r="V787" s="84"/>
      <c r="W787" s="84"/>
      <c r="X787" s="84"/>
      <c r="Y787" s="84"/>
      <c r="Z787" s="84"/>
      <c r="AA787" s="81"/>
      <c r="AB787" s="81"/>
      <c r="AC787" s="81"/>
      <c r="AD787" s="81"/>
      <c r="AE787" s="81"/>
      <c r="AF787" s="81"/>
      <c r="AG787" s="81"/>
    </row>
    <row r="788" spans="1:33" ht="15.75" customHeight="1" x14ac:dyDescent="0.3">
      <c r="A788" s="104"/>
      <c r="B788" s="104"/>
      <c r="C788" s="74">
        <f t="shared" ca="1" si="10"/>
        <v>768</v>
      </c>
      <c r="D788" s="594"/>
      <c r="E788" s="581" t="s">
        <v>237</v>
      </c>
      <c r="F788" s="580" t="s">
        <v>459</v>
      </c>
      <c r="G788" s="353" t="s">
        <v>448</v>
      </c>
      <c r="H788" s="277"/>
      <c r="I788" s="246"/>
      <c r="J788" s="247" t="s">
        <v>261</v>
      </c>
      <c r="K788" s="247" t="s">
        <v>3093</v>
      </c>
      <c r="L788" s="141" t="s">
        <v>15</v>
      </c>
      <c r="M788" s="407">
        <v>46043</v>
      </c>
      <c r="N788" s="40" t="s">
        <v>4</v>
      </c>
      <c r="O788" s="141" t="s">
        <v>158</v>
      </c>
      <c r="P788" s="117" t="s">
        <v>211</v>
      </c>
      <c r="Q788" s="407">
        <v>46038</v>
      </c>
      <c r="R788" s="40" t="s">
        <v>445</v>
      </c>
      <c r="S788" s="208" t="s">
        <v>3217</v>
      </c>
      <c r="T788" s="357"/>
      <c r="U788" s="84"/>
      <c r="V788" s="84"/>
      <c r="W788" s="84"/>
      <c r="X788" s="84"/>
      <c r="Y788" s="84"/>
      <c r="Z788" s="84"/>
      <c r="AA788" s="81"/>
      <c r="AB788" s="81"/>
      <c r="AC788" s="81"/>
      <c r="AD788" s="81"/>
      <c r="AE788" s="81"/>
      <c r="AF788" s="81"/>
      <c r="AG788" s="81"/>
    </row>
    <row r="789" spans="1:33" ht="15.75" customHeight="1" x14ac:dyDescent="0.3">
      <c r="A789" s="104"/>
      <c r="B789" s="104"/>
      <c r="C789" s="74">
        <f t="shared" ca="1" si="10"/>
        <v>769</v>
      </c>
      <c r="D789" s="594"/>
      <c r="E789" s="594"/>
      <c r="F789" s="580" t="s">
        <v>459</v>
      </c>
      <c r="G789" s="353" t="s">
        <v>448</v>
      </c>
      <c r="H789" s="277"/>
      <c r="I789" s="247" t="s">
        <v>3218</v>
      </c>
      <c r="J789" s="247" t="s">
        <v>261</v>
      </c>
      <c r="K789" s="247" t="s">
        <v>3096</v>
      </c>
      <c r="L789" s="141" t="s">
        <v>15</v>
      </c>
      <c r="M789" s="407">
        <v>46043</v>
      </c>
      <c r="N789" s="40" t="s">
        <v>4</v>
      </c>
      <c r="O789" s="141" t="s">
        <v>15</v>
      </c>
      <c r="P789" s="117"/>
      <c r="Q789" s="407">
        <v>46038</v>
      </c>
      <c r="R789" s="40" t="s">
        <v>445</v>
      </c>
      <c r="S789" s="208"/>
      <c r="T789" s="357"/>
      <c r="U789" s="84"/>
      <c r="V789" s="84"/>
      <c r="W789" s="84"/>
      <c r="X789" s="84"/>
      <c r="Y789" s="84"/>
      <c r="Z789" s="84"/>
      <c r="AA789" s="81"/>
      <c r="AB789" s="81"/>
      <c r="AC789" s="81"/>
      <c r="AD789" s="81"/>
      <c r="AE789" s="81"/>
      <c r="AF789" s="81"/>
      <c r="AG789" s="81"/>
    </row>
    <row r="790" spans="1:33" ht="15.75" customHeight="1" x14ac:dyDescent="0.3">
      <c r="A790" s="104"/>
      <c r="B790" s="104"/>
      <c r="C790" s="74">
        <f t="shared" ca="1" si="10"/>
        <v>770</v>
      </c>
      <c r="D790" s="594"/>
      <c r="E790" s="594"/>
      <c r="F790" s="580" t="s">
        <v>459</v>
      </c>
      <c r="G790" s="353" t="s">
        <v>448</v>
      </c>
      <c r="H790" s="277"/>
      <c r="I790" s="247" t="s">
        <v>3219</v>
      </c>
      <c r="J790" s="247" t="s">
        <v>261</v>
      </c>
      <c r="K790" s="247" t="s">
        <v>3099</v>
      </c>
      <c r="L790" s="141" t="s">
        <v>15</v>
      </c>
      <c r="M790" s="407">
        <v>46043</v>
      </c>
      <c r="N790" s="40" t="s">
        <v>4</v>
      </c>
      <c r="O790" s="141" t="s">
        <v>15</v>
      </c>
      <c r="P790" s="117"/>
      <c r="Q790" s="407">
        <v>46038</v>
      </c>
      <c r="R790" s="40" t="s">
        <v>445</v>
      </c>
      <c r="S790" s="208"/>
      <c r="T790" s="357"/>
      <c r="U790" s="84"/>
      <c r="V790" s="84"/>
      <c r="W790" s="84"/>
      <c r="X790" s="84"/>
      <c r="Y790" s="84"/>
      <c r="Z790" s="84"/>
      <c r="AA790" s="81"/>
      <c r="AB790" s="81"/>
      <c r="AC790" s="81"/>
      <c r="AD790" s="81"/>
      <c r="AE790" s="81"/>
      <c r="AF790" s="81"/>
      <c r="AG790" s="81"/>
    </row>
    <row r="791" spans="1:33" ht="15.75" customHeight="1" x14ac:dyDescent="0.3">
      <c r="A791" s="104"/>
      <c r="B791" s="104"/>
      <c r="C791" s="74">
        <f t="shared" ca="1" si="10"/>
        <v>771</v>
      </c>
      <c r="D791" s="694" t="s">
        <v>390</v>
      </c>
      <c r="E791" s="286" t="s">
        <v>257</v>
      </c>
      <c r="F791" s="580" t="s">
        <v>457</v>
      </c>
      <c r="G791" s="353" t="s">
        <v>448</v>
      </c>
      <c r="H791" s="277"/>
      <c r="I791" s="247" t="s">
        <v>389</v>
      </c>
      <c r="J791" s="247" t="s">
        <v>261</v>
      </c>
      <c r="K791" s="247" t="s">
        <v>3111</v>
      </c>
      <c r="L791" s="141" t="s">
        <v>15</v>
      </c>
      <c r="M791" s="407">
        <v>46043</v>
      </c>
      <c r="N791" s="40" t="s">
        <v>4</v>
      </c>
      <c r="O791" s="141" t="s">
        <v>15</v>
      </c>
      <c r="P791" s="117"/>
      <c r="Q791" s="407">
        <v>46038</v>
      </c>
      <c r="R791" s="40" t="s">
        <v>445</v>
      </c>
      <c r="S791" s="208"/>
      <c r="T791" s="357"/>
      <c r="U791" s="84"/>
      <c r="V791" s="84"/>
      <c r="W791" s="84"/>
      <c r="X791" s="84"/>
      <c r="Y791" s="84"/>
      <c r="Z791" s="84"/>
      <c r="AA791" s="81"/>
      <c r="AB791" s="81"/>
      <c r="AC791" s="81"/>
      <c r="AD791" s="81"/>
      <c r="AE791" s="81"/>
      <c r="AF791" s="81"/>
      <c r="AG791" s="81"/>
    </row>
    <row r="792" spans="1:33" ht="15.75" customHeight="1" x14ac:dyDescent="0.3">
      <c r="A792" s="104"/>
      <c r="B792" s="104"/>
      <c r="C792" s="74">
        <f t="shared" ca="1" si="10"/>
        <v>772</v>
      </c>
      <c r="D792" s="636"/>
      <c r="E792" s="694" t="s">
        <v>237</v>
      </c>
      <c r="F792" s="580" t="s">
        <v>459</v>
      </c>
      <c r="G792" s="353" t="s">
        <v>448</v>
      </c>
      <c r="H792" s="277"/>
      <c r="I792" s="246"/>
      <c r="J792" s="247" t="s">
        <v>261</v>
      </c>
      <c r="K792" s="247" t="s">
        <v>3220</v>
      </c>
      <c r="L792" s="141" t="s">
        <v>15</v>
      </c>
      <c r="M792" s="407">
        <v>46043</v>
      </c>
      <c r="N792" s="40" t="s">
        <v>4</v>
      </c>
      <c r="O792" s="141" t="s">
        <v>158</v>
      </c>
      <c r="P792" s="117" t="s">
        <v>211</v>
      </c>
      <c r="Q792" s="407">
        <v>46038</v>
      </c>
      <c r="R792" s="40" t="s">
        <v>445</v>
      </c>
      <c r="S792" s="208" t="s">
        <v>3221</v>
      </c>
      <c r="T792" s="357"/>
      <c r="U792" s="84"/>
      <c r="V792" s="84"/>
      <c r="W792" s="84"/>
      <c r="X792" s="84"/>
      <c r="Y792" s="84"/>
      <c r="Z792" s="84"/>
      <c r="AA792" s="81"/>
      <c r="AB792" s="81"/>
      <c r="AC792" s="81"/>
      <c r="AD792" s="81"/>
      <c r="AE792" s="81"/>
      <c r="AF792" s="81"/>
      <c r="AG792" s="81"/>
    </row>
    <row r="793" spans="1:33" ht="15.75" customHeight="1" x14ac:dyDescent="0.3">
      <c r="A793" s="104"/>
      <c r="B793" s="104"/>
      <c r="C793" s="74">
        <f t="shared" ca="1" si="10"/>
        <v>773</v>
      </c>
      <c r="D793" s="636"/>
      <c r="E793" s="636"/>
      <c r="F793" s="580" t="s">
        <v>459</v>
      </c>
      <c r="G793" s="353" t="s">
        <v>448</v>
      </c>
      <c r="H793" s="277"/>
      <c r="I793" s="247" t="s">
        <v>3222</v>
      </c>
      <c r="J793" s="247" t="s">
        <v>261</v>
      </c>
      <c r="K793" s="247" t="s">
        <v>3115</v>
      </c>
      <c r="L793" s="141" t="s">
        <v>15</v>
      </c>
      <c r="M793" s="407">
        <v>46043</v>
      </c>
      <c r="N793" s="40" t="s">
        <v>4</v>
      </c>
      <c r="O793" s="141" t="s">
        <v>15</v>
      </c>
      <c r="P793" s="117"/>
      <c r="Q793" s="407">
        <v>46038</v>
      </c>
      <c r="R793" s="40" t="s">
        <v>445</v>
      </c>
      <c r="S793" s="208"/>
      <c r="T793" s="357"/>
      <c r="U793" s="84"/>
      <c r="V793" s="84"/>
      <c r="W793" s="84"/>
      <c r="X793" s="84"/>
      <c r="Y793" s="84"/>
      <c r="Z793" s="84"/>
      <c r="AA793" s="81"/>
      <c r="AB793" s="81"/>
      <c r="AC793" s="81"/>
      <c r="AD793" s="81"/>
      <c r="AE793" s="81"/>
      <c r="AF793" s="81"/>
      <c r="AG793" s="81"/>
    </row>
    <row r="794" spans="1:33" ht="15.75" customHeight="1" x14ac:dyDescent="0.3">
      <c r="A794" s="104"/>
      <c r="B794" s="104"/>
      <c r="C794" s="74">
        <f t="shared" ca="1" si="10"/>
        <v>774</v>
      </c>
      <c r="D794" s="636"/>
      <c r="E794" s="636"/>
      <c r="F794" s="580" t="s">
        <v>459</v>
      </c>
      <c r="G794" s="353" t="s">
        <v>448</v>
      </c>
      <c r="H794" s="277"/>
      <c r="I794" s="247" t="s">
        <v>3223</v>
      </c>
      <c r="J794" s="247" t="s">
        <v>261</v>
      </c>
      <c r="K794" s="247" t="s">
        <v>3224</v>
      </c>
      <c r="L794" s="141" t="s">
        <v>15</v>
      </c>
      <c r="M794" s="407">
        <v>46043</v>
      </c>
      <c r="N794" s="40" t="s">
        <v>4</v>
      </c>
      <c r="O794" s="141" t="s">
        <v>15</v>
      </c>
      <c r="P794" s="117"/>
      <c r="Q794" s="407">
        <v>46038</v>
      </c>
      <c r="R794" s="40" t="s">
        <v>445</v>
      </c>
      <c r="S794" s="208"/>
      <c r="T794" s="357"/>
      <c r="U794" s="84"/>
      <c r="V794" s="84"/>
      <c r="W794" s="84"/>
      <c r="X794" s="84"/>
      <c r="Y794" s="84"/>
      <c r="Z794" s="84"/>
      <c r="AA794" s="81"/>
      <c r="AB794" s="81"/>
      <c r="AC794" s="81"/>
      <c r="AD794" s="81"/>
      <c r="AE794" s="81"/>
      <c r="AF794" s="81"/>
      <c r="AG794" s="81"/>
    </row>
    <row r="795" spans="1:33" ht="15.75" customHeight="1" x14ac:dyDescent="0.3">
      <c r="A795" s="104"/>
      <c r="B795" s="104"/>
      <c r="C795" s="74">
        <f t="shared" ca="1" si="10"/>
        <v>775</v>
      </c>
      <c r="D795" s="636"/>
      <c r="E795" s="636"/>
      <c r="F795" s="580" t="s">
        <v>459</v>
      </c>
      <c r="G795" s="353" t="s">
        <v>448</v>
      </c>
      <c r="H795" s="374"/>
      <c r="I795" s="247" t="s">
        <v>3225</v>
      </c>
      <c r="J795" s="247" t="s">
        <v>261</v>
      </c>
      <c r="K795" s="247" t="s">
        <v>3119</v>
      </c>
      <c r="L795" s="141" t="s">
        <v>15</v>
      </c>
      <c r="M795" s="407">
        <v>46043</v>
      </c>
      <c r="N795" s="40" t="s">
        <v>4</v>
      </c>
      <c r="O795" s="141" t="s">
        <v>15</v>
      </c>
      <c r="P795" s="117"/>
      <c r="Q795" s="407">
        <v>46038</v>
      </c>
      <c r="R795" s="40" t="s">
        <v>445</v>
      </c>
      <c r="S795" s="208"/>
      <c r="T795" s="357"/>
      <c r="U795" s="84"/>
      <c r="V795" s="84"/>
      <c r="W795" s="84"/>
      <c r="X795" s="84"/>
      <c r="Y795" s="84"/>
      <c r="Z795" s="84"/>
      <c r="AA795" s="81"/>
      <c r="AB795" s="81"/>
      <c r="AC795" s="81"/>
      <c r="AD795" s="81"/>
      <c r="AE795" s="81"/>
      <c r="AF795" s="81"/>
      <c r="AG795" s="81"/>
    </row>
    <row r="796" spans="1:33" ht="15.75" customHeight="1" x14ac:dyDescent="0.3">
      <c r="A796" s="104"/>
      <c r="B796" s="104"/>
      <c r="C796" s="74">
        <f t="shared" ca="1" si="10"/>
        <v>776</v>
      </c>
      <c r="D796" s="635"/>
      <c r="E796" s="635"/>
      <c r="F796" s="580" t="s">
        <v>459</v>
      </c>
      <c r="G796" s="353" t="s">
        <v>448</v>
      </c>
      <c r="H796" s="374"/>
      <c r="I796" s="247" t="s">
        <v>3226</v>
      </c>
      <c r="J796" s="247" t="s">
        <v>261</v>
      </c>
      <c r="K796" s="247" t="s">
        <v>3121</v>
      </c>
      <c r="L796" s="141" t="s">
        <v>15</v>
      </c>
      <c r="M796" s="407">
        <v>46043</v>
      </c>
      <c r="N796" s="40" t="s">
        <v>4</v>
      </c>
      <c r="O796" s="141" t="s">
        <v>15</v>
      </c>
      <c r="P796" s="117"/>
      <c r="Q796" s="407">
        <v>46038</v>
      </c>
      <c r="R796" s="40" t="s">
        <v>445</v>
      </c>
      <c r="S796" s="208"/>
      <c r="T796" s="357"/>
      <c r="U796" s="84"/>
      <c r="V796" s="84"/>
      <c r="W796" s="84"/>
      <c r="X796" s="84"/>
      <c r="Y796" s="84"/>
      <c r="Z796" s="84"/>
      <c r="AA796" s="81"/>
      <c r="AB796" s="81"/>
      <c r="AC796" s="81"/>
      <c r="AD796" s="81"/>
      <c r="AE796" s="81"/>
      <c r="AF796" s="81"/>
      <c r="AG796" s="81"/>
    </row>
    <row r="797" spans="1:33" ht="15.75" customHeight="1" x14ac:dyDescent="0.3">
      <c r="A797" s="104"/>
      <c r="B797" s="104"/>
      <c r="C797" s="74">
        <f t="shared" ca="1" si="10"/>
        <v>777</v>
      </c>
      <c r="D797" s="694" t="s">
        <v>391</v>
      </c>
      <c r="E797" s="286" t="s">
        <v>257</v>
      </c>
      <c r="F797" s="580" t="s">
        <v>457</v>
      </c>
      <c r="G797" s="353" t="s">
        <v>448</v>
      </c>
      <c r="H797" s="277"/>
      <c r="I797" s="247" t="s">
        <v>389</v>
      </c>
      <c r="J797" s="247" t="s">
        <v>261</v>
      </c>
      <c r="K797" s="247" t="s">
        <v>3101</v>
      </c>
      <c r="L797" s="141" t="s">
        <v>15</v>
      </c>
      <c r="M797" s="407">
        <v>46043</v>
      </c>
      <c r="N797" s="40" t="s">
        <v>4</v>
      </c>
      <c r="O797" s="141" t="s">
        <v>15</v>
      </c>
      <c r="P797" s="117"/>
      <c r="Q797" s="407">
        <v>46038</v>
      </c>
      <c r="R797" s="40" t="s">
        <v>445</v>
      </c>
      <c r="S797" s="208"/>
      <c r="T797" s="357"/>
      <c r="U797" s="84"/>
      <c r="V797" s="84"/>
      <c r="W797" s="84"/>
      <c r="X797" s="84"/>
      <c r="Y797" s="84"/>
      <c r="Z797" s="84"/>
      <c r="AA797" s="81"/>
      <c r="AB797" s="81"/>
      <c r="AC797" s="81"/>
      <c r="AD797" s="81"/>
      <c r="AE797" s="81"/>
      <c r="AF797" s="81"/>
      <c r="AG797" s="81"/>
    </row>
    <row r="798" spans="1:33" ht="15.75" customHeight="1" x14ac:dyDescent="0.3">
      <c r="A798" s="104"/>
      <c r="B798" s="104"/>
      <c r="C798" s="74">
        <f t="shared" ca="1" si="10"/>
        <v>778</v>
      </c>
      <c r="D798" s="636"/>
      <c r="E798" s="286" t="s">
        <v>237</v>
      </c>
      <c r="F798" s="580" t="s">
        <v>459</v>
      </c>
      <c r="G798" s="353" t="s">
        <v>448</v>
      </c>
      <c r="H798" s="277"/>
      <c r="I798" s="246"/>
      <c r="J798" s="247" t="s">
        <v>261</v>
      </c>
      <c r="K798" s="247" t="s">
        <v>3227</v>
      </c>
      <c r="L798" s="141" t="s">
        <v>15</v>
      </c>
      <c r="M798" s="407">
        <v>46043</v>
      </c>
      <c r="N798" s="40" t="s">
        <v>4</v>
      </c>
      <c r="O798" s="141" t="s">
        <v>158</v>
      </c>
      <c r="P798" s="117" t="s">
        <v>211</v>
      </c>
      <c r="Q798" s="407">
        <v>46038</v>
      </c>
      <c r="R798" s="40" t="s">
        <v>445</v>
      </c>
      <c r="S798" s="208" t="s">
        <v>3228</v>
      </c>
      <c r="T798" s="357"/>
      <c r="U798" s="84"/>
      <c r="V798" s="84"/>
      <c r="W798" s="84"/>
      <c r="X798" s="84"/>
      <c r="Y798" s="84"/>
      <c r="Z798" s="84"/>
      <c r="AA798" s="81"/>
      <c r="AB798" s="81"/>
      <c r="AC798" s="81"/>
      <c r="AD798" s="81"/>
      <c r="AE798" s="81"/>
      <c r="AF798" s="81"/>
      <c r="AG798" s="81"/>
    </row>
    <row r="799" spans="1:33" ht="15.75" customHeight="1" x14ac:dyDescent="0.3">
      <c r="A799" s="104"/>
      <c r="B799" s="104"/>
      <c r="C799" s="74">
        <f t="shared" ca="1" si="10"/>
        <v>779</v>
      </c>
      <c r="D799" s="635"/>
      <c r="E799" s="286" t="s">
        <v>237</v>
      </c>
      <c r="F799" s="580" t="s">
        <v>459</v>
      </c>
      <c r="G799" s="353" t="s">
        <v>448</v>
      </c>
      <c r="H799" s="277"/>
      <c r="I799" s="247" t="s">
        <v>440</v>
      </c>
      <c r="J799" s="247" t="s">
        <v>261</v>
      </c>
      <c r="K799" s="247" t="s">
        <v>3229</v>
      </c>
      <c r="L799" s="141" t="s">
        <v>15</v>
      </c>
      <c r="M799" s="407">
        <v>46043</v>
      </c>
      <c r="N799" s="40" t="s">
        <v>4</v>
      </c>
      <c r="O799" s="141" t="s">
        <v>15</v>
      </c>
      <c r="P799" s="117"/>
      <c r="Q799" s="407">
        <v>46038</v>
      </c>
      <c r="R799" s="40" t="s">
        <v>445</v>
      </c>
      <c r="S799" s="208"/>
      <c r="T799" s="357"/>
      <c r="U799" s="84"/>
      <c r="V799" s="84"/>
      <c r="W799" s="84"/>
      <c r="X799" s="84"/>
      <c r="Y799" s="84"/>
      <c r="Z799" s="84"/>
      <c r="AA799" s="81"/>
      <c r="AB799" s="81"/>
      <c r="AC799" s="81"/>
      <c r="AD799" s="81"/>
      <c r="AE799" s="81"/>
      <c r="AF799" s="81"/>
      <c r="AG799" s="81"/>
    </row>
    <row r="800" spans="1:33" ht="15.75" customHeight="1" x14ac:dyDescent="0.3">
      <c r="A800" s="104"/>
      <c r="B800" s="104"/>
      <c r="C800" s="74">
        <f t="shared" ca="1" si="10"/>
        <v>780</v>
      </c>
      <c r="D800" s="694" t="s">
        <v>409</v>
      </c>
      <c r="E800" s="286" t="s">
        <v>257</v>
      </c>
      <c r="F800" s="580" t="s">
        <v>457</v>
      </c>
      <c r="G800" s="353" t="s">
        <v>448</v>
      </c>
      <c r="H800" s="277"/>
      <c r="I800" s="247" t="s">
        <v>389</v>
      </c>
      <c r="J800" s="247" t="s">
        <v>261</v>
      </c>
      <c r="K800" s="403" t="s">
        <v>3182</v>
      </c>
      <c r="L800" s="141" t="s">
        <v>15</v>
      </c>
      <c r="M800" s="407">
        <v>46045</v>
      </c>
      <c r="N800" s="40" t="s">
        <v>4</v>
      </c>
      <c r="O800" s="141" t="s">
        <v>15</v>
      </c>
      <c r="P800" s="117"/>
      <c r="Q800" s="407">
        <v>46038</v>
      </c>
      <c r="R800" s="40" t="s">
        <v>445</v>
      </c>
      <c r="S800" s="208" t="s">
        <v>3230</v>
      </c>
      <c r="T800" s="357"/>
      <c r="U800" s="84"/>
      <c r="V800" s="84"/>
      <c r="W800" s="84"/>
      <c r="X800" s="84"/>
      <c r="Y800" s="84"/>
      <c r="Z800" s="84"/>
      <c r="AA800" s="81"/>
      <c r="AB800" s="81"/>
      <c r="AC800" s="81"/>
      <c r="AD800" s="81"/>
      <c r="AE800" s="81"/>
      <c r="AF800" s="81"/>
      <c r="AG800" s="81"/>
    </row>
    <row r="801" spans="1:33" ht="15.75" customHeight="1" x14ac:dyDescent="0.3">
      <c r="A801" s="104"/>
      <c r="B801" s="104"/>
      <c r="C801" s="74">
        <f t="shared" ca="1" si="10"/>
        <v>781</v>
      </c>
      <c r="D801" s="636"/>
      <c r="E801" s="286" t="s">
        <v>237</v>
      </c>
      <c r="F801" s="580" t="s">
        <v>459</v>
      </c>
      <c r="G801" s="353" t="s">
        <v>448</v>
      </c>
      <c r="H801" s="277"/>
      <c r="I801" s="246"/>
      <c r="J801" s="247" t="s">
        <v>261</v>
      </c>
      <c r="K801" s="247" t="s">
        <v>3231</v>
      </c>
      <c r="L801" s="141" t="s">
        <v>15</v>
      </c>
      <c r="M801" s="407">
        <v>46043</v>
      </c>
      <c r="N801" s="40" t="s">
        <v>4</v>
      </c>
      <c r="O801" s="141" t="s">
        <v>158</v>
      </c>
      <c r="P801" s="117"/>
      <c r="Q801" s="407">
        <v>46038</v>
      </c>
      <c r="R801" s="40" t="s">
        <v>445</v>
      </c>
      <c r="S801" s="208" t="s">
        <v>3232</v>
      </c>
      <c r="T801" s="357"/>
      <c r="U801" s="84"/>
      <c r="V801" s="84"/>
      <c r="W801" s="84"/>
      <c r="X801" s="84"/>
      <c r="Y801" s="84"/>
      <c r="Z801" s="84"/>
      <c r="AA801" s="81"/>
      <c r="AB801" s="81"/>
      <c r="AC801" s="81"/>
      <c r="AD801" s="81"/>
      <c r="AE801" s="81"/>
      <c r="AF801" s="81"/>
      <c r="AG801" s="81"/>
    </row>
    <row r="802" spans="1:33" ht="15.75" customHeight="1" x14ac:dyDescent="0.3">
      <c r="A802" s="104"/>
      <c r="B802" s="104"/>
      <c r="C802" s="74">
        <f t="shared" ca="1" si="10"/>
        <v>782</v>
      </c>
      <c r="D802" s="635"/>
      <c r="E802" s="286" t="s">
        <v>237</v>
      </c>
      <c r="F802" s="580" t="s">
        <v>459</v>
      </c>
      <c r="G802" s="353" t="s">
        <v>448</v>
      </c>
      <c r="H802" s="277"/>
      <c r="I802" s="247" t="s">
        <v>440</v>
      </c>
      <c r="J802" s="247" t="s">
        <v>261</v>
      </c>
      <c r="K802" s="247" t="s">
        <v>3229</v>
      </c>
      <c r="L802" s="141" t="s">
        <v>15</v>
      </c>
      <c r="M802" s="407">
        <v>46043</v>
      </c>
      <c r="N802" s="40" t="s">
        <v>4</v>
      </c>
      <c r="O802" s="141" t="s">
        <v>15</v>
      </c>
      <c r="P802" s="117"/>
      <c r="Q802" s="407">
        <v>46038</v>
      </c>
      <c r="R802" s="40" t="s">
        <v>445</v>
      </c>
      <c r="S802" s="208"/>
      <c r="T802" s="357"/>
      <c r="U802" s="84"/>
      <c r="V802" s="84"/>
      <c r="W802" s="84"/>
      <c r="X802" s="84"/>
      <c r="Y802" s="84"/>
      <c r="Z802" s="84"/>
      <c r="AA802" s="81"/>
      <c r="AB802" s="81"/>
      <c r="AC802" s="81"/>
      <c r="AD802" s="81"/>
      <c r="AE802" s="81"/>
      <c r="AF802" s="81"/>
      <c r="AG802" s="81"/>
    </row>
    <row r="803" spans="1:33" ht="15.75" customHeight="1" x14ac:dyDescent="0.3">
      <c r="A803" s="104"/>
      <c r="B803" s="104"/>
      <c r="C803" s="74">
        <f t="shared" ca="1" si="10"/>
        <v>783</v>
      </c>
      <c r="D803" s="694" t="s">
        <v>410</v>
      </c>
      <c r="E803" s="286" t="s">
        <v>257</v>
      </c>
      <c r="F803" s="580" t="s">
        <v>457</v>
      </c>
      <c r="G803" s="353" t="s">
        <v>448</v>
      </c>
      <c r="H803" s="277"/>
      <c r="I803" s="247" t="s">
        <v>389</v>
      </c>
      <c r="J803" s="247" t="s">
        <v>261</v>
      </c>
      <c r="K803" s="247" t="s">
        <v>3233</v>
      </c>
      <c r="L803" s="141" t="s">
        <v>15</v>
      </c>
      <c r="M803" s="407">
        <v>46043</v>
      </c>
      <c r="N803" s="40" t="s">
        <v>4</v>
      </c>
      <c r="O803" s="141" t="s">
        <v>15</v>
      </c>
      <c r="P803" s="117"/>
      <c r="Q803" s="407">
        <v>46038</v>
      </c>
      <c r="R803" s="40" t="s">
        <v>445</v>
      </c>
      <c r="S803" s="208"/>
      <c r="T803" s="357"/>
      <c r="U803" s="84"/>
      <c r="V803" s="84"/>
      <c r="W803" s="84"/>
      <c r="X803" s="84"/>
      <c r="Y803" s="84"/>
      <c r="Z803" s="84"/>
      <c r="AA803" s="81"/>
      <c r="AB803" s="81"/>
      <c r="AC803" s="81"/>
      <c r="AD803" s="81"/>
      <c r="AE803" s="81"/>
      <c r="AF803" s="81"/>
      <c r="AG803" s="81"/>
    </row>
    <row r="804" spans="1:33" ht="15.75" customHeight="1" x14ac:dyDescent="0.3">
      <c r="A804" s="104"/>
      <c r="B804" s="104"/>
      <c r="C804" s="74">
        <f t="shared" ca="1" si="10"/>
        <v>784</v>
      </c>
      <c r="D804" s="636"/>
      <c r="E804" s="286" t="s">
        <v>237</v>
      </c>
      <c r="F804" s="580" t="s">
        <v>459</v>
      </c>
      <c r="G804" s="353" t="s">
        <v>448</v>
      </c>
      <c r="H804" s="277"/>
      <c r="I804" s="246"/>
      <c r="J804" s="247" t="s">
        <v>261</v>
      </c>
      <c r="K804" s="247" t="s">
        <v>3234</v>
      </c>
      <c r="L804" s="141" t="s">
        <v>15</v>
      </c>
      <c r="M804" s="407">
        <v>46043</v>
      </c>
      <c r="N804" s="40" t="s">
        <v>4</v>
      </c>
      <c r="O804" s="141" t="s">
        <v>158</v>
      </c>
      <c r="P804" s="117" t="s">
        <v>211</v>
      </c>
      <c r="Q804" s="407">
        <v>46038</v>
      </c>
      <c r="R804" s="40" t="s">
        <v>445</v>
      </c>
      <c r="S804" s="208" t="s">
        <v>3235</v>
      </c>
      <c r="T804" s="357"/>
      <c r="U804" s="84"/>
      <c r="V804" s="84"/>
      <c r="W804" s="84"/>
      <c r="X804" s="84"/>
      <c r="Y804" s="84"/>
      <c r="Z804" s="84"/>
      <c r="AA804" s="81"/>
      <c r="AB804" s="81"/>
      <c r="AC804" s="81"/>
      <c r="AD804" s="81"/>
      <c r="AE804" s="81"/>
      <c r="AF804" s="81"/>
      <c r="AG804" s="81"/>
    </row>
    <row r="805" spans="1:33" ht="15.75" customHeight="1" x14ac:dyDescent="0.3">
      <c r="A805" s="104"/>
      <c r="B805" s="104"/>
      <c r="C805" s="74">
        <f t="shared" ca="1" si="10"/>
        <v>785</v>
      </c>
      <c r="D805" s="635"/>
      <c r="E805" s="286" t="s">
        <v>237</v>
      </c>
      <c r="F805" s="580" t="s">
        <v>459</v>
      </c>
      <c r="G805" s="353" t="s">
        <v>448</v>
      </c>
      <c r="H805" s="277"/>
      <c r="I805" s="247" t="s">
        <v>440</v>
      </c>
      <c r="J805" s="247" t="s">
        <v>261</v>
      </c>
      <c r="K805" s="247" t="s">
        <v>3229</v>
      </c>
      <c r="L805" s="141" t="s">
        <v>15</v>
      </c>
      <c r="M805" s="407">
        <v>46043</v>
      </c>
      <c r="N805" s="40" t="s">
        <v>4</v>
      </c>
      <c r="O805" s="141" t="s">
        <v>15</v>
      </c>
      <c r="P805" s="117"/>
      <c r="Q805" s="407">
        <v>46038</v>
      </c>
      <c r="R805" s="40" t="s">
        <v>445</v>
      </c>
      <c r="S805" s="208"/>
      <c r="T805" s="357"/>
      <c r="U805" s="84"/>
      <c r="V805" s="84"/>
      <c r="W805" s="84"/>
      <c r="X805" s="84"/>
      <c r="Y805" s="84"/>
      <c r="Z805" s="84"/>
      <c r="AA805" s="81"/>
      <c r="AB805" s="81"/>
      <c r="AC805" s="81"/>
      <c r="AD805" s="81"/>
      <c r="AE805" s="81"/>
      <c r="AF805" s="81"/>
      <c r="AG805" s="81"/>
    </row>
    <row r="806" spans="1:33" ht="15.75" customHeight="1" x14ac:dyDescent="0.3">
      <c r="A806" s="104"/>
      <c r="B806" s="104"/>
      <c r="C806" s="74">
        <f t="shared" ca="1" si="10"/>
        <v>786</v>
      </c>
      <c r="D806" s="694" t="s">
        <v>411</v>
      </c>
      <c r="E806" s="286" t="s">
        <v>257</v>
      </c>
      <c r="F806" s="580" t="s">
        <v>457</v>
      </c>
      <c r="G806" s="353" t="s">
        <v>448</v>
      </c>
      <c r="H806" s="277"/>
      <c r="I806" s="247" t="s">
        <v>389</v>
      </c>
      <c r="J806" s="247" t="s">
        <v>261</v>
      </c>
      <c r="K806" s="247" t="s">
        <v>3236</v>
      </c>
      <c r="L806" s="141" t="s">
        <v>15</v>
      </c>
      <c r="M806" s="407">
        <v>46043</v>
      </c>
      <c r="N806" s="40" t="s">
        <v>4</v>
      </c>
      <c r="O806" s="141" t="s">
        <v>15</v>
      </c>
      <c r="P806" s="117"/>
      <c r="Q806" s="407">
        <v>46038</v>
      </c>
      <c r="R806" s="40" t="s">
        <v>445</v>
      </c>
      <c r="S806" s="208"/>
      <c r="T806" s="357"/>
      <c r="U806" s="84"/>
      <c r="V806" s="84"/>
      <c r="W806" s="84"/>
      <c r="X806" s="84"/>
      <c r="Y806" s="84"/>
      <c r="Z806" s="84"/>
      <c r="AA806" s="81"/>
      <c r="AB806" s="81"/>
      <c r="AC806" s="81"/>
      <c r="AD806" s="81"/>
      <c r="AE806" s="81"/>
      <c r="AF806" s="81"/>
      <c r="AG806" s="81"/>
    </row>
    <row r="807" spans="1:33" ht="15.75" customHeight="1" x14ac:dyDescent="0.3">
      <c r="A807" s="104"/>
      <c r="B807" s="104"/>
      <c r="C807" s="74">
        <f t="shared" ca="1" si="10"/>
        <v>787</v>
      </c>
      <c r="D807" s="636"/>
      <c r="E807" s="286" t="s">
        <v>237</v>
      </c>
      <c r="F807" s="580" t="s">
        <v>459</v>
      </c>
      <c r="G807" s="353" t="s">
        <v>448</v>
      </c>
      <c r="H807" s="277"/>
      <c r="I807" s="246"/>
      <c r="J807" s="247" t="s">
        <v>261</v>
      </c>
      <c r="K807" s="247" t="s">
        <v>3237</v>
      </c>
      <c r="L807" s="141" t="s">
        <v>15</v>
      </c>
      <c r="M807" s="407">
        <v>46043</v>
      </c>
      <c r="N807" s="40" t="s">
        <v>4</v>
      </c>
      <c r="O807" s="141" t="s">
        <v>158</v>
      </c>
      <c r="P807" s="117" t="s">
        <v>211</v>
      </c>
      <c r="Q807" s="407">
        <v>46038</v>
      </c>
      <c r="R807" s="40" t="s">
        <v>445</v>
      </c>
      <c r="S807" s="208" t="s">
        <v>3238</v>
      </c>
      <c r="T807" s="357"/>
      <c r="U807" s="84"/>
      <c r="V807" s="84"/>
      <c r="W807" s="84"/>
      <c r="X807" s="84"/>
      <c r="Y807" s="84"/>
      <c r="Z807" s="84"/>
      <c r="AA807" s="81"/>
      <c r="AB807" s="81"/>
      <c r="AC807" s="81"/>
      <c r="AD807" s="81"/>
      <c r="AE807" s="81"/>
      <c r="AF807" s="81"/>
      <c r="AG807" s="81"/>
    </row>
    <row r="808" spans="1:33" ht="15.75" customHeight="1" x14ac:dyDescent="0.3">
      <c r="A808" s="104"/>
      <c r="B808" s="104"/>
      <c r="C808" s="74">
        <f t="shared" ca="1" si="10"/>
        <v>788</v>
      </c>
      <c r="D808" s="635"/>
      <c r="E808" s="286" t="s">
        <v>237</v>
      </c>
      <c r="F808" s="580" t="s">
        <v>459</v>
      </c>
      <c r="G808" s="353" t="s">
        <v>448</v>
      </c>
      <c r="H808" s="277"/>
      <c r="I808" s="247" t="s">
        <v>440</v>
      </c>
      <c r="J808" s="247" t="s">
        <v>261</v>
      </c>
      <c r="K808" s="247" t="s">
        <v>3229</v>
      </c>
      <c r="L808" s="141" t="s">
        <v>15</v>
      </c>
      <c r="M808" s="407">
        <v>46043</v>
      </c>
      <c r="N808" s="40" t="s">
        <v>4</v>
      </c>
      <c r="O808" s="141" t="s">
        <v>15</v>
      </c>
      <c r="P808" s="117"/>
      <c r="Q808" s="407">
        <v>46038</v>
      </c>
      <c r="R808" s="40" t="s">
        <v>445</v>
      </c>
      <c r="S808" s="208"/>
      <c r="T808" s="357"/>
      <c r="U808" s="84"/>
      <c r="V808" s="84"/>
      <c r="W808" s="84"/>
      <c r="X808" s="84"/>
      <c r="Y808" s="84"/>
      <c r="Z808" s="84"/>
      <c r="AA808" s="81"/>
      <c r="AB808" s="81"/>
      <c r="AC808" s="81"/>
      <c r="AD808" s="81"/>
      <c r="AE808" s="81"/>
      <c r="AF808" s="81"/>
      <c r="AG808" s="81"/>
    </row>
    <row r="809" spans="1:33" ht="15.75" customHeight="1" x14ac:dyDescent="0.3">
      <c r="A809" s="104"/>
      <c r="B809" s="104"/>
      <c r="C809" s="74">
        <f t="shared" ca="1" si="10"/>
        <v>789</v>
      </c>
      <c r="D809" s="694" t="s">
        <v>412</v>
      </c>
      <c r="E809" s="286" t="s">
        <v>257</v>
      </c>
      <c r="F809" s="580" t="s">
        <v>457</v>
      </c>
      <c r="G809" s="353" t="s">
        <v>448</v>
      </c>
      <c r="H809" s="277"/>
      <c r="I809" s="247" t="s">
        <v>389</v>
      </c>
      <c r="J809" s="247" t="s">
        <v>261</v>
      </c>
      <c r="K809" s="247" t="s">
        <v>3239</v>
      </c>
      <c r="L809" s="141" t="s">
        <v>15</v>
      </c>
      <c r="M809" s="407">
        <v>46043</v>
      </c>
      <c r="N809" s="40" t="s">
        <v>4</v>
      </c>
      <c r="O809" s="141" t="s">
        <v>15</v>
      </c>
      <c r="P809" s="117"/>
      <c r="Q809" s="407">
        <v>46038</v>
      </c>
      <c r="R809" s="40" t="s">
        <v>445</v>
      </c>
      <c r="S809" s="208"/>
      <c r="T809" s="357"/>
      <c r="U809" s="84"/>
      <c r="V809" s="84"/>
      <c r="W809" s="84"/>
      <c r="X809" s="84"/>
      <c r="Y809" s="84"/>
      <c r="Z809" s="84"/>
      <c r="AA809" s="81"/>
      <c r="AB809" s="81"/>
      <c r="AC809" s="81"/>
      <c r="AD809" s="81"/>
      <c r="AE809" s="81"/>
      <c r="AF809" s="81"/>
      <c r="AG809" s="81"/>
    </row>
    <row r="810" spans="1:33" ht="15.75" customHeight="1" x14ac:dyDescent="0.3">
      <c r="A810" s="104"/>
      <c r="B810" s="104"/>
      <c r="C810" s="74">
        <f t="shared" ca="1" si="10"/>
        <v>790</v>
      </c>
      <c r="D810" s="636"/>
      <c r="E810" s="286" t="s">
        <v>237</v>
      </c>
      <c r="F810" s="580" t="s">
        <v>459</v>
      </c>
      <c r="G810" s="353" t="s">
        <v>448</v>
      </c>
      <c r="H810" s="277"/>
      <c r="I810" s="246"/>
      <c r="J810" s="247" t="s">
        <v>261</v>
      </c>
      <c r="K810" s="247" t="s">
        <v>3240</v>
      </c>
      <c r="L810" s="141" t="s">
        <v>15</v>
      </c>
      <c r="M810" s="407">
        <v>46043</v>
      </c>
      <c r="N810" s="40" t="s">
        <v>4</v>
      </c>
      <c r="O810" s="141" t="s">
        <v>158</v>
      </c>
      <c r="P810" s="117" t="s">
        <v>211</v>
      </c>
      <c r="Q810" s="407">
        <v>46038</v>
      </c>
      <c r="R810" s="40" t="s">
        <v>445</v>
      </c>
      <c r="S810" s="208" t="s">
        <v>3241</v>
      </c>
      <c r="T810" s="357"/>
      <c r="U810" s="84"/>
      <c r="V810" s="84"/>
      <c r="W810" s="84"/>
      <c r="X810" s="84"/>
      <c r="Y810" s="84"/>
      <c r="Z810" s="84"/>
      <c r="AA810" s="81"/>
      <c r="AB810" s="81"/>
      <c r="AC810" s="81"/>
      <c r="AD810" s="81"/>
      <c r="AE810" s="81"/>
      <c r="AF810" s="81"/>
      <c r="AG810" s="81"/>
    </row>
    <row r="811" spans="1:33" ht="15.75" customHeight="1" x14ac:dyDescent="0.3">
      <c r="A811" s="104"/>
      <c r="B811" s="104"/>
      <c r="C811" s="74">
        <f t="shared" ca="1" si="10"/>
        <v>791</v>
      </c>
      <c r="D811" s="635"/>
      <c r="E811" s="286" t="s">
        <v>237</v>
      </c>
      <c r="F811" s="580" t="s">
        <v>459</v>
      </c>
      <c r="G811" s="353" t="s">
        <v>448</v>
      </c>
      <c r="H811" s="277"/>
      <c r="I811" s="247" t="s">
        <v>440</v>
      </c>
      <c r="J811" s="247" t="s">
        <v>261</v>
      </c>
      <c r="K811" s="247" t="s">
        <v>3229</v>
      </c>
      <c r="L811" s="141" t="s">
        <v>15</v>
      </c>
      <c r="M811" s="407">
        <v>46043</v>
      </c>
      <c r="N811" s="40" t="s">
        <v>4</v>
      </c>
      <c r="O811" s="141" t="s">
        <v>15</v>
      </c>
      <c r="P811" s="117"/>
      <c r="Q811" s="407">
        <v>46038</v>
      </c>
      <c r="R811" s="40" t="s">
        <v>445</v>
      </c>
      <c r="S811" s="208"/>
      <c r="T811" s="357"/>
      <c r="U811" s="84"/>
      <c r="V811" s="84"/>
      <c r="W811" s="84"/>
      <c r="X811" s="84"/>
      <c r="Y811" s="84"/>
      <c r="Z811" s="84"/>
      <c r="AA811" s="81"/>
      <c r="AB811" s="81"/>
      <c r="AC811" s="81"/>
      <c r="AD811" s="81"/>
      <c r="AE811" s="81"/>
      <c r="AF811" s="81"/>
      <c r="AG811" s="81"/>
    </row>
    <row r="812" spans="1:33" ht="15.75" customHeight="1" x14ac:dyDescent="0.3">
      <c r="A812" s="104"/>
      <c r="B812" s="104"/>
      <c r="C812" s="74">
        <f t="shared" ca="1" si="10"/>
        <v>792</v>
      </c>
      <c r="D812" s="694" t="s">
        <v>413</v>
      </c>
      <c r="E812" s="286" t="s">
        <v>257</v>
      </c>
      <c r="F812" s="580" t="s">
        <v>457</v>
      </c>
      <c r="G812" s="353" t="s">
        <v>448</v>
      </c>
      <c r="H812" s="277"/>
      <c r="I812" s="247" t="s">
        <v>389</v>
      </c>
      <c r="J812" s="247" t="s">
        <v>261</v>
      </c>
      <c r="K812" s="247" t="s">
        <v>3242</v>
      </c>
      <c r="L812" s="141" t="s">
        <v>15</v>
      </c>
      <c r="M812" s="407">
        <v>46043</v>
      </c>
      <c r="N812" s="40" t="s">
        <v>4</v>
      </c>
      <c r="O812" s="141" t="s">
        <v>15</v>
      </c>
      <c r="P812" s="117"/>
      <c r="Q812" s="407">
        <v>46038</v>
      </c>
      <c r="R812" s="40" t="s">
        <v>445</v>
      </c>
      <c r="S812" s="208"/>
      <c r="T812" s="357"/>
      <c r="U812" s="84"/>
      <c r="V812" s="84"/>
      <c r="W812" s="84"/>
      <c r="X812" s="84"/>
      <c r="Y812" s="84"/>
      <c r="Z812" s="84"/>
      <c r="AA812" s="81"/>
      <c r="AB812" s="81"/>
      <c r="AC812" s="81"/>
      <c r="AD812" s="81"/>
      <c r="AE812" s="81"/>
      <c r="AF812" s="81"/>
      <c r="AG812" s="81"/>
    </row>
    <row r="813" spans="1:33" ht="15.75" customHeight="1" x14ac:dyDescent="0.3">
      <c r="A813" s="104"/>
      <c r="B813" s="104"/>
      <c r="C813" s="74">
        <f t="shared" ca="1" si="10"/>
        <v>793</v>
      </c>
      <c r="D813" s="636"/>
      <c r="E813" s="286" t="s">
        <v>237</v>
      </c>
      <c r="F813" s="580" t="s">
        <v>459</v>
      </c>
      <c r="G813" s="353" t="s">
        <v>448</v>
      </c>
      <c r="H813" s="277"/>
      <c r="I813" s="246"/>
      <c r="J813" s="247" t="s">
        <v>261</v>
      </c>
      <c r="K813" s="247" t="s">
        <v>3243</v>
      </c>
      <c r="L813" s="141" t="s">
        <v>15</v>
      </c>
      <c r="M813" s="407">
        <v>46043</v>
      </c>
      <c r="N813" s="40" t="s">
        <v>4</v>
      </c>
      <c r="O813" s="141" t="s">
        <v>158</v>
      </c>
      <c r="P813" s="117" t="s">
        <v>211</v>
      </c>
      <c r="Q813" s="407">
        <v>46038</v>
      </c>
      <c r="R813" s="40" t="s">
        <v>445</v>
      </c>
      <c r="S813" s="208" t="s">
        <v>3244</v>
      </c>
      <c r="T813" s="357"/>
      <c r="U813" s="84"/>
      <c r="V813" s="84"/>
      <c r="W813" s="84"/>
      <c r="X813" s="84"/>
      <c r="Y813" s="84"/>
      <c r="Z813" s="84"/>
      <c r="AA813" s="81"/>
      <c r="AB813" s="81"/>
      <c r="AC813" s="81"/>
      <c r="AD813" s="81"/>
      <c r="AE813" s="81"/>
      <c r="AF813" s="81"/>
      <c r="AG813" s="81"/>
    </row>
    <row r="814" spans="1:33" ht="15.75" customHeight="1" x14ac:dyDescent="0.3">
      <c r="A814" s="104"/>
      <c r="B814" s="104"/>
      <c r="C814" s="74">
        <f t="shared" ca="1" si="10"/>
        <v>794</v>
      </c>
      <c r="D814" s="635"/>
      <c r="E814" s="286" t="s">
        <v>237</v>
      </c>
      <c r="F814" s="580" t="s">
        <v>459</v>
      </c>
      <c r="G814" s="353" t="s">
        <v>448</v>
      </c>
      <c r="H814" s="277"/>
      <c r="I814" s="247" t="s">
        <v>440</v>
      </c>
      <c r="J814" s="247" t="s">
        <v>261</v>
      </c>
      <c r="K814" s="247" t="s">
        <v>3229</v>
      </c>
      <c r="L814" s="141" t="s">
        <v>15</v>
      </c>
      <c r="M814" s="407">
        <v>46043</v>
      </c>
      <c r="N814" s="40" t="s">
        <v>4</v>
      </c>
      <c r="O814" s="141" t="s">
        <v>15</v>
      </c>
      <c r="P814" s="117"/>
      <c r="Q814" s="407">
        <v>46038</v>
      </c>
      <c r="R814" s="40" t="s">
        <v>445</v>
      </c>
      <c r="S814" s="208"/>
      <c r="T814" s="357"/>
      <c r="U814" s="84"/>
      <c r="V814" s="84"/>
      <c r="W814" s="84"/>
      <c r="X814" s="84"/>
      <c r="Y814" s="84"/>
      <c r="Z814" s="84"/>
      <c r="AA814" s="81"/>
      <c r="AB814" s="81"/>
      <c r="AC814" s="81"/>
      <c r="AD814" s="81"/>
      <c r="AE814" s="81"/>
      <c r="AF814" s="81"/>
      <c r="AG814" s="81"/>
    </row>
    <row r="815" spans="1:33" ht="15.75" customHeight="1" x14ac:dyDescent="0.3">
      <c r="A815" s="104"/>
      <c r="B815" s="104"/>
      <c r="C815" s="74">
        <f t="shared" ca="1" si="10"/>
        <v>795</v>
      </c>
      <c r="D815" s="694" t="s">
        <v>414</v>
      </c>
      <c r="E815" s="286" t="s">
        <v>257</v>
      </c>
      <c r="F815" s="580" t="s">
        <v>457</v>
      </c>
      <c r="G815" s="353" t="s">
        <v>448</v>
      </c>
      <c r="H815" s="277"/>
      <c r="I815" s="247" t="s">
        <v>389</v>
      </c>
      <c r="J815" s="247" t="s">
        <v>261</v>
      </c>
      <c r="K815" s="247" t="s">
        <v>3245</v>
      </c>
      <c r="L815" s="141" t="s">
        <v>15</v>
      </c>
      <c r="M815" s="407">
        <v>46043</v>
      </c>
      <c r="N815" s="40" t="s">
        <v>4</v>
      </c>
      <c r="O815" s="141" t="s">
        <v>15</v>
      </c>
      <c r="P815" s="117"/>
      <c r="Q815" s="407">
        <v>46038</v>
      </c>
      <c r="R815" s="40" t="s">
        <v>445</v>
      </c>
      <c r="S815" s="208"/>
      <c r="T815" s="357"/>
      <c r="U815" s="84"/>
      <c r="V815" s="84"/>
      <c r="W815" s="84"/>
      <c r="X815" s="84"/>
      <c r="Y815" s="84"/>
      <c r="Z815" s="84"/>
      <c r="AA815" s="81"/>
      <c r="AB815" s="81"/>
      <c r="AC815" s="81"/>
      <c r="AD815" s="81"/>
      <c r="AE815" s="81"/>
      <c r="AF815" s="81"/>
      <c r="AG815" s="81"/>
    </row>
    <row r="816" spans="1:33" ht="15.75" customHeight="1" x14ac:dyDescent="0.3">
      <c r="A816" s="104"/>
      <c r="B816" s="104"/>
      <c r="C816" s="74">
        <f t="shared" ca="1" si="10"/>
        <v>796</v>
      </c>
      <c r="D816" s="636"/>
      <c r="E816" s="286" t="s">
        <v>237</v>
      </c>
      <c r="F816" s="580" t="s">
        <v>459</v>
      </c>
      <c r="G816" s="353" t="s">
        <v>448</v>
      </c>
      <c r="H816" s="277"/>
      <c r="I816" s="246"/>
      <c r="J816" s="247" t="s">
        <v>261</v>
      </c>
      <c r="K816" s="247" t="s">
        <v>3246</v>
      </c>
      <c r="L816" s="141" t="s">
        <v>15</v>
      </c>
      <c r="M816" s="407">
        <v>46043</v>
      </c>
      <c r="N816" s="40" t="s">
        <v>4</v>
      </c>
      <c r="O816" s="141" t="s">
        <v>158</v>
      </c>
      <c r="P816" s="117" t="s">
        <v>211</v>
      </c>
      <c r="Q816" s="407">
        <v>46038</v>
      </c>
      <c r="R816" s="40" t="s">
        <v>445</v>
      </c>
      <c r="S816" s="208" t="s">
        <v>3247</v>
      </c>
      <c r="T816" s="357"/>
      <c r="U816" s="84"/>
      <c r="V816" s="84"/>
      <c r="W816" s="84"/>
      <c r="X816" s="84"/>
      <c r="Y816" s="84"/>
      <c r="Z816" s="84"/>
      <c r="AA816" s="81"/>
      <c r="AB816" s="81"/>
      <c r="AC816" s="81"/>
      <c r="AD816" s="81"/>
      <c r="AE816" s="81"/>
      <c r="AF816" s="81"/>
      <c r="AG816" s="81"/>
    </row>
    <row r="817" spans="1:33" ht="15.75" customHeight="1" x14ac:dyDescent="0.3">
      <c r="A817" s="104"/>
      <c r="B817" s="104"/>
      <c r="C817" s="74">
        <f t="shared" ca="1" si="10"/>
        <v>797</v>
      </c>
      <c r="D817" s="636"/>
      <c r="E817" s="286" t="s">
        <v>237</v>
      </c>
      <c r="F817" s="580" t="s">
        <v>459</v>
      </c>
      <c r="G817" s="353" t="s">
        <v>448</v>
      </c>
      <c r="H817" s="277"/>
      <c r="I817" s="247" t="s">
        <v>440</v>
      </c>
      <c r="J817" s="247" t="s">
        <v>261</v>
      </c>
      <c r="K817" s="247" t="s">
        <v>3229</v>
      </c>
      <c r="L817" s="141" t="s">
        <v>15</v>
      </c>
      <c r="M817" s="407">
        <v>46043</v>
      </c>
      <c r="N817" s="40" t="s">
        <v>4</v>
      </c>
      <c r="O817" s="141" t="s">
        <v>15</v>
      </c>
      <c r="P817" s="117"/>
      <c r="Q817" s="407">
        <v>46038</v>
      </c>
      <c r="R817" s="40" t="s">
        <v>445</v>
      </c>
      <c r="S817" s="208"/>
      <c r="T817" s="357"/>
      <c r="U817" s="84"/>
      <c r="V817" s="84"/>
      <c r="W817" s="84"/>
      <c r="X817" s="84"/>
      <c r="Y817" s="84"/>
      <c r="Z817" s="84"/>
      <c r="AA817" s="81"/>
      <c r="AB817" s="81"/>
      <c r="AC817" s="81"/>
      <c r="AD817" s="81"/>
      <c r="AE817" s="81"/>
      <c r="AF817" s="81"/>
      <c r="AG817" s="81"/>
    </row>
    <row r="818" spans="1:33" ht="15.75" customHeight="1" x14ac:dyDescent="0.3">
      <c r="A818" s="104"/>
      <c r="B818" s="104"/>
      <c r="C818" s="74">
        <f t="shared" ca="1" si="10"/>
        <v>798</v>
      </c>
      <c r="D818" s="636"/>
      <c r="E818" s="286" t="s">
        <v>237</v>
      </c>
      <c r="F818" s="580" t="s">
        <v>459</v>
      </c>
      <c r="G818" s="353" t="s">
        <v>448</v>
      </c>
      <c r="H818" s="277"/>
      <c r="I818" s="240" t="s">
        <v>3248</v>
      </c>
      <c r="J818" s="247" t="s">
        <v>261</v>
      </c>
      <c r="K818" s="247" t="s">
        <v>3249</v>
      </c>
      <c r="L818" s="141" t="s">
        <v>15</v>
      </c>
      <c r="M818" s="407">
        <v>46043</v>
      </c>
      <c r="N818" s="40" t="s">
        <v>4</v>
      </c>
      <c r="O818" s="141" t="s">
        <v>15</v>
      </c>
      <c r="P818" s="117"/>
      <c r="Q818" s="407">
        <v>46038</v>
      </c>
      <c r="R818" s="40" t="s">
        <v>445</v>
      </c>
      <c r="S818" s="208"/>
      <c r="T818" s="357"/>
      <c r="U818" s="84"/>
      <c r="V818" s="84"/>
      <c r="W818" s="84"/>
      <c r="X818" s="84"/>
      <c r="Y818" s="84"/>
      <c r="Z818" s="84"/>
      <c r="AA818" s="81"/>
      <c r="AB818" s="81"/>
      <c r="AC818" s="81"/>
      <c r="AD818" s="81"/>
      <c r="AE818" s="81"/>
      <c r="AF818" s="81"/>
      <c r="AG818" s="81"/>
    </row>
    <row r="819" spans="1:33" ht="15.75" customHeight="1" x14ac:dyDescent="0.3">
      <c r="A819" s="104"/>
      <c r="B819" s="104"/>
      <c r="C819" s="74">
        <f t="shared" ca="1" si="10"/>
        <v>799</v>
      </c>
      <c r="D819" s="635"/>
      <c r="E819" s="286" t="s">
        <v>237</v>
      </c>
      <c r="F819" s="580" t="s">
        <v>459</v>
      </c>
      <c r="G819" s="353" t="s">
        <v>448</v>
      </c>
      <c r="H819" s="277"/>
      <c r="I819" s="240" t="s">
        <v>3250</v>
      </c>
      <c r="J819" s="247" t="s">
        <v>261</v>
      </c>
      <c r="K819" s="247" t="s">
        <v>3251</v>
      </c>
      <c r="L819" s="141" t="s">
        <v>15</v>
      </c>
      <c r="M819" s="407">
        <v>46043</v>
      </c>
      <c r="N819" s="40" t="s">
        <v>4</v>
      </c>
      <c r="O819" s="141" t="s">
        <v>15</v>
      </c>
      <c r="P819" s="117"/>
      <c r="Q819" s="407">
        <v>46038</v>
      </c>
      <c r="R819" s="40" t="s">
        <v>445</v>
      </c>
      <c r="S819" s="208"/>
      <c r="T819" s="357"/>
      <c r="U819" s="84"/>
      <c r="V819" s="84"/>
      <c r="W819" s="84"/>
      <c r="X819" s="84"/>
      <c r="Y819" s="84"/>
      <c r="Z819" s="84"/>
      <c r="AA819" s="81"/>
      <c r="AB819" s="81"/>
      <c r="AC819" s="81"/>
      <c r="AD819" s="81"/>
      <c r="AE819" s="81"/>
      <c r="AF819" s="81"/>
      <c r="AG819" s="81"/>
    </row>
    <row r="820" spans="1:33" ht="15.75" customHeight="1" x14ac:dyDescent="0.3">
      <c r="A820" s="104"/>
      <c r="B820" s="104"/>
      <c r="C820" s="74">
        <f t="shared" ca="1" si="10"/>
        <v>800</v>
      </c>
      <c r="D820" s="581" t="s">
        <v>392</v>
      </c>
      <c r="E820" s="286" t="s">
        <v>257</v>
      </c>
      <c r="F820" s="580" t="s">
        <v>457</v>
      </c>
      <c r="G820" s="353" t="s">
        <v>448</v>
      </c>
      <c r="H820" s="277"/>
      <c r="I820" s="247" t="s">
        <v>389</v>
      </c>
      <c r="J820" s="247" t="s">
        <v>261</v>
      </c>
      <c r="K820" s="247" t="s">
        <v>3122</v>
      </c>
      <c r="L820" s="141" t="s">
        <v>15</v>
      </c>
      <c r="M820" s="407">
        <v>46043</v>
      </c>
      <c r="N820" s="40" t="s">
        <v>4</v>
      </c>
      <c r="O820" s="141" t="s">
        <v>15</v>
      </c>
      <c r="P820" s="117"/>
      <c r="Q820" s="407">
        <v>46038</v>
      </c>
      <c r="R820" s="40" t="s">
        <v>445</v>
      </c>
      <c r="S820" s="208"/>
      <c r="T820" s="357"/>
      <c r="U820" s="84"/>
      <c r="V820" s="84"/>
      <c r="W820" s="84"/>
      <c r="X820" s="84"/>
      <c r="Y820" s="84"/>
      <c r="Z820" s="84"/>
      <c r="AA820" s="81"/>
      <c r="AB820" s="81"/>
      <c r="AC820" s="81"/>
      <c r="AD820" s="81"/>
      <c r="AE820" s="81"/>
      <c r="AF820" s="81"/>
      <c r="AG820" s="81"/>
    </row>
    <row r="821" spans="1:33" ht="15.75" customHeight="1" x14ac:dyDescent="0.3">
      <c r="A821" s="104"/>
      <c r="B821" s="104"/>
      <c r="C821" s="74">
        <f t="shared" ca="1" si="10"/>
        <v>801</v>
      </c>
      <c r="D821" s="594"/>
      <c r="E821" s="581" t="s">
        <v>237</v>
      </c>
      <c r="F821" s="580" t="s">
        <v>459</v>
      </c>
      <c r="G821" s="353" t="s">
        <v>448</v>
      </c>
      <c r="H821" s="277"/>
      <c r="I821" s="246"/>
      <c r="J821" s="247" t="s">
        <v>261</v>
      </c>
      <c r="K821" s="247" t="s">
        <v>3123</v>
      </c>
      <c r="L821" s="141" t="s">
        <v>15</v>
      </c>
      <c r="M821" s="407">
        <v>46045</v>
      </c>
      <c r="N821" s="40" t="s">
        <v>4</v>
      </c>
      <c r="O821" s="141" t="s">
        <v>158</v>
      </c>
      <c r="P821" s="117" t="s">
        <v>211</v>
      </c>
      <c r="Q821" s="407">
        <v>46038</v>
      </c>
      <c r="R821" s="40" t="s">
        <v>445</v>
      </c>
      <c r="S821" s="208" t="s">
        <v>3252</v>
      </c>
      <c r="T821" s="357"/>
      <c r="U821" s="84"/>
      <c r="V821" s="84"/>
      <c r="W821" s="84"/>
      <c r="X821" s="84"/>
      <c r="Y821" s="84"/>
      <c r="Z821" s="84"/>
      <c r="AA821" s="81"/>
      <c r="AB821" s="81"/>
      <c r="AC821" s="81"/>
      <c r="AD821" s="81"/>
      <c r="AE821" s="81"/>
      <c r="AF821" s="81"/>
      <c r="AG821" s="81"/>
    </row>
    <row r="822" spans="1:33" ht="15.75" customHeight="1" x14ac:dyDescent="0.3">
      <c r="A822" s="104"/>
      <c r="B822" s="104"/>
      <c r="C822" s="74">
        <f t="shared" ca="1" si="10"/>
        <v>802</v>
      </c>
      <c r="D822" s="594"/>
      <c r="E822" s="594"/>
      <c r="F822" s="580" t="s">
        <v>459</v>
      </c>
      <c r="G822" s="353" t="s">
        <v>448</v>
      </c>
      <c r="H822" s="277"/>
      <c r="I822" s="247" t="s">
        <v>3125</v>
      </c>
      <c r="J822" s="247" t="s">
        <v>261</v>
      </c>
      <c r="K822" s="248" t="s">
        <v>3253</v>
      </c>
      <c r="L822" s="141" t="s">
        <v>15</v>
      </c>
      <c r="M822" s="407">
        <v>46045</v>
      </c>
      <c r="N822" s="40" t="s">
        <v>4</v>
      </c>
      <c r="O822" s="141" t="s">
        <v>15</v>
      </c>
      <c r="P822" s="117"/>
      <c r="Q822" s="407">
        <v>46038</v>
      </c>
      <c r="R822" s="40" t="s">
        <v>445</v>
      </c>
      <c r="S822" s="208"/>
      <c r="T822" s="357"/>
      <c r="U822" s="84"/>
      <c r="V822" s="84"/>
      <c r="W822" s="84"/>
      <c r="X822" s="84"/>
      <c r="Y822" s="84"/>
      <c r="Z822" s="84"/>
      <c r="AA822" s="81"/>
      <c r="AB822" s="81"/>
      <c r="AC822" s="81"/>
      <c r="AD822" s="81"/>
      <c r="AE822" s="81"/>
      <c r="AF822" s="81"/>
      <c r="AG822" s="81"/>
    </row>
    <row r="823" spans="1:33" ht="15.75" customHeight="1" x14ac:dyDescent="0.3">
      <c r="A823" s="104"/>
      <c r="B823" s="104"/>
      <c r="C823" s="74">
        <f t="shared" ca="1" si="10"/>
        <v>803</v>
      </c>
      <c r="D823" s="594"/>
      <c r="E823" s="594"/>
      <c r="F823" s="580" t="s">
        <v>459</v>
      </c>
      <c r="G823" s="353" t="s">
        <v>448</v>
      </c>
      <c r="H823" s="277"/>
      <c r="I823" s="247" t="s">
        <v>3128</v>
      </c>
      <c r="J823" s="247" t="s">
        <v>261</v>
      </c>
      <c r="K823" s="248" t="s">
        <v>3254</v>
      </c>
      <c r="L823" s="141" t="s">
        <v>15</v>
      </c>
      <c r="M823" s="407">
        <v>46045</v>
      </c>
      <c r="N823" s="40" t="s">
        <v>4</v>
      </c>
      <c r="O823" s="141" t="s">
        <v>15</v>
      </c>
      <c r="P823" s="117"/>
      <c r="Q823" s="407">
        <v>46038</v>
      </c>
      <c r="R823" s="40" t="s">
        <v>445</v>
      </c>
      <c r="S823" s="208"/>
      <c r="T823" s="357"/>
      <c r="U823" s="84"/>
      <c r="V823" s="84"/>
      <c r="W823" s="84"/>
      <c r="X823" s="84"/>
      <c r="Y823" s="84"/>
      <c r="Z823" s="84"/>
      <c r="AA823" s="81"/>
      <c r="AB823" s="81"/>
      <c r="AC823" s="81"/>
      <c r="AD823" s="81"/>
      <c r="AE823" s="81"/>
      <c r="AF823" s="81"/>
      <c r="AG823" s="81"/>
    </row>
    <row r="824" spans="1:33" ht="15.75" customHeight="1" x14ac:dyDescent="0.3">
      <c r="A824" s="104"/>
      <c r="B824" s="104"/>
      <c r="C824" s="74">
        <f t="shared" ca="1" si="10"/>
        <v>804</v>
      </c>
      <c r="D824" s="594"/>
      <c r="E824" s="594"/>
      <c r="F824" s="580" t="s">
        <v>459</v>
      </c>
      <c r="G824" s="353" t="s">
        <v>448</v>
      </c>
      <c r="H824" s="277"/>
      <c r="I824" s="247" t="s">
        <v>3130</v>
      </c>
      <c r="J824" s="247" t="s">
        <v>261</v>
      </c>
      <c r="K824" s="248" t="s">
        <v>3255</v>
      </c>
      <c r="L824" s="141" t="s">
        <v>15</v>
      </c>
      <c r="M824" s="407">
        <v>46045</v>
      </c>
      <c r="N824" s="40" t="s">
        <v>4</v>
      </c>
      <c r="O824" s="141" t="s">
        <v>15</v>
      </c>
      <c r="P824" s="117"/>
      <c r="Q824" s="407">
        <v>46038</v>
      </c>
      <c r="R824" s="40" t="s">
        <v>445</v>
      </c>
      <c r="S824" s="208"/>
      <c r="T824" s="357"/>
      <c r="U824" s="84"/>
      <c r="V824" s="84"/>
      <c r="W824" s="84"/>
      <c r="X824" s="84"/>
      <c r="Y824" s="84"/>
      <c r="Z824" s="84"/>
      <c r="AA824" s="81"/>
      <c r="AB824" s="81"/>
      <c r="AC824" s="81"/>
      <c r="AD824" s="81"/>
      <c r="AE824" s="81"/>
      <c r="AF824" s="81"/>
      <c r="AG824" s="81"/>
    </row>
    <row r="825" spans="1:33" ht="15.75" customHeight="1" x14ac:dyDescent="0.3">
      <c r="A825" s="104"/>
      <c r="B825" s="104"/>
      <c r="C825" s="74">
        <f t="shared" ca="1" si="10"/>
        <v>805</v>
      </c>
      <c r="D825" s="594"/>
      <c r="E825" s="594"/>
      <c r="F825" s="580" t="s">
        <v>459</v>
      </c>
      <c r="G825" s="353" t="s">
        <v>448</v>
      </c>
      <c r="H825" s="277"/>
      <c r="I825" s="247" t="s">
        <v>3132</v>
      </c>
      <c r="J825" s="247" t="s">
        <v>261</v>
      </c>
      <c r="K825" s="248" t="s">
        <v>3256</v>
      </c>
      <c r="L825" s="141" t="s">
        <v>15</v>
      </c>
      <c r="M825" s="407">
        <v>46045</v>
      </c>
      <c r="N825" s="40" t="s">
        <v>4</v>
      </c>
      <c r="O825" s="141" t="s">
        <v>15</v>
      </c>
      <c r="P825" s="117"/>
      <c r="Q825" s="407">
        <v>46038</v>
      </c>
      <c r="R825" s="40" t="s">
        <v>445</v>
      </c>
      <c r="S825" s="208"/>
      <c r="T825" s="357"/>
      <c r="U825" s="84"/>
      <c r="V825" s="84"/>
      <c r="W825" s="84"/>
      <c r="X825" s="84"/>
      <c r="Y825" s="84"/>
      <c r="Z825" s="84"/>
      <c r="AA825" s="81"/>
      <c r="AB825" s="81"/>
      <c r="AC825" s="81"/>
      <c r="AD825" s="81"/>
      <c r="AE825" s="81"/>
      <c r="AF825" s="81"/>
      <c r="AG825" s="81"/>
    </row>
    <row r="826" spans="1:33" ht="15.75" customHeight="1" x14ac:dyDescent="0.3">
      <c r="A826" s="104"/>
      <c r="B826" s="104"/>
      <c r="C826" s="74">
        <f t="shared" ca="1" si="10"/>
        <v>806</v>
      </c>
      <c r="D826" s="594"/>
      <c r="E826" s="594"/>
      <c r="F826" s="580" t="s">
        <v>459</v>
      </c>
      <c r="G826" s="353" t="s">
        <v>448</v>
      </c>
      <c r="H826" s="277"/>
      <c r="I826" s="247" t="s">
        <v>3134</v>
      </c>
      <c r="J826" s="247" t="s">
        <v>3257</v>
      </c>
      <c r="K826" s="248" t="s">
        <v>3258</v>
      </c>
      <c r="L826" s="141" t="s">
        <v>15</v>
      </c>
      <c r="M826" s="407">
        <v>46045</v>
      </c>
      <c r="N826" s="40" t="s">
        <v>4</v>
      </c>
      <c r="O826" s="141" t="s">
        <v>15</v>
      </c>
      <c r="P826" s="117"/>
      <c r="Q826" s="407">
        <v>46038</v>
      </c>
      <c r="R826" s="40" t="s">
        <v>445</v>
      </c>
      <c r="S826" s="208"/>
      <c r="T826" s="357"/>
      <c r="U826" s="84"/>
      <c r="V826" s="84"/>
      <c r="W826" s="84"/>
      <c r="X826" s="84"/>
      <c r="Y826" s="84"/>
      <c r="Z826" s="84"/>
      <c r="AA826" s="81"/>
      <c r="AB826" s="81"/>
      <c r="AC826" s="81"/>
      <c r="AD826" s="81"/>
      <c r="AE826" s="81"/>
      <c r="AF826" s="81"/>
      <c r="AG826" s="81"/>
    </row>
    <row r="827" spans="1:33" ht="15.75" customHeight="1" x14ac:dyDescent="0.3">
      <c r="A827" s="104"/>
      <c r="B827" s="104"/>
      <c r="C827" s="74">
        <f t="shared" ca="1" si="10"/>
        <v>807</v>
      </c>
      <c r="D827" s="594"/>
      <c r="E827" s="594"/>
      <c r="F827" s="580" t="s">
        <v>459</v>
      </c>
      <c r="G827" s="353" t="s">
        <v>448</v>
      </c>
      <c r="H827" s="277"/>
      <c r="I827" s="247" t="s">
        <v>3136</v>
      </c>
      <c r="J827" s="247" t="s">
        <v>3257</v>
      </c>
      <c r="K827" s="248" t="s">
        <v>3259</v>
      </c>
      <c r="L827" s="141" t="s">
        <v>15</v>
      </c>
      <c r="M827" s="407">
        <v>46045</v>
      </c>
      <c r="N827" s="40" t="s">
        <v>4</v>
      </c>
      <c r="O827" s="141" t="s">
        <v>15</v>
      </c>
      <c r="P827" s="117"/>
      <c r="Q827" s="407">
        <v>46038</v>
      </c>
      <c r="R827" s="40" t="s">
        <v>445</v>
      </c>
      <c r="S827" s="208"/>
      <c r="T827" s="357"/>
      <c r="U827" s="84"/>
      <c r="V827" s="84"/>
      <c r="W827" s="84"/>
      <c r="X827" s="84"/>
      <c r="Y827" s="84"/>
      <c r="Z827" s="84"/>
      <c r="AA827" s="81"/>
      <c r="AB827" s="81"/>
      <c r="AC827" s="81"/>
      <c r="AD827" s="81"/>
      <c r="AE827" s="81"/>
      <c r="AF827" s="81"/>
      <c r="AG827" s="81"/>
    </row>
    <row r="828" spans="1:33" ht="15.75" customHeight="1" x14ac:dyDescent="0.3">
      <c r="A828" s="104"/>
      <c r="B828" s="104"/>
      <c r="C828" s="74">
        <f t="shared" ca="1" si="10"/>
        <v>808</v>
      </c>
      <c r="D828" s="594"/>
      <c r="E828" s="594"/>
      <c r="F828" s="580" t="s">
        <v>459</v>
      </c>
      <c r="G828" s="353" t="s">
        <v>448</v>
      </c>
      <c r="H828" s="277"/>
      <c r="I828" s="247" t="s">
        <v>3138</v>
      </c>
      <c r="J828" s="247" t="s">
        <v>3257</v>
      </c>
      <c r="K828" s="248" t="s">
        <v>3260</v>
      </c>
      <c r="L828" s="141" t="s">
        <v>15</v>
      </c>
      <c r="M828" s="407">
        <v>46045</v>
      </c>
      <c r="N828" s="40" t="s">
        <v>4</v>
      </c>
      <c r="O828" s="141" t="s">
        <v>15</v>
      </c>
      <c r="P828" s="117"/>
      <c r="Q828" s="407">
        <v>46038</v>
      </c>
      <c r="R828" s="40" t="s">
        <v>445</v>
      </c>
      <c r="S828" s="208"/>
      <c r="T828" s="357"/>
      <c r="U828" s="84"/>
      <c r="V828" s="84"/>
      <c r="W828" s="84"/>
      <c r="X828" s="84"/>
      <c r="Y828" s="84"/>
      <c r="Z828" s="84"/>
      <c r="AA828" s="81"/>
      <c r="AB828" s="81"/>
      <c r="AC828" s="81"/>
      <c r="AD828" s="81"/>
      <c r="AE828" s="81"/>
      <c r="AF828" s="81"/>
      <c r="AG828" s="81"/>
    </row>
    <row r="829" spans="1:33" ht="15.75" customHeight="1" x14ac:dyDescent="0.3">
      <c r="A829" s="104"/>
      <c r="B829" s="104"/>
      <c r="C829" s="74">
        <f t="shared" ca="1" si="10"/>
        <v>809</v>
      </c>
      <c r="D829" s="594"/>
      <c r="E829" s="594"/>
      <c r="F829" s="580" t="s">
        <v>459</v>
      </c>
      <c r="G829" s="353" t="s">
        <v>448</v>
      </c>
      <c r="H829" s="277"/>
      <c r="I829" s="247" t="s">
        <v>3140</v>
      </c>
      <c r="J829" s="247" t="s">
        <v>3257</v>
      </c>
      <c r="K829" s="248" t="s">
        <v>3261</v>
      </c>
      <c r="L829" s="141" t="s">
        <v>15</v>
      </c>
      <c r="M829" s="407">
        <v>46045</v>
      </c>
      <c r="N829" s="40" t="s">
        <v>4</v>
      </c>
      <c r="O829" s="141" t="s">
        <v>15</v>
      </c>
      <c r="P829" s="117"/>
      <c r="Q829" s="407">
        <v>46038</v>
      </c>
      <c r="R829" s="40" t="s">
        <v>445</v>
      </c>
      <c r="S829" s="208"/>
      <c r="T829" s="357"/>
      <c r="U829" s="84"/>
      <c r="V829" s="84"/>
      <c r="W829" s="84"/>
      <c r="X829" s="84"/>
      <c r="Y829" s="84"/>
      <c r="Z829" s="84"/>
      <c r="AA829" s="81"/>
      <c r="AB829" s="81"/>
      <c r="AC829" s="81"/>
      <c r="AD829" s="81"/>
      <c r="AE829" s="81"/>
      <c r="AF829" s="81"/>
      <c r="AG829" s="81"/>
    </row>
    <row r="830" spans="1:33" ht="15.75" customHeight="1" x14ac:dyDescent="0.3">
      <c r="A830" s="104"/>
      <c r="B830" s="104"/>
      <c r="C830" s="74">
        <f t="shared" ca="1" si="10"/>
        <v>810</v>
      </c>
      <c r="D830" s="594"/>
      <c r="E830" s="594"/>
      <c r="F830" s="580" t="s">
        <v>459</v>
      </c>
      <c r="G830" s="353" t="s">
        <v>448</v>
      </c>
      <c r="H830" s="277"/>
      <c r="I830" s="247" t="s">
        <v>3142</v>
      </c>
      <c r="J830" s="247" t="s">
        <v>3257</v>
      </c>
      <c r="K830" s="248" t="s">
        <v>3262</v>
      </c>
      <c r="L830" s="141" t="s">
        <v>15</v>
      </c>
      <c r="M830" s="407">
        <v>46045</v>
      </c>
      <c r="N830" s="40" t="s">
        <v>4</v>
      </c>
      <c r="O830" s="141" t="s">
        <v>15</v>
      </c>
      <c r="P830" s="117"/>
      <c r="Q830" s="407">
        <v>46038</v>
      </c>
      <c r="R830" s="40" t="s">
        <v>445</v>
      </c>
      <c r="S830" s="208"/>
      <c r="T830" s="357"/>
      <c r="U830" s="84"/>
      <c r="V830" s="84"/>
      <c r="W830" s="84"/>
      <c r="X830" s="84"/>
      <c r="Y830" s="84"/>
      <c r="Z830" s="84"/>
      <c r="AA830" s="81"/>
      <c r="AB830" s="81"/>
      <c r="AC830" s="81"/>
      <c r="AD830" s="81"/>
      <c r="AE830" s="81"/>
      <c r="AF830" s="81"/>
      <c r="AG830" s="81"/>
    </row>
    <row r="831" spans="1:33" ht="15.75" customHeight="1" x14ac:dyDescent="0.3">
      <c r="A831" s="104"/>
      <c r="B831" s="104"/>
      <c r="C831" s="74">
        <f t="shared" ca="1" si="10"/>
        <v>811</v>
      </c>
      <c r="D831" s="594"/>
      <c r="E831" s="594"/>
      <c r="F831" s="580" t="s">
        <v>459</v>
      </c>
      <c r="G831" s="353" t="s">
        <v>448</v>
      </c>
      <c r="H831" s="277"/>
      <c r="I831" s="247" t="s">
        <v>3144</v>
      </c>
      <c r="J831" s="247" t="s">
        <v>3257</v>
      </c>
      <c r="K831" s="248" t="s">
        <v>3263</v>
      </c>
      <c r="L831" s="141" t="s">
        <v>15</v>
      </c>
      <c r="M831" s="407">
        <v>46045</v>
      </c>
      <c r="N831" s="40" t="s">
        <v>4</v>
      </c>
      <c r="O831" s="141" t="s">
        <v>15</v>
      </c>
      <c r="P831" s="117"/>
      <c r="Q831" s="407">
        <v>46038</v>
      </c>
      <c r="R831" s="40" t="s">
        <v>445</v>
      </c>
      <c r="S831" s="208"/>
      <c r="T831" s="357"/>
      <c r="U831" s="84"/>
      <c r="V831" s="84"/>
      <c r="W831" s="84"/>
      <c r="X831" s="84"/>
      <c r="Y831" s="84"/>
      <c r="Z831" s="84"/>
      <c r="AA831" s="81"/>
      <c r="AB831" s="81"/>
      <c r="AC831" s="81"/>
      <c r="AD831" s="81"/>
      <c r="AE831" s="81"/>
      <c r="AF831" s="81"/>
      <c r="AG831" s="81"/>
    </row>
    <row r="832" spans="1:33" ht="15.75" customHeight="1" x14ac:dyDescent="0.3">
      <c r="A832" s="104"/>
      <c r="B832" s="104"/>
      <c r="C832" s="74">
        <f t="shared" ca="1" si="10"/>
        <v>812</v>
      </c>
      <c r="D832" s="594"/>
      <c r="E832" s="594"/>
      <c r="F832" s="580" t="s">
        <v>459</v>
      </c>
      <c r="G832" s="353" t="s">
        <v>448</v>
      </c>
      <c r="H832" s="277"/>
      <c r="I832" s="247" t="s">
        <v>3146</v>
      </c>
      <c r="J832" s="247" t="s">
        <v>3257</v>
      </c>
      <c r="K832" s="248" t="s">
        <v>3264</v>
      </c>
      <c r="L832" s="141" t="s">
        <v>15</v>
      </c>
      <c r="M832" s="407">
        <v>46045</v>
      </c>
      <c r="N832" s="40" t="s">
        <v>4</v>
      </c>
      <c r="O832" s="141" t="s">
        <v>15</v>
      </c>
      <c r="P832" s="117"/>
      <c r="Q832" s="407">
        <v>46038</v>
      </c>
      <c r="R832" s="40" t="s">
        <v>445</v>
      </c>
      <c r="S832" s="208"/>
      <c r="T832" s="357"/>
      <c r="U832" s="84"/>
      <c r="V832" s="84"/>
      <c r="W832" s="84"/>
      <c r="X832" s="84"/>
      <c r="Y832" s="84"/>
      <c r="Z832" s="84"/>
      <c r="AA832" s="81"/>
      <c r="AB832" s="81"/>
      <c r="AC832" s="81"/>
      <c r="AD832" s="81"/>
      <c r="AE832" s="81"/>
      <c r="AF832" s="81"/>
      <c r="AG832" s="81"/>
    </row>
    <row r="833" spans="1:33" ht="15.75" customHeight="1" x14ac:dyDescent="0.3">
      <c r="A833" s="104"/>
      <c r="B833" s="104"/>
      <c r="C833" s="74">
        <f t="shared" ca="1" si="10"/>
        <v>813</v>
      </c>
      <c r="D833" s="594"/>
      <c r="E833" s="594"/>
      <c r="F833" s="580" t="s">
        <v>459</v>
      </c>
      <c r="G833" s="353" t="s">
        <v>448</v>
      </c>
      <c r="H833" s="277"/>
      <c r="I833" s="247" t="s">
        <v>3148</v>
      </c>
      <c r="J833" s="247" t="s">
        <v>3257</v>
      </c>
      <c r="K833" s="248" t="s">
        <v>3265</v>
      </c>
      <c r="L833" s="141" t="s">
        <v>15</v>
      </c>
      <c r="M833" s="407">
        <v>46045</v>
      </c>
      <c r="N833" s="40" t="s">
        <v>4</v>
      </c>
      <c r="O833" s="141" t="s">
        <v>15</v>
      </c>
      <c r="P833" s="117"/>
      <c r="Q833" s="407">
        <v>46038</v>
      </c>
      <c r="R833" s="40" t="s">
        <v>445</v>
      </c>
      <c r="S833" s="208"/>
      <c r="T833" s="357"/>
      <c r="U833" s="84"/>
      <c r="V833" s="84"/>
      <c r="W833" s="84"/>
      <c r="X833" s="84"/>
      <c r="Y833" s="84"/>
      <c r="Z833" s="84"/>
      <c r="AA833" s="81"/>
      <c r="AB833" s="81"/>
      <c r="AC833" s="81"/>
      <c r="AD833" s="81"/>
      <c r="AE833" s="81"/>
      <c r="AF833" s="81"/>
      <c r="AG833" s="81"/>
    </row>
    <row r="834" spans="1:33" ht="15.75" customHeight="1" x14ac:dyDescent="0.3">
      <c r="A834" s="104"/>
      <c r="B834" s="104"/>
      <c r="C834" s="74">
        <f t="shared" ca="1" si="10"/>
        <v>814</v>
      </c>
      <c r="D834" s="694" t="s">
        <v>393</v>
      </c>
      <c r="E834" s="286" t="s">
        <v>257</v>
      </c>
      <c r="F834" s="386" t="s">
        <v>457</v>
      </c>
      <c r="G834" s="318" t="s">
        <v>448</v>
      </c>
      <c r="H834" s="277"/>
      <c r="I834" s="247" t="s">
        <v>389</v>
      </c>
      <c r="J834" s="247" t="s">
        <v>261</v>
      </c>
      <c r="K834" s="247" t="s">
        <v>3105</v>
      </c>
      <c r="L834" s="141" t="s">
        <v>15</v>
      </c>
      <c r="M834" s="407">
        <v>46045</v>
      </c>
      <c r="N834" s="40" t="s">
        <v>4</v>
      </c>
      <c r="O834" s="141" t="s">
        <v>15</v>
      </c>
      <c r="P834" s="117"/>
      <c r="Q834" s="407">
        <v>46038</v>
      </c>
      <c r="R834" s="40" t="s">
        <v>445</v>
      </c>
      <c r="S834" s="208"/>
      <c r="T834" s="357"/>
      <c r="U834" s="84"/>
      <c r="V834" s="84"/>
      <c r="W834" s="84"/>
      <c r="X834" s="84"/>
      <c r="Y834" s="84"/>
      <c r="Z834" s="84"/>
      <c r="AA834" s="81"/>
      <c r="AB834" s="81"/>
      <c r="AC834" s="81"/>
      <c r="AD834" s="81"/>
      <c r="AE834" s="81"/>
      <c r="AF834" s="81"/>
      <c r="AG834" s="81"/>
    </row>
    <row r="835" spans="1:33" ht="15.75" customHeight="1" x14ac:dyDescent="0.3">
      <c r="A835" s="104"/>
      <c r="B835" s="104"/>
      <c r="C835" s="74">
        <f t="shared" ca="1" si="10"/>
        <v>815</v>
      </c>
      <c r="D835" s="636"/>
      <c r="E835" s="694" t="s">
        <v>237</v>
      </c>
      <c r="F835" s="386" t="s">
        <v>459</v>
      </c>
      <c r="G835" s="318" t="s">
        <v>448</v>
      </c>
      <c r="H835" s="277"/>
      <c r="I835" s="246"/>
      <c r="J835" s="247" t="s">
        <v>261</v>
      </c>
      <c r="K835" s="247" t="s">
        <v>3106</v>
      </c>
      <c r="L835" s="141" t="s">
        <v>15</v>
      </c>
      <c r="M835" s="407">
        <v>46045</v>
      </c>
      <c r="N835" s="40" t="s">
        <v>4</v>
      </c>
      <c r="O835" s="141" t="s">
        <v>158</v>
      </c>
      <c r="P835" s="117" t="s">
        <v>211</v>
      </c>
      <c r="Q835" s="407">
        <v>46038</v>
      </c>
      <c r="R835" s="40" t="s">
        <v>445</v>
      </c>
      <c r="S835" s="208" t="s">
        <v>3266</v>
      </c>
      <c r="T835" s="357"/>
      <c r="U835" s="84"/>
      <c r="V835" s="84"/>
      <c r="W835" s="84"/>
      <c r="X835" s="84"/>
      <c r="Y835" s="84"/>
      <c r="Z835" s="84"/>
      <c r="AA835" s="81"/>
      <c r="AB835" s="81"/>
      <c r="AC835" s="81"/>
      <c r="AD835" s="81"/>
      <c r="AE835" s="81"/>
      <c r="AF835" s="81"/>
      <c r="AG835" s="81"/>
    </row>
    <row r="836" spans="1:33" ht="15.75" customHeight="1" x14ac:dyDescent="0.3">
      <c r="A836" s="104"/>
      <c r="B836" s="104"/>
      <c r="C836" s="74">
        <f t="shared" ca="1" si="10"/>
        <v>816</v>
      </c>
      <c r="D836" s="636"/>
      <c r="E836" s="636"/>
      <c r="F836" s="386" t="s">
        <v>459</v>
      </c>
      <c r="G836" s="318" t="s">
        <v>448</v>
      </c>
      <c r="H836" s="277"/>
      <c r="I836" s="247" t="s">
        <v>3083</v>
      </c>
      <c r="J836" s="247" t="s">
        <v>261</v>
      </c>
      <c r="K836" s="247" t="s">
        <v>3084</v>
      </c>
      <c r="L836" s="141" t="s">
        <v>15</v>
      </c>
      <c r="M836" s="407">
        <v>46045</v>
      </c>
      <c r="N836" s="40" t="s">
        <v>4</v>
      </c>
      <c r="O836" s="141" t="s">
        <v>15</v>
      </c>
      <c r="P836" s="117"/>
      <c r="Q836" s="407">
        <v>46038</v>
      </c>
      <c r="R836" s="40" t="s">
        <v>445</v>
      </c>
      <c r="S836" s="208"/>
      <c r="T836" s="357"/>
      <c r="U836" s="84"/>
      <c r="V836" s="84"/>
      <c r="W836" s="84"/>
      <c r="X836" s="84"/>
      <c r="Y836" s="84"/>
      <c r="Z836" s="84"/>
      <c r="AA836" s="81"/>
      <c r="AB836" s="81"/>
      <c r="AC836" s="81"/>
      <c r="AD836" s="81"/>
      <c r="AE836" s="81"/>
      <c r="AF836" s="81"/>
      <c r="AG836" s="81"/>
    </row>
    <row r="837" spans="1:33" ht="15.75" customHeight="1" x14ac:dyDescent="0.3">
      <c r="A837" s="104"/>
      <c r="B837" s="104"/>
      <c r="C837" s="74">
        <f t="shared" ca="1" si="10"/>
        <v>817</v>
      </c>
      <c r="D837" s="636"/>
      <c r="E837" s="636"/>
      <c r="F837" s="386" t="s">
        <v>459</v>
      </c>
      <c r="G837" s="318" t="s">
        <v>448</v>
      </c>
      <c r="H837" s="277"/>
      <c r="I837" s="247" t="s">
        <v>3085</v>
      </c>
      <c r="J837" s="247" t="s">
        <v>261</v>
      </c>
      <c r="K837" s="247" t="s">
        <v>3086</v>
      </c>
      <c r="L837" s="141" t="s">
        <v>15</v>
      </c>
      <c r="M837" s="407">
        <v>46045</v>
      </c>
      <c r="N837" s="40" t="s">
        <v>4</v>
      </c>
      <c r="O837" s="141" t="s">
        <v>158</v>
      </c>
      <c r="P837" s="117" t="s">
        <v>211</v>
      </c>
      <c r="Q837" s="407">
        <v>46038</v>
      </c>
      <c r="R837" s="40" t="s">
        <v>445</v>
      </c>
      <c r="S837" s="208" t="s">
        <v>3267</v>
      </c>
      <c r="T837" s="357"/>
      <c r="U837" s="84"/>
      <c r="V837" s="84"/>
      <c r="W837" s="84"/>
      <c r="X837" s="84"/>
      <c r="Y837" s="84"/>
      <c r="Z837" s="84"/>
      <c r="AA837" s="81"/>
      <c r="AB837" s="81"/>
      <c r="AC837" s="81"/>
      <c r="AD837" s="81"/>
      <c r="AE837" s="81"/>
      <c r="AF837" s="81"/>
      <c r="AG837" s="81"/>
    </row>
    <row r="838" spans="1:33" ht="15.75" customHeight="1" x14ac:dyDescent="0.3">
      <c r="A838" s="104"/>
      <c r="B838" s="104"/>
      <c r="C838" s="74">
        <f t="shared" ca="1" si="10"/>
        <v>818</v>
      </c>
      <c r="D838" s="636"/>
      <c r="E838" s="636"/>
      <c r="F838" s="386" t="s">
        <v>459</v>
      </c>
      <c r="G838" s="318" t="s">
        <v>448</v>
      </c>
      <c r="H838" s="277"/>
      <c r="I838" s="248" t="s">
        <v>3109</v>
      </c>
      <c r="J838" s="247" t="s">
        <v>261</v>
      </c>
      <c r="K838" s="247" t="s">
        <v>3084</v>
      </c>
      <c r="L838" s="141" t="s">
        <v>15</v>
      </c>
      <c r="M838" s="407">
        <v>46045</v>
      </c>
      <c r="N838" s="40" t="s">
        <v>4</v>
      </c>
      <c r="O838" s="141" t="s">
        <v>15</v>
      </c>
      <c r="P838" s="117"/>
      <c r="Q838" s="407">
        <v>46038</v>
      </c>
      <c r="R838" s="40" t="s">
        <v>445</v>
      </c>
      <c r="S838" s="208"/>
      <c r="T838" s="357"/>
      <c r="U838" s="84"/>
      <c r="V838" s="84"/>
      <c r="W838" s="84"/>
      <c r="X838" s="84"/>
      <c r="Y838" s="84"/>
      <c r="Z838" s="84"/>
      <c r="AA838" s="81"/>
      <c r="AB838" s="81"/>
      <c r="AC838" s="81"/>
      <c r="AD838" s="81"/>
      <c r="AE838" s="81"/>
      <c r="AF838" s="81"/>
      <c r="AG838" s="81"/>
    </row>
    <row r="839" spans="1:33" ht="15.75" customHeight="1" x14ac:dyDescent="0.3">
      <c r="A839" s="104"/>
      <c r="B839" s="104"/>
      <c r="C839" s="74">
        <f t="shared" ca="1" si="10"/>
        <v>819</v>
      </c>
      <c r="D839" s="635"/>
      <c r="E839" s="635"/>
      <c r="F839" s="386" t="s">
        <v>459</v>
      </c>
      <c r="G839" s="318" t="s">
        <v>448</v>
      </c>
      <c r="H839" s="315"/>
      <c r="I839" s="382" t="s">
        <v>440</v>
      </c>
      <c r="J839" s="247" t="s">
        <v>261</v>
      </c>
      <c r="K839" s="247" t="s">
        <v>3089</v>
      </c>
      <c r="L839" s="141" t="s">
        <v>15</v>
      </c>
      <c r="M839" s="407">
        <v>46045</v>
      </c>
      <c r="N839" s="40" t="s">
        <v>4</v>
      </c>
      <c r="O839" s="141" t="s">
        <v>15</v>
      </c>
      <c r="P839" s="117"/>
      <c r="Q839" s="407">
        <v>46038</v>
      </c>
      <c r="R839" s="40" t="s">
        <v>445</v>
      </c>
      <c r="S839" s="208"/>
      <c r="T839" s="357"/>
      <c r="U839" s="84"/>
      <c r="V839" s="84"/>
      <c r="W839" s="84"/>
      <c r="X839" s="84"/>
      <c r="Y839" s="84"/>
      <c r="Z839" s="84"/>
      <c r="AA839" s="81"/>
      <c r="AB839" s="81"/>
      <c r="AC839" s="81"/>
      <c r="AD839" s="81"/>
      <c r="AE839" s="81"/>
      <c r="AF839" s="81"/>
      <c r="AG839" s="81"/>
    </row>
    <row r="840" spans="1:33" ht="15.75" customHeight="1" x14ac:dyDescent="0.3">
      <c r="A840" s="104"/>
      <c r="B840" s="104"/>
      <c r="C840" s="74">
        <f t="shared" ca="1" si="10"/>
        <v>820</v>
      </c>
      <c r="D840" s="673" t="s">
        <v>2306</v>
      </c>
      <c r="E840" s="314" t="s">
        <v>198</v>
      </c>
      <c r="F840" s="285" t="s">
        <v>3063</v>
      </c>
      <c r="G840" s="353" t="s">
        <v>448</v>
      </c>
      <c r="H840" s="246"/>
      <c r="I840" s="246"/>
      <c r="J840" s="240" t="s">
        <v>3064</v>
      </c>
      <c r="K840" s="276" t="s">
        <v>3193</v>
      </c>
      <c r="L840" s="141" t="s">
        <v>15</v>
      </c>
      <c r="M840" s="407">
        <v>46045</v>
      </c>
      <c r="N840" s="40" t="s">
        <v>4</v>
      </c>
      <c r="O840" s="141" t="s">
        <v>15</v>
      </c>
      <c r="P840" s="117"/>
      <c r="Q840" s="407">
        <v>46038</v>
      </c>
      <c r="R840" s="40" t="s">
        <v>445</v>
      </c>
      <c r="S840" s="208"/>
      <c r="T840" s="357"/>
      <c r="U840" s="84"/>
      <c r="V840" s="84"/>
      <c r="W840" s="84"/>
      <c r="X840" s="84"/>
      <c r="Y840" s="84"/>
      <c r="Z840" s="84"/>
      <c r="AA840" s="81"/>
      <c r="AB840" s="81"/>
      <c r="AC840" s="81"/>
      <c r="AD840" s="81"/>
      <c r="AE840" s="81"/>
      <c r="AF840" s="81"/>
      <c r="AG840" s="81"/>
    </row>
    <row r="841" spans="1:33" ht="15.75" customHeight="1" x14ac:dyDescent="0.3">
      <c r="A841" s="104"/>
      <c r="B841" s="104"/>
      <c r="C841" s="74">
        <f t="shared" ca="1" si="10"/>
        <v>821</v>
      </c>
      <c r="D841" s="636"/>
      <c r="E841" s="314" t="s">
        <v>216</v>
      </c>
      <c r="F841" s="285" t="s">
        <v>458</v>
      </c>
      <c r="G841" s="353" t="s">
        <v>448</v>
      </c>
      <c r="H841" s="246"/>
      <c r="I841" s="246"/>
      <c r="J841" s="240" t="s">
        <v>3194</v>
      </c>
      <c r="K841" s="273" t="s">
        <v>3268</v>
      </c>
      <c r="L841" s="141" t="s">
        <v>15</v>
      </c>
      <c r="M841" s="407">
        <v>46045</v>
      </c>
      <c r="N841" s="40" t="s">
        <v>4</v>
      </c>
      <c r="O841" s="141" t="s">
        <v>15</v>
      </c>
      <c r="P841" s="117"/>
      <c r="Q841" s="407">
        <v>46038</v>
      </c>
      <c r="R841" s="40" t="s">
        <v>445</v>
      </c>
      <c r="S841" s="208"/>
      <c r="T841" s="357"/>
      <c r="U841" s="84"/>
      <c r="V841" s="84"/>
      <c r="W841" s="84"/>
      <c r="X841" s="84"/>
      <c r="Y841" s="84"/>
      <c r="Z841" s="84"/>
      <c r="AA841" s="81"/>
      <c r="AB841" s="81"/>
      <c r="AC841" s="81"/>
      <c r="AD841" s="81"/>
      <c r="AE841" s="81"/>
      <c r="AF841" s="81"/>
      <c r="AG841" s="81"/>
    </row>
    <row r="842" spans="1:33" ht="15.75" customHeight="1" x14ac:dyDescent="0.3">
      <c r="A842" s="104"/>
      <c r="B842" s="104"/>
      <c r="C842" s="74">
        <f t="shared" ca="1" si="10"/>
        <v>822</v>
      </c>
      <c r="D842" s="635"/>
      <c r="E842" s="314"/>
      <c r="F842" s="285" t="s">
        <v>458</v>
      </c>
      <c r="G842" s="353" t="s">
        <v>448</v>
      </c>
      <c r="H842" s="246"/>
      <c r="I842" s="246"/>
      <c r="J842" s="240" t="s">
        <v>404</v>
      </c>
      <c r="K842" s="273" t="s">
        <v>2307</v>
      </c>
      <c r="L842" s="141" t="s">
        <v>15</v>
      </c>
      <c r="M842" s="407">
        <v>46045</v>
      </c>
      <c r="N842" s="40" t="s">
        <v>4</v>
      </c>
      <c r="O842" s="141" t="s">
        <v>158</v>
      </c>
      <c r="P842" s="117" t="s">
        <v>211</v>
      </c>
      <c r="Q842" s="407">
        <v>46038</v>
      </c>
      <c r="R842" s="40" t="s">
        <v>445</v>
      </c>
      <c r="S842" s="587" t="s">
        <v>3269</v>
      </c>
      <c r="T842" s="357"/>
      <c r="U842" s="84"/>
      <c r="V842" s="84"/>
      <c r="W842" s="84"/>
      <c r="X842" s="84"/>
      <c r="Y842" s="84"/>
      <c r="Z842" s="84"/>
      <c r="AA842" s="81"/>
      <c r="AB842" s="81"/>
      <c r="AC842" s="81"/>
      <c r="AD842" s="81"/>
      <c r="AE842" s="81"/>
      <c r="AF842" s="81"/>
      <c r="AG842" s="81"/>
    </row>
    <row r="843" spans="1:33" ht="15.75" customHeight="1" x14ac:dyDescent="0.3">
      <c r="A843" s="104"/>
      <c r="B843" s="104"/>
      <c r="C843" s="74">
        <f t="shared" ca="1" si="10"/>
        <v>823</v>
      </c>
      <c r="D843" s="694" t="s">
        <v>394</v>
      </c>
      <c r="E843" s="286" t="s">
        <v>257</v>
      </c>
      <c r="F843" s="386" t="s">
        <v>457</v>
      </c>
      <c r="G843" s="318" t="s">
        <v>448</v>
      </c>
      <c r="H843" s="277"/>
      <c r="I843" s="240" t="s">
        <v>389</v>
      </c>
      <c r="J843" s="240" t="s">
        <v>261</v>
      </c>
      <c r="K843" s="240" t="s">
        <v>3270</v>
      </c>
      <c r="L843" s="141" t="s">
        <v>15</v>
      </c>
      <c r="M843" s="407">
        <v>46045</v>
      </c>
      <c r="N843" s="40" t="s">
        <v>4</v>
      </c>
      <c r="O843" s="141" t="s">
        <v>15</v>
      </c>
      <c r="P843" s="117"/>
      <c r="Q843" s="407">
        <v>46038</v>
      </c>
      <c r="R843" s="40" t="s">
        <v>445</v>
      </c>
      <c r="S843" s="208"/>
      <c r="T843" s="357"/>
      <c r="U843" s="84"/>
      <c r="V843" s="84"/>
      <c r="W843" s="84"/>
      <c r="X843" s="84"/>
      <c r="Y843" s="84"/>
      <c r="Z843" s="84"/>
      <c r="AA843" s="81"/>
      <c r="AB843" s="81"/>
      <c r="AC843" s="81"/>
      <c r="AD843" s="81"/>
      <c r="AE843" s="81"/>
      <c r="AF843" s="81"/>
      <c r="AG843" s="81"/>
    </row>
    <row r="844" spans="1:33" ht="15.75" customHeight="1" x14ac:dyDescent="0.3">
      <c r="A844" s="104"/>
      <c r="B844" s="104"/>
      <c r="C844" s="74">
        <f t="shared" ca="1" si="10"/>
        <v>824</v>
      </c>
      <c r="D844" s="636"/>
      <c r="E844" s="286" t="s">
        <v>237</v>
      </c>
      <c r="F844" s="386" t="s">
        <v>459</v>
      </c>
      <c r="G844" s="318" t="s">
        <v>448</v>
      </c>
      <c r="H844" s="277"/>
      <c r="I844" s="277"/>
      <c r="J844" s="240" t="s">
        <v>261</v>
      </c>
      <c r="K844" s="239" t="s">
        <v>3271</v>
      </c>
      <c r="L844" s="141" t="s">
        <v>15</v>
      </c>
      <c r="M844" s="407">
        <v>46045</v>
      </c>
      <c r="N844" s="40" t="s">
        <v>4</v>
      </c>
      <c r="O844" s="141" t="s">
        <v>158</v>
      </c>
      <c r="P844" s="117" t="s">
        <v>211</v>
      </c>
      <c r="Q844" s="407">
        <v>46038</v>
      </c>
      <c r="R844" s="40" t="s">
        <v>445</v>
      </c>
      <c r="S844" s="208" t="s">
        <v>3272</v>
      </c>
      <c r="T844" s="357"/>
      <c r="U844" s="84"/>
      <c r="V844" s="84"/>
      <c r="W844" s="84"/>
      <c r="X844" s="84"/>
      <c r="Y844" s="84"/>
      <c r="Z844" s="84"/>
      <c r="AA844" s="81"/>
      <c r="AB844" s="81"/>
      <c r="AC844" s="81"/>
      <c r="AD844" s="81"/>
      <c r="AE844" s="81"/>
      <c r="AF844" s="81"/>
      <c r="AG844" s="81"/>
    </row>
    <row r="845" spans="1:33" ht="15.75" customHeight="1" x14ac:dyDescent="0.3">
      <c r="A845" s="104"/>
      <c r="B845" s="104"/>
      <c r="C845" s="74">
        <f t="shared" ca="1" si="10"/>
        <v>825</v>
      </c>
      <c r="D845" s="635"/>
      <c r="E845" s="286"/>
      <c r="F845" s="386" t="s">
        <v>459</v>
      </c>
      <c r="G845" s="318" t="s">
        <v>448</v>
      </c>
      <c r="H845" s="315"/>
      <c r="I845" s="286" t="s">
        <v>440</v>
      </c>
      <c r="J845" s="240" t="s">
        <v>261</v>
      </c>
      <c r="K845" s="240" t="s">
        <v>3089</v>
      </c>
      <c r="L845" s="141" t="s">
        <v>15</v>
      </c>
      <c r="M845" s="407">
        <v>46045</v>
      </c>
      <c r="N845" s="40" t="s">
        <v>4</v>
      </c>
      <c r="O845" s="141" t="s">
        <v>15</v>
      </c>
      <c r="P845" s="117"/>
      <c r="Q845" s="407">
        <v>46038</v>
      </c>
      <c r="R845" s="40" t="s">
        <v>445</v>
      </c>
      <c r="S845" s="208"/>
      <c r="T845" s="357"/>
      <c r="U845" s="84"/>
      <c r="V845" s="84"/>
      <c r="W845" s="84"/>
      <c r="X845" s="84"/>
      <c r="Y845" s="84"/>
      <c r="Z845" s="84"/>
      <c r="AA845" s="81"/>
      <c r="AB845" s="81"/>
      <c r="AC845" s="81"/>
      <c r="AD845" s="81"/>
      <c r="AE845" s="81"/>
      <c r="AF845" s="81"/>
      <c r="AG845" s="81"/>
    </row>
    <row r="846" spans="1:33" ht="15.75" customHeight="1" x14ac:dyDescent="0.3">
      <c r="A846" s="104"/>
      <c r="B846" s="104"/>
      <c r="C846" s="74">
        <f t="shared" ca="1" si="10"/>
        <v>826</v>
      </c>
      <c r="D846" s="694" t="s">
        <v>3273</v>
      </c>
      <c r="E846" s="286" t="s">
        <v>257</v>
      </c>
      <c r="F846" s="386" t="s">
        <v>457</v>
      </c>
      <c r="G846" s="318" t="s">
        <v>448</v>
      </c>
      <c r="H846" s="277"/>
      <c r="I846" s="247" t="s">
        <v>389</v>
      </c>
      <c r="J846" s="247" t="s">
        <v>261</v>
      </c>
      <c r="K846" s="247" t="s">
        <v>3274</v>
      </c>
      <c r="L846" s="141" t="s">
        <v>15</v>
      </c>
      <c r="M846" s="407">
        <v>46045</v>
      </c>
      <c r="N846" s="40" t="s">
        <v>4</v>
      </c>
      <c r="O846" s="141" t="s">
        <v>15</v>
      </c>
      <c r="P846" s="117"/>
      <c r="Q846" s="407">
        <v>46038</v>
      </c>
      <c r="R846" s="40" t="s">
        <v>445</v>
      </c>
      <c r="S846" s="208"/>
      <c r="T846" s="357"/>
      <c r="U846" s="84"/>
      <c r="V846" s="84"/>
      <c r="W846" s="84"/>
      <c r="X846" s="84"/>
      <c r="Y846" s="84"/>
      <c r="Z846" s="84"/>
      <c r="AA846" s="81"/>
      <c r="AB846" s="81"/>
      <c r="AC846" s="81"/>
      <c r="AD846" s="81"/>
      <c r="AE846" s="81"/>
      <c r="AF846" s="81"/>
      <c r="AG846" s="81"/>
    </row>
    <row r="847" spans="1:33" ht="15.75" customHeight="1" x14ac:dyDescent="0.3">
      <c r="A847" s="104"/>
      <c r="B847" s="104"/>
      <c r="C847" s="74">
        <f t="shared" ca="1" si="10"/>
        <v>827</v>
      </c>
      <c r="D847" s="636"/>
      <c r="E847" s="694" t="s">
        <v>237</v>
      </c>
      <c r="F847" s="386" t="s">
        <v>459</v>
      </c>
      <c r="G847" s="318" t="s">
        <v>448</v>
      </c>
      <c r="H847" s="277"/>
      <c r="I847" s="246"/>
      <c r="J847" s="247" t="s">
        <v>261</v>
      </c>
      <c r="K847" s="247" t="s">
        <v>3275</v>
      </c>
      <c r="L847" s="141" t="s">
        <v>15</v>
      </c>
      <c r="M847" s="407">
        <v>46045</v>
      </c>
      <c r="N847" s="40" t="s">
        <v>4</v>
      </c>
      <c r="O847" s="141" t="s">
        <v>158</v>
      </c>
      <c r="P847" s="117" t="s">
        <v>211</v>
      </c>
      <c r="Q847" s="407">
        <v>46038</v>
      </c>
      <c r="R847" s="40" t="s">
        <v>445</v>
      </c>
      <c r="S847" s="208" t="s">
        <v>3276</v>
      </c>
      <c r="T847" s="357"/>
      <c r="U847" s="84"/>
      <c r="V847" s="84"/>
      <c r="W847" s="84"/>
      <c r="X847" s="84"/>
      <c r="Y847" s="84"/>
      <c r="Z847" s="84"/>
      <c r="AA847" s="81"/>
      <c r="AB847" s="81"/>
      <c r="AC847" s="81"/>
      <c r="AD847" s="81"/>
      <c r="AE847" s="81"/>
      <c r="AF847" s="81"/>
      <c r="AG847" s="81"/>
    </row>
    <row r="848" spans="1:33" ht="15.75" customHeight="1" x14ac:dyDescent="0.3">
      <c r="A848" s="104"/>
      <c r="B848" s="104"/>
      <c r="C848" s="74">
        <f t="shared" ca="1" si="10"/>
        <v>828</v>
      </c>
      <c r="D848" s="636"/>
      <c r="E848" s="636"/>
      <c r="F848" s="386" t="s">
        <v>459</v>
      </c>
      <c r="G848" s="318" t="s">
        <v>448</v>
      </c>
      <c r="H848" s="277"/>
      <c r="I848" s="247" t="s">
        <v>3083</v>
      </c>
      <c r="J848" s="247" t="s">
        <v>261</v>
      </c>
      <c r="K848" s="247" t="s">
        <v>3084</v>
      </c>
      <c r="L848" s="141" t="s">
        <v>15</v>
      </c>
      <c r="M848" s="407">
        <v>46045</v>
      </c>
      <c r="N848" s="40" t="s">
        <v>4</v>
      </c>
      <c r="O848" s="141" t="s">
        <v>15</v>
      </c>
      <c r="P848" s="117"/>
      <c r="Q848" s="407">
        <v>46038</v>
      </c>
      <c r="R848" s="40" t="s">
        <v>445</v>
      </c>
      <c r="S848" s="208"/>
      <c r="T848" s="357"/>
      <c r="U848" s="84"/>
      <c r="V848" s="84"/>
      <c r="W848" s="84"/>
      <c r="X848" s="84"/>
      <c r="Y848" s="84"/>
      <c r="Z848" s="84"/>
      <c r="AA848" s="81"/>
      <c r="AB848" s="81"/>
      <c r="AC848" s="81"/>
      <c r="AD848" s="81"/>
      <c r="AE848" s="81"/>
      <c r="AF848" s="81"/>
      <c r="AG848" s="81"/>
    </row>
    <row r="849" spans="1:33" ht="15.75" customHeight="1" x14ac:dyDescent="0.3">
      <c r="A849" s="104"/>
      <c r="B849" s="104"/>
      <c r="C849" s="74">
        <f t="shared" ca="1" si="10"/>
        <v>829</v>
      </c>
      <c r="D849" s="636"/>
      <c r="E849" s="636"/>
      <c r="F849" s="386" t="s">
        <v>459</v>
      </c>
      <c r="G849" s="318" t="s">
        <v>448</v>
      </c>
      <c r="H849" s="277"/>
      <c r="I849" s="247" t="s">
        <v>3085</v>
      </c>
      <c r="J849" s="247" t="s">
        <v>261</v>
      </c>
      <c r="K849" s="247" t="s">
        <v>3086</v>
      </c>
      <c r="L849" s="141" t="s">
        <v>15</v>
      </c>
      <c r="M849" s="407">
        <v>46045</v>
      </c>
      <c r="N849" s="40" t="s">
        <v>4</v>
      </c>
      <c r="O849" s="141" t="s">
        <v>158</v>
      </c>
      <c r="P849" s="117"/>
      <c r="Q849" s="407">
        <v>46038</v>
      </c>
      <c r="R849" s="40" t="s">
        <v>445</v>
      </c>
      <c r="S849" s="208" t="s">
        <v>3277</v>
      </c>
      <c r="T849" s="357"/>
      <c r="U849" s="84"/>
      <c r="V849" s="84"/>
      <c r="W849" s="84"/>
      <c r="X849" s="84"/>
      <c r="Y849" s="84"/>
      <c r="Z849" s="84"/>
      <c r="AA849" s="81"/>
      <c r="AB849" s="81"/>
      <c r="AC849" s="81"/>
      <c r="AD849" s="81"/>
      <c r="AE849" s="81"/>
      <c r="AF849" s="81"/>
      <c r="AG849" s="81"/>
    </row>
    <row r="850" spans="1:33" ht="15.75" customHeight="1" x14ac:dyDescent="0.3">
      <c r="A850" s="104"/>
      <c r="B850" s="104"/>
      <c r="C850" s="74">
        <f t="shared" ca="1" si="10"/>
        <v>830</v>
      </c>
      <c r="D850" s="636"/>
      <c r="E850" s="636"/>
      <c r="F850" s="386" t="s">
        <v>459</v>
      </c>
      <c r="G850" s="318" t="s">
        <v>448</v>
      </c>
      <c r="H850" s="277"/>
      <c r="I850" s="248" t="s">
        <v>3109</v>
      </c>
      <c r="J850" s="247" t="s">
        <v>261</v>
      </c>
      <c r="K850" s="247" t="s">
        <v>3084</v>
      </c>
      <c r="L850" s="141" t="s">
        <v>15</v>
      </c>
      <c r="M850" s="407">
        <v>46045</v>
      </c>
      <c r="N850" s="40" t="s">
        <v>4</v>
      </c>
      <c r="O850" s="141" t="s">
        <v>15</v>
      </c>
      <c r="P850" s="117"/>
      <c r="Q850" s="407">
        <v>46038</v>
      </c>
      <c r="R850" s="40" t="s">
        <v>445</v>
      </c>
      <c r="S850" s="208"/>
      <c r="T850" s="357"/>
      <c r="U850" s="84"/>
      <c r="V850" s="84"/>
      <c r="W850" s="84"/>
      <c r="X850" s="84"/>
      <c r="Y850" s="84"/>
      <c r="Z850" s="84"/>
      <c r="AA850" s="81"/>
      <c r="AB850" s="81"/>
      <c r="AC850" s="81"/>
      <c r="AD850" s="81"/>
      <c r="AE850" s="81"/>
      <c r="AF850" s="81"/>
      <c r="AG850" s="81"/>
    </row>
    <row r="851" spans="1:33" ht="15.75" customHeight="1" x14ac:dyDescent="0.3">
      <c r="A851" s="104"/>
      <c r="B851" s="104"/>
      <c r="C851" s="74">
        <f t="shared" ca="1" si="10"/>
        <v>831</v>
      </c>
      <c r="D851" s="635"/>
      <c r="E851" s="635"/>
      <c r="F851" s="386" t="s">
        <v>459</v>
      </c>
      <c r="G851" s="318" t="s">
        <v>448</v>
      </c>
      <c r="H851" s="315"/>
      <c r="I851" s="382" t="s">
        <v>440</v>
      </c>
      <c r="J851" s="247" t="s">
        <v>261</v>
      </c>
      <c r="K851" s="247" t="s">
        <v>3089</v>
      </c>
      <c r="L851" s="141" t="s">
        <v>15</v>
      </c>
      <c r="M851" s="407">
        <v>46045</v>
      </c>
      <c r="N851" s="40" t="s">
        <v>4</v>
      </c>
      <c r="O851" s="141" t="s">
        <v>15</v>
      </c>
      <c r="P851" s="117"/>
      <c r="Q851" s="407">
        <v>46038</v>
      </c>
      <c r="R851" s="40" t="s">
        <v>445</v>
      </c>
      <c r="S851" s="208"/>
      <c r="T851" s="357"/>
      <c r="U851" s="84"/>
      <c r="V851" s="84"/>
      <c r="W851" s="84"/>
      <c r="X851" s="84"/>
      <c r="Y851" s="84"/>
      <c r="Z851" s="84"/>
      <c r="AA851" s="81"/>
      <c r="AB851" s="81"/>
      <c r="AC851" s="81"/>
      <c r="AD851" s="81"/>
      <c r="AE851" s="81"/>
      <c r="AF851" s="81"/>
      <c r="AG851" s="81"/>
    </row>
    <row r="852" spans="1:33" ht="15.75" customHeight="1" x14ac:dyDescent="0.3">
      <c r="A852" s="104"/>
      <c r="B852" s="104"/>
      <c r="C852" s="74">
        <f t="shared" ca="1" si="10"/>
        <v>832</v>
      </c>
      <c r="D852" s="673" t="s">
        <v>2308</v>
      </c>
      <c r="E852" s="314" t="s">
        <v>198</v>
      </c>
      <c r="F852" s="285" t="s">
        <v>3063</v>
      </c>
      <c r="G852" s="353" t="s">
        <v>448</v>
      </c>
      <c r="H852" s="246"/>
      <c r="I852" s="278" t="s">
        <v>3197</v>
      </c>
      <c r="J852" s="239" t="s">
        <v>235</v>
      </c>
      <c r="K852" s="273" t="s">
        <v>2309</v>
      </c>
      <c r="L852" s="141" t="s">
        <v>46</v>
      </c>
      <c r="M852" s="193"/>
      <c r="N852" s="194"/>
      <c r="O852" s="141"/>
      <c r="P852" s="117"/>
      <c r="Q852" s="194"/>
      <c r="R852" s="40"/>
      <c r="S852" s="208"/>
      <c r="T852" s="357"/>
      <c r="U852" s="84"/>
      <c r="V852" s="84"/>
      <c r="W852" s="84"/>
      <c r="X852" s="84"/>
      <c r="Y852" s="84"/>
      <c r="Z852" s="84"/>
      <c r="AA852" s="81"/>
      <c r="AB852" s="81"/>
      <c r="AC852" s="81"/>
      <c r="AD852" s="81"/>
      <c r="AE852" s="81"/>
      <c r="AF852" s="81"/>
      <c r="AG852" s="81"/>
    </row>
    <row r="853" spans="1:33" ht="15.75" customHeight="1" x14ac:dyDescent="0.3">
      <c r="A853" s="104"/>
      <c r="B853" s="104"/>
      <c r="C853" s="74">
        <f t="shared" ca="1" si="10"/>
        <v>833</v>
      </c>
      <c r="D853" s="635"/>
      <c r="E853" s="314" t="s">
        <v>198</v>
      </c>
      <c r="F853" s="285" t="s">
        <v>3063</v>
      </c>
      <c r="G853" s="353" t="s">
        <v>448</v>
      </c>
      <c r="H853" s="246"/>
      <c r="I853" s="278" t="s">
        <v>3198</v>
      </c>
      <c r="J853" s="239" t="s">
        <v>2310</v>
      </c>
      <c r="K853" s="273" t="s">
        <v>2311</v>
      </c>
      <c r="L853" s="141" t="s">
        <v>15</v>
      </c>
      <c r="M853" s="407">
        <v>46045</v>
      </c>
      <c r="N853" s="40" t="s">
        <v>4</v>
      </c>
      <c r="O853" s="141"/>
      <c r="P853" s="117"/>
      <c r="Q853" s="194"/>
      <c r="R853" s="40"/>
      <c r="S853" s="208"/>
      <c r="T853" s="357"/>
      <c r="U853" s="84"/>
      <c r="V853" s="84"/>
      <c r="W853" s="84"/>
      <c r="X853" s="84"/>
      <c r="Y853" s="84"/>
      <c r="Z853" s="84"/>
      <c r="AA853" s="81"/>
      <c r="AB853" s="81"/>
      <c r="AC853" s="81"/>
      <c r="AD853" s="81"/>
      <c r="AE853" s="81"/>
      <c r="AF853" s="81"/>
      <c r="AG853" s="81"/>
    </row>
    <row r="854" spans="1:33" ht="15.75" customHeight="1" x14ac:dyDescent="0.3">
      <c r="A854" s="104"/>
      <c r="B854" s="104"/>
      <c r="C854" s="74">
        <f t="shared" ca="1" si="10"/>
        <v>834</v>
      </c>
      <c r="D854" s="584"/>
      <c r="E854" s="314" t="s">
        <v>216</v>
      </c>
      <c r="F854" s="285" t="s">
        <v>458</v>
      </c>
      <c r="G854" s="353" t="s">
        <v>448</v>
      </c>
      <c r="H854" s="246"/>
      <c r="I854" s="246"/>
      <c r="J854" s="239" t="s">
        <v>236</v>
      </c>
      <c r="K854" s="273" t="s">
        <v>2312</v>
      </c>
      <c r="L854" s="141" t="s">
        <v>15</v>
      </c>
      <c r="M854" s="407">
        <v>46045</v>
      </c>
      <c r="N854" s="40" t="s">
        <v>4</v>
      </c>
      <c r="O854" s="141"/>
      <c r="P854" s="117"/>
      <c r="Q854" s="194"/>
      <c r="R854" s="40"/>
      <c r="S854" s="208"/>
      <c r="T854" s="357"/>
      <c r="U854" s="84"/>
      <c r="V854" s="84"/>
      <c r="W854" s="84"/>
      <c r="X854" s="84"/>
      <c r="Y854" s="84"/>
      <c r="Z854" s="84"/>
      <c r="AA854" s="81"/>
      <c r="AB854" s="81"/>
      <c r="AC854" s="81"/>
      <c r="AD854" s="81"/>
      <c r="AE854" s="81"/>
      <c r="AF854" s="81"/>
      <c r="AG854" s="81"/>
    </row>
    <row r="855" spans="1:33" ht="15.75" customHeight="1" x14ac:dyDescent="0.3">
      <c r="A855" s="104"/>
      <c r="B855" s="104"/>
      <c r="C855" s="130">
        <f t="shared" ca="1" si="10"/>
        <v>835</v>
      </c>
      <c r="D855" s="86"/>
      <c r="E855" s="314"/>
      <c r="F855" s="285" t="s">
        <v>458</v>
      </c>
      <c r="G855" s="353" t="s">
        <v>448</v>
      </c>
      <c r="H855" s="246"/>
      <c r="I855" s="246"/>
      <c r="J855" s="239" t="s">
        <v>2313</v>
      </c>
      <c r="K855" s="239" t="s">
        <v>3067</v>
      </c>
      <c r="L855" s="141" t="s">
        <v>2</v>
      </c>
      <c r="M855" s="193"/>
      <c r="N855" s="194"/>
      <c r="O855" s="141"/>
      <c r="P855" s="117"/>
      <c r="Q855" s="407"/>
      <c r="R855" s="40"/>
      <c r="S855" s="208"/>
      <c r="T855" s="357"/>
      <c r="U855" s="84"/>
      <c r="V855" s="84"/>
      <c r="W855" s="84"/>
      <c r="X855" s="84"/>
      <c r="Y855" s="84"/>
      <c r="Z855" s="84"/>
      <c r="AA855" s="81"/>
      <c r="AB855" s="81"/>
      <c r="AC855" s="81"/>
      <c r="AD855" s="81"/>
      <c r="AE855" s="81"/>
      <c r="AF855" s="81"/>
      <c r="AG855" s="81"/>
    </row>
    <row r="856" spans="1:33" ht="15.75" customHeight="1" x14ac:dyDescent="0.3">
      <c r="A856" s="104"/>
      <c r="B856" s="104"/>
      <c r="C856" s="74">
        <f t="shared" ca="1" si="10"/>
        <v>836</v>
      </c>
      <c r="D856" s="584"/>
      <c r="E856" s="585" t="s">
        <v>432</v>
      </c>
      <c r="F856" s="285" t="s">
        <v>458</v>
      </c>
      <c r="G856" s="353" t="s">
        <v>448</v>
      </c>
      <c r="H856" s="246"/>
      <c r="I856" s="325" t="s">
        <v>3278</v>
      </c>
      <c r="J856" s="239" t="s">
        <v>2314</v>
      </c>
      <c r="K856" s="404" t="s">
        <v>3279</v>
      </c>
      <c r="L856" s="290" t="s">
        <v>15</v>
      </c>
      <c r="M856" s="407">
        <v>46045</v>
      </c>
      <c r="N856" s="40" t="s">
        <v>4</v>
      </c>
      <c r="O856" s="388"/>
      <c r="P856" s="393"/>
      <c r="Q856" s="407"/>
      <c r="R856" s="40"/>
      <c r="S856" s="282"/>
      <c r="T856" s="15"/>
      <c r="U856" s="374"/>
      <c r="V856" s="374"/>
      <c r="W856" s="374"/>
      <c r="X856" s="374"/>
      <c r="Y856" s="374"/>
      <c r="Z856" s="374"/>
      <c r="AA856" s="81"/>
      <c r="AB856" s="81"/>
      <c r="AC856" s="81"/>
      <c r="AD856" s="81"/>
      <c r="AE856" s="81"/>
      <c r="AF856" s="81"/>
      <c r="AG856" s="81"/>
    </row>
    <row r="857" spans="1:33" ht="15.75" customHeight="1" x14ac:dyDescent="0.3">
      <c r="A857" s="104"/>
      <c r="B857" s="104"/>
      <c r="C857" s="74">
        <f t="shared" ca="1" si="10"/>
        <v>837</v>
      </c>
      <c r="D857" s="86" t="s">
        <v>436</v>
      </c>
      <c r="E857" s="314" t="s">
        <v>198</v>
      </c>
      <c r="F857" s="285" t="s">
        <v>3063</v>
      </c>
      <c r="G857" s="353" t="s">
        <v>448</v>
      </c>
      <c r="H857" s="246"/>
      <c r="I857" s="278"/>
      <c r="J857" s="239" t="s">
        <v>235</v>
      </c>
      <c r="K857" s="273" t="s">
        <v>2234</v>
      </c>
      <c r="L857" s="141" t="s">
        <v>15</v>
      </c>
      <c r="M857" s="407">
        <v>46045</v>
      </c>
      <c r="N857" s="40" t="s">
        <v>4</v>
      </c>
      <c r="O857" s="141"/>
      <c r="P857" s="117"/>
      <c r="Q857" s="194"/>
      <c r="R857" s="40"/>
      <c r="S857" s="208"/>
      <c r="T857" s="357"/>
      <c r="U857" s="84"/>
      <c r="V857" s="84"/>
      <c r="W857" s="84"/>
      <c r="X857" s="84"/>
      <c r="Y857" s="84"/>
      <c r="Z857" s="84"/>
      <c r="AA857" s="81"/>
      <c r="AB857" s="81"/>
      <c r="AC857" s="81"/>
      <c r="AD857" s="81"/>
      <c r="AE857" s="81"/>
      <c r="AF857" s="81"/>
      <c r="AG857" s="81"/>
    </row>
    <row r="858" spans="1:33" ht="15.75" customHeight="1" x14ac:dyDescent="0.3">
      <c r="A858" s="104"/>
      <c r="B858" s="104"/>
      <c r="C858" s="74">
        <f t="shared" ca="1" si="10"/>
        <v>838</v>
      </c>
      <c r="D858" s="86" t="s">
        <v>2235</v>
      </c>
      <c r="E858" s="314" t="s">
        <v>198</v>
      </c>
      <c r="F858" s="285" t="s">
        <v>3063</v>
      </c>
      <c r="G858" s="353" t="s">
        <v>448</v>
      </c>
      <c r="H858" s="246"/>
      <c r="I858" s="278"/>
      <c r="J858" s="239" t="s">
        <v>2310</v>
      </c>
      <c r="K858" s="273" t="s">
        <v>2311</v>
      </c>
      <c r="L858" s="141" t="s">
        <v>15</v>
      </c>
      <c r="M858" s="407">
        <v>46045</v>
      </c>
      <c r="N858" s="40" t="s">
        <v>4</v>
      </c>
      <c r="O858" s="141"/>
      <c r="P858" s="117"/>
      <c r="Q858" s="194"/>
      <c r="R858" s="40"/>
      <c r="S858" s="208"/>
      <c r="T858" s="357"/>
      <c r="U858" s="84"/>
      <c r="V858" s="84"/>
      <c r="W858" s="84"/>
      <c r="X858" s="84"/>
      <c r="Y858" s="84"/>
      <c r="Z858" s="84"/>
      <c r="AA858" s="81"/>
      <c r="AB858" s="81"/>
      <c r="AC858" s="81"/>
      <c r="AD858" s="81"/>
      <c r="AE858" s="81"/>
      <c r="AF858" s="81"/>
      <c r="AG858" s="81"/>
    </row>
    <row r="859" spans="1:33" ht="21.75" customHeight="1" x14ac:dyDescent="0.3">
      <c r="A859" s="104"/>
      <c r="B859" s="104"/>
      <c r="C859" s="130"/>
      <c r="D859" s="106"/>
      <c r="E859" s="106"/>
      <c r="F859" s="106"/>
      <c r="G859" s="106"/>
      <c r="H859" s="107"/>
      <c r="I859" s="107"/>
      <c r="J859" s="107"/>
      <c r="K859" s="107"/>
      <c r="L859" s="108"/>
      <c r="M859" s="106"/>
      <c r="N859" s="106"/>
      <c r="O859" s="108"/>
      <c r="P859" s="106"/>
      <c r="Q859" s="106"/>
      <c r="R859" s="106"/>
      <c r="S859" s="106"/>
      <c r="T859" s="79"/>
      <c r="U859" s="106"/>
      <c r="V859" s="106"/>
      <c r="W859" s="106"/>
      <c r="X859" s="106"/>
      <c r="Y859" s="106"/>
      <c r="Z859" s="109"/>
      <c r="AA859" s="81"/>
      <c r="AB859" s="81"/>
      <c r="AC859" s="81"/>
      <c r="AD859" s="81"/>
      <c r="AE859" s="81"/>
      <c r="AF859" s="81"/>
      <c r="AG859" s="81"/>
    </row>
    <row r="860" spans="1:33" ht="15.75" customHeight="1" x14ac:dyDescent="0.3">
      <c r="A860" s="88"/>
      <c r="B860" s="46" t="s">
        <v>203</v>
      </c>
      <c r="C860" s="130"/>
      <c r="D860" s="17"/>
      <c r="E860" s="17"/>
      <c r="F860" s="17"/>
      <c r="G860" s="17"/>
      <c r="H860" s="64"/>
      <c r="I860" s="64"/>
      <c r="J860" s="64"/>
      <c r="K860" s="64"/>
      <c r="L860" s="43"/>
      <c r="M860" s="17"/>
      <c r="N860" s="17"/>
      <c r="O860" s="43"/>
      <c r="S860" s="89"/>
      <c r="T860" s="79"/>
    </row>
    <row r="861" spans="1:33" ht="15.75" customHeight="1" x14ac:dyDescent="0.3">
      <c r="A861" s="88"/>
      <c r="D861" s="17"/>
      <c r="E861" s="17"/>
      <c r="F861" s="17"/>
      <c r="G861" s="17"/>
      <c r="H861" s="64"/>
      <c r="I861" s="64"/>
      <c r="J861" s="64"/>
      <c r="K861" s="64"/>
      <c r="L861" s="43"/>
      <c r="M861" s="17"/>
      <c r="N861" s="17"/>
      <c r="O861" s="43"/>
      <c r="S861" s="89"/>
      <c r="T861" s="79"/>
    </row>
    <row r="862" spans="1:33" ht="15.75" customHeight="1" x14ac:dyDescent="0.3">
      <c r="A862" s="88"/>
      <c r="D862" s="17"/>
      <c r="E862" s="17"/>
      <c r="F862" s="17"/>
      <c r="G862" s="17"/>
      <c r="H862" s="64"/>
      <c r="I862" s="64"/>
      <c r="J862" s="64"/>
      <c r="K862" s="64"/>
      <c r="L862" s="43"/>
      <c r="M862" s="17"/>
      <c r="N862" s="17"/>
      <c r="O862" s="43"/>
      <c r="S862" s="89"/>
      <c r="T862" s="79"/>
    </row>
    <row r="863" spans="1:33" ht="15.75" customHeight="1" x14ac:dyDescent="0.3">
      <c r="A863" s="88"/>
      <c r="D863" s="17"/>
      <c r="E863" s="17"/>
      <c r="F863" s="17"/>
      <c r="G863" s="17"/>
      <c r="H863" s="64"/>
      <c r="I863" s="64"/>
      <c r="J863" s="64"/>
      <c r="K863" s="64"/>
      <c r="L863" s="43"/>
      <c r="M863" s="17"/>
      <c r="N863" s="17"/>
      <c r="O863" s="43"/>
      <c r="S863" s="89"/>
      <c r="T863" s="79"/>
    </row>
    <row r="864" spans="1:33" ht="15.75" customHeight="1" x14ac:dyDescent="0.3">
      <c r="A864" s="88"/>
      <c r="D864" s="17"/>
      <c r="E864" s="17"/>
      <c r="F864" s="17"/>
      <c r="G864" s="17"/>
      <c r="H864" s="64"/>
      <c r="I864" s="64"/>
      <c r="J864" s="64"/>
      <c r="K864" s="64"/>
      <c r="L864" s="43"/>
      <c r="M864" s="17"/>
      <c r="N864" s="17"/>
      <c r="O864" s="43"/>
      <c r="S864" s="89"/>
      <c r="T864" s="79"/>
    </row>
    <row r="865" spans="1:20" ht="15.75" customHeight="1" x14ac:dyDescent="0.3">
      <c r="A865" s="88"/>
      <c r="D865" s="17"/>
      <c r="E865" s="17"/>
      <c r="F865" s="17"/>
      <c r="G865" s="17"/>
      <c r="H865" s="64"/>
      <c r="I865" s="64"/>
      <c r="J865" s="64"/>
      <c r="K865" s="64"/>
      <c r="L865" s="43"/>
      <c r="M865" s="17"/>
      <c r="N865" s="17"/>
      <c r="O865" s="43"/>
      <c r="S865" s="89"/>
      <c r="T865" s="79"/>
    </row>
    <row r="866" spans="1:20" ht="15.75" customHeight="1" x14ac:dyDescent="0.3">
      <c r="A866" s="88"/>
      <c r="D866" s="17"/>
      <c r="E866" s="17"/>
      <c r="F866" s="17"/>
      <c r="G866" s="17"/>
      <c r="H866" s="64"/>
      <c r="I866" s="64"/>
      <c r="J866" s="64"/>
      <c r="K866" s="64"/>
      <c r="L866" s="43"/>
      <c r="M866" s="17"/>
      <c r="N866" s="17"/>
      <c r="O866" s="43"/>
      <c r="S866" s="89"/>
    </row>
    <row r="867" spans="1:20" ht="15.75" customHeight="1" x14ac:dyDescent="0.3">
      <c r="A867" s="88"/>
      <c r="D867" s="17"/>
      <c r="E867" s="17"/>
      <c r="F867" s="17"/>
      <c r="G867" s="17"/>
      <c r="H867" s="64"/>
      <c r="I867" s="64"/>
      <c r="J867" s="64"/>
      <c r="K867" s="64"/>
      <c r="L867" s="43"/>
      <c r="M867" s="17"/>
      <c r="N867" s="17"/>
      <c r="O867" s="43"/>
      <c r="S867" s="89"/>
    </row>
    <row r="868" spans="1:20" ht="15.75" customHeight="1" x14ac:dyDescent="0.3">
      <c r="A868" s="88"/>
      <c r="D868" s="17"/>
      <c r="E868" s="17"/>
      <c r="F868" s="17"/>
      <c r="G868" s="17"/>
      <c r="H868" s="64"/>
      <c r="I868" s="64"/>
      <c r="J868" s="64"/>
      <c r="K868" s="64"/>
      <c r="L868" s="43"/>
      <c r="M868" s="17"/>
      <c r="N868" s="17"/>
      <c r="O868" s="43"/>
      <c r="S868" s="89"/>
    </row>
    <row r="869" spans="1:20" ht="15.75" customHeight="1" x14ac:dyDescent="0.3">
      <c r="A869" s="88"/>
      <c r="D869" s="17"/>
      <c r="E869" s="17"/>
      <c r="F869" s="17"/>
      <c r="G869" s="17"/>
      <c r="H869" s="64"/>
      <c r="I869" s="64"/>
      <c r="J869" s="64"/>
      <c r="K869" s="64"/>
      <c r="L869" s="43"/>
      <c r="M869" s="17"/>
      <c r="N869" s="17"/>
      <c r="O869" s="43"/>
      <c r="S869" s="89"/>
    </row>
    <row r="870" spans="1:20" ht="15.75" customHeight="1" x14ac:dyDescent="0.3">
      <c r="A870" s="88"/>
      <c r="D870" s="17"/>
      <c r="E870" s="17"/>
      <c r="F870" s="17"/>
      <c r="G870" s="17"/>
      <c r="H870" s="64"/>
      <c r="I870" s="64"/>
      <c r="J870" s="64"/>
      <c r="K870" s="64"/>
      <c r="L870" s="43"/>
      <c r="M870" s="17"/>
      <c r="N870" s="17"/>
      <c r="O870" s="43"/>
      <c r="S870" s="89"/>
    </row>
    <row r="871" spans="1:20" ht="15.75" customHeight="1" x14ac:dyDescent="0.3">
      <c r="A871" s="88"/>
      <c r="D871" s="17"/>
      <c r="E871" s="17"/>
      <c r="F871" s="17"/>
      <c r="G871" s="17"/>
      <c r="H871" s="64"/>
      <c r="I871" s="64"/>
      <c r="J871" s="64"/>
      <c r="K871" s="64"/>
      <c r="L871" s="43"/>
      <c r="M871" s="17"/>
      <c r="N871" s="17"/>
      <c r="O871" s="43"/>
      <c r="S871" s="89"/>
    </row>
    <row r="872" spans="1:20" ht="15.75" customHeight="1" x14ac:dyDescent="0.3">
      <c r="A872" s="88"/>
      <c r="D872" s="17"/>
      <c r="E872" s="17"/>
      <c r="F872" s="17"/>
      <c r="G872" s="17"/>
      <c r="H872" s="64"/>
      <c r="I872" s="64"/>
      <c r="J872" s="64"/>
      <c r="K872" s="64"/>
      <c r="L872" s="43"/>
      <c r="M872" s="17"/>
      <c r="N872" s="17"/>
      <c r="O872" s="43"/>
      <c r="S872" s="89"/>
    </row>
    <row r="873" spans="1:20" ht="15.75" customHeight="1" x14ac:dyDescent="0.3">
      <c r="A873" s="88"/>
      <c r="D873" s="17"/>
      <c r="E873" s="17"/>
      <c r="F873" s="17"/>
      <c r="G873" s="17"/>
      <c r="H873" s="64"/>
      <c r="I873" s="64"/>
      <c r="J873" s="64"/>
      <c r="K873" s="64"/>
      <c r="L873" s="43"/>
      <c r="M873" s="17"/>
      <c r="N873" s="17"/>
      <c r="O873" s="43"/>
      <c r="S873" s="89"/>
    </row>
    <row r="874" spans="1:20" ht="15.75" customHeight="1" x14ac:dyDescent="0.3">
      <c r="A874" s="88"/>
      <c r="D874" s="17"/>
      <c r="E874" s="17"/>
      <c r="F874" s="17"/>
      <c r="G874" s="17"/>
      <c r="H874" s="64"/>
      <c r="I874" s="64"/>
      <c r="J874" s="64"/>
      <c r="K874" s="64"/>
      <c r="L874" s="43"/>
      <c r="M874" s="17"/>
      <c r="N874" s="17"/>
      <c r="O874" s="43"/>
      <c r="S874" s="89"/>
    </row>
    <row r="875" spans="1:20" ht="15.75" customHeight="1" x14ac:dyDescent="0.3">
      <c r="A875" s="88"/>
      <c r="D875" s="17"/>
      <c r="E875" s="17"/>
      <c r="F875" s="17"/>
      <c r="G875" s="17"/>
      <c r="H875" s="64"/>
      <c r="I875" s="64"/>
      <c r="J875" s="64"/>
      <c r="K875" s="64"/>
      <c r="L875" s="43"/>
      <c r="M875" s="17"/>
      <c r="N875" s="17"/>
      <c r="O875" s="43"/>
      <c r="S875" s="89"/>
    </row>
    <row r="876" spans="1:20" ht="15.75" customHeight="1" x14ac:dyDescent="0.3">
      <c r="A876" s="88"/>
      <c r="D876" s="17"/>
      <c r="E876" s="17"/>
      <c r="F876" s="17"/>
      <c r="G876" s="17"/>
      <c r="H876" s="64"/>
      <c r="I876" s="64"/>
      <c r="J876" s="64"/>
      <c r="K876" s="64"/>
      <c r="L876" s="43"/>
      <c r="M876" s="17"/>
      <c r="N876" s="17"/>
      <c r="O876" s="43"/>
      <c r="S876" s="89"/>
    </row>
    <row r="877" spans="1:20" ht="15.75" customHeight="1" x14ac:dyDescent="0.3">
      <c r="A877" s="88"/>
      <c r="D877" s="17"/>
      <c r="E877" s="17"/>
      <c r="F877" s="17"/>
      <c r="G877" s="17"/>
      <c r="H877" s="64"/>
      <c r="I877" s="64"/>
      <c r="J877" s="64"/>
      <c r="K877" s="64"/>
      <c r="L877" s="43"/>
      <c r="M877" s="17"/>
      <c r="N877" s="17"/>
      <c r="O877" s="43"/>
      <c r="S877" s="89"/>
    </row>
    <row r="878" spans="1:20" ht="15.75" customHeight="1" x14ac:dyDescent="0.3">
      <c r="A878" s="88"/>
      <c r="D878" s="17"/>
      <c r="E878" s="17"/>
      <c r="F878" s="17"/>
      <c r="G878" s="17"/>
      <c r="H878" s="64"/>
      <c r="I878" s="64"/>
      <c r="J878" s="64"/>
      <c r="K878" s="64"/>
      <c r="L878" s="43"/>
      <c r="M878" s="17"/>
      <c r="N878" s="17"/>
      <c r="O878" s="43"/>
      <c r="S878" s="89"/>
    </row>
    <row r="879" spans="1:20" ht="15.75" customHeight="1" x14ac:dyDescent="0.3">
      <c r="A879" s="88"/>
      <c r="D879" s="17"/>
      <c r="E879" s="17"/>
      <c r="F879" s="17"/>
      <c r="G879" s="17"/>
      <c r="H879" s="64"/>
      <c r="I879" s="64"/>
      <c r="J879" s="64"/>
      <c r="K879" s="64"/>
      <c r="L879" s="43"/>
      <c r="M879" s="17"/>
      <c r="N879" s="17"/>
      <c r="O879" s="43"/>
      <c r="S879" s="89"/>
    </row>
    <row r="880" spans="1:20" ht="15.75" customHeight="1" x14ac:dyDescent="0.3">
      <c r="A880" s="88"/>
      <c r="D880" s="17"/>
      <c r="E880" s="17"/>
      <c r="F880" s="17"/>
      <c r="G880" s="17"/>
      <c r="H880" s="64"/>
      <c r="I880" s="64"/>
      <c r="J880" s="64"/>
      <c r="K880" s="64"/>
      <c r="L880" s="43"/>
      <c r="M880" s="17"/>
      <c r="N880" s="17"/>
      <c r="O880" s="43"/>
      <c r="S880" s="89"/>
    </row>
    <row r="881" spans="1:19" ht="15.75" customHeight="1" x14ac:dyDescent="0.3">
      <c r="A881" s="88"/>
      <c r="D881" s="17"/>
      <c r="E881" s="17"/>
      <c r="F881" s="17"/>
      <c r="G881" s="17"/>
      <c r="H881" s="64"/>
      <c r="I881" s="64"/>
      <c r="J881" s="64"/>
      <c r="K881" s="64"/>
      <c r="L881" s="43"/>
      <c r="M881" s="17"/>
      <c r="N881" s="17"/>
      <c r="O881" s="43"/>
      <c r="S881" s="89"/>
    </row>
    <row r="882" spans="1:19" ht="15.75" customHeight="1" x14ac:dyDescent="0.3">
      <c r="A882" s="88"/>
      <c r="D882" s="17"/>
      <c r="E882" s="17"/>
      <c r="F882" s="17"/>
      <c r="G882" s="17"/>
      <c r="H882" s="64"/>
      <c r="I882" s="64"/>
      <c r="J882" s="64"/>
      <c r="K882" s="64"/>
      <c r="L882" s="43"/>
      <c r="M882" s="17"/>
      <c r="N882" s="17"/>
      <c r="O882" s="43"/>
      <c r="S882" s="89"/>
    </row>
    <row r="883" spans="1:19" ht="15.75" customHeight="1" x14ac:dyDescent="0.3">
      <c r="A883" s="88"/>
      <c r="D883" s="17"/>
      <c r="E883" s="17"/>
      <c r="F883" s="17"/>
      <c r="G883" s="17"/>
      <c r="H883" s="64"/>
      <c r="I883" s="64"/>
      <c r="J883" s="64"/>
      <c r="K883" s="64"/>
      <c r="L883" s="43"/>
      <c r="M883" s="17"/>
      <c r="N883" s="17"/>
      <c r="O883" s="43"/>
      <c r="S883" s="89"/>
    </row>
    <row r="884" spans="1:19" ht="15.75" customHeight="1" x14ac:dyDescent="0.3">
      <c r="A884" s="88"/>
      <c r="D884" s="17"/>
      <c r="E884" s="17"/>
      <c r="F884" s="17"/>
      <c r="G884" s="17"/>
      <c r="H884" s="64"/>
      <c r="I884" s="64"/>
      <c r="J884" s="64"/>
      <c r="K884" s="64"/>
      <c r="L884" s="43"/>
      <c r="M884" s="17"/>
      <c r="N884" s="17"/>
      <c r="O884" s="43"/>
      <c r="S884" s="89"/>
    </row>
    <row r="885" spans="1:19" ht="15.75" customHeight="1" x14ac:dyDescent="0.3">
      <c r="A885" s="88"/>
      <c r="D885" s="17"/>
      <c r="E885" s="17"/>
      <c r="F885" s="17"/>
      <c r="G885" s="17"/>
      <c r="H885" s="64"/>
      <c r="I885" s="64"/>
      <c r="J885" s="64"/>
      <c r="K885" s="64"/>
      <c r="L885" s="43"/>
      <c r="M885" s="17"/>
      <c r="N885" s="17"/>
      <c r="O885" s="43"/>
      <c r="S885" s="89"/>
    </row>
    <row r="886" spans="1:19" ht="15.75" customHeight="1" x14ac:dyDescent="0.3">
      <c r="A886" s="88"/>
      <c r="D886" s="17"/>
      <c r="E886" s="17"/>
      <c r="F886" s="17"/>
      <c r="G886" s="17"/>
      <c r="H886" s="64"/>
      <c r="I886" s="64"/>
      <c r="J886" s="64"/>
      <c r="K886" s="64"/>
      <c r="L886" s="43"/>
      <c r="M886" s="17"/>
      <c r="N886" s="17"/>
      <c r="O886" s="43"/>
      <c r="S886" s="89"/>
    </row>
    <row r="887" spans="1:19" ht="15.75" customHeight="1" x14ac:dyDescent="0.3">
      <c r="A887" s="88"/>
      <c r="D887" s="17"/>
      <c r="E887" s="17"/>
      <c r="F887" s="17"/>
      <c r="G887" s="17"/>
      <c r="H887" s="64"/>
      <c r="I887" s="64"/>
      <c r="J887" s="64"/>
      <c r="K887" s="64"/>
      <c r="L887" s="43"/>
      <c r="M887" s="17"/>
      <c r="N887" s="17"/>
      <c r="O887" s="43"/>
      <c r="S887" s="89"/>
    </row>
    <row r="888" spans="1:19" ht="15.75" customHeight="1" x14ac:dyDescent="0.3">
      <c r="A888" s="88"/>
      <c r="D888" s="17"/>
      <c r="E888" s="17"/>
      <c r="F888" s="17"/>
      <c r="G888" s="17"/>
      <c r="H888" s="64"/>
      <c r="I888" s="64"/>
      <c r="J888" s="64"/>
      <c r="K888" s="64"/>
      <c r="L888" s="43"/>
      <c r="M888" s="17"/>
      <c r="N888" s="17"/>
      <c r="O888" s="43"/>
      <c r="S888" s="89"/>
    </row>
    <row r="889" spans="1:19" ht="15.75" customHeight="1" x14ac:dyDescent="0.3">
      <c r="A889" s="88"/>
      <c r="D889" s="17"/>
      <c r="E889" s="17"/>
      <c r="F889" s="17"/>
      <c r="G889" s="17"/>
      <c r="H889" s="64"/>
      <c r="I889" s="64"/>
      <c r="J889" s="64"/>
      <c r="K889" s="64"/>
      <c r="L889" s="43"/>
      <c r="M889" s="17"/>
      <c r="N889" s="17"/>
      <c r="O889" s="43"/>
      <c r="S889" s="89"/>
    </row>
    <row r="890" spans="1:19" ht="15.75" customHeight="1" x14ac:dyDescent="0.3">
      <c r="A890" s="88"/>
      <c r="D890" s="17"/>
      <c r="E890" s="17"/>
      <c r="F890" s="17"/>
      <c r="G890" s="17"/>
      <c r="H890" s="64"/>
      <c r="I890" s="64"/>
      <c r="J890" s="64"/>
      <c r="K890" s="64"/>
      <c r="L890" s="43"/>
      <c r="M890" s="17"/>
      <c r="N890" s="17"/>
      <c r="O890" s="43"/>
      <c r="S890" s="89"/>
    </row>
    <row r="891" spans="1:19" ht="15.75" customHeight="1" x14ac:dyDescent="0.3">
      <c r="A891" s="88"/>
      <c r="D891" s="17"/>
      <c r="E891" s="17"/>
      <c r="F891" s="17"/>
      <c r="G891" s="17"/>
      <c r="H891" s="64"/>
      <c r="I891" s="64"/>
      <c r="J891" s="64"/>
      <c r="K891" s="64"/>
      <c r="L891" s="43"/>
      <c r="M891" s="17"/>
      <c r="N891" s="17"/>
      <c r="O891" s="43"/>
      <c r="S891" s="89"/>
    </row>
    <row r="892" spans="1:19" ht="15.75" customHeight="1" x14ac:dyDescent="0.3">
      <c r="A892" s="88"/>
      <c r="D892" s="17"/>
      <c r="E892" s="17"/>
      <c r="F892" s="17"/>
      <c r="G892" s="17"/>
      <c r="H892" s="64"/>
      <c r="I892" s="64"/>
      <c r="J892" s="64"/>
      <c r="K892" s="64"/>
      <c r="L892" s="43"/>
      <c r="M892" s="17"/>
      <c r="N892" s="17"/>
      <c r="O892" s="43"/>
      <c r="S892" s="89"/>
    </row>
    <row r="893" spans="1:19" ht="15.75" customHeight="1" x14ac:dyDescent="0.3">
      <c r="A893" s="88"/>
      <c r="D893" s="17"/>
      <c r="E893" s="17"/>
      <c r="F893" s="17"/>
      <c r="G893" s="17"/>
      <c r="H893" s="64"/>
      <c r="I893" s="64"/>
      <c r="J893" s="64"/>
      <c r="K893" s="64"/>
      <c r="L893" s="43"/>
      <c r="M893" s="17"/>
      <c r="N893" s="17"/>
      <c r="O893" s="43"/>
      <c r="S893" s="89"/>
    </row>
    <row r="894" spans="1:19" ht="15.75" customHeight="1" x14ac:dyDescent="0.3">
      <c r="A894" s="88"/>
      <c r="D894" s="17"/>
      <c r="E894" s="17"/>
      <c r="F894" s="17"/>
      <c r="G894" s="17"/>
      <c r="H894" s="64"/>
      <c r="I894" s="64"/>
      <c r="J894" s="64"/>
      <c r="K894" s="64"/>
      <c r="L894" s="43"/>
      <c r="M894" s="17"/>
      <c r="N894" s="17"/>
      <c r="O894" s="43"/>
      <c r="S894" s="89"/>
    </row>
    <row r="895" spans="1:19" ht="15.75" customHeight="1" x14ac:dyDescent="0.3">
      <c r="A895" s="88"/>
      <c r="D895" s="17"/>
      <c r="E895" s="17"/>
      <c r="F895" s="17"/>
      <c r="G895" s="17"/>
      <c r="H895" s="64"/>
      <c r="I895" s="64"/>
      <c r="J895" s="64"/>
      <c r="K895" s="64"/>
      <c r="L895" s="43"/>
      <c r="M895" s="17"/>
      <c r="N895" s="17"/>
      <c r="O895" s="43"/>
      <c r="S895" s="89"/>
    </row>
    <row r="896" spans="1:19" ht="15.75" customHeight="1" x14ac:dyDescent="0.3">
      <c r="A896" s="88"/>
      <c r="D896" s="17"/>
      <c r="E896" s="17"/>
      <c r="F896" s="17"/>
      <c r="G896" s="17"/>
      <c r="H896" s="64"/>
      <c r="I896" s="64"/>
      <c r="J896" s="64"/>
      <c r="K896" s="64"/>
      <c r="L896" s="43"/>
      <c r="M896" s="17"/>
      <c r="N896" s="17"/>
      <c r="O896" s="43"/>
      <c r="S896" s="89"/>
    </row>
    <row r="897" spans="1:19" ht="15.75" customHeight="1" x14ac:dyDescent="0.3">
      <c r="A897" s="88"/>
      <c r="D897" s="17"/>
      <c r="E897" s="17"/>
      <c r="F897" s="17"/>
      <c r="G897" s="17"/>
      <c r="H897" s="64"/>
      <c r="I897" s="64"/>
      <c r="J897" s="64"/>
      <c r="K897" s="64"/>
      <c r="L897" s="43"/>
      <c r="M897" s="17"/>
      <c r="N897" s="17"/>
      <c r="O897" s="43"/>
      <c r="S897" s="89"/>
    </row>
    <row r="898" spans="1:19" ht="15.75" customHeight="1" x14ac:dyDescent="0.3">
      <c r="A898" s="88"/>
      <c r="D898" s="17"/>
      <c r="E898" s="17"/>
      <c r="F898" s="17"/>
      <c r="G898" s="17"/>
      <c r="H898" s="64"/>
      <c r="I898" s="64"/>
      <c r="J898" s="64"/>
      <c r="K898" s="64"/>
      <c r="L898" s="43"/>
      <c r="M898" s="17"/>
      <c r="N898" s="17"/>
      <c r="O898" s="43"/>
      <c r="S898" s="89"/>
    </row>
    <row r="899" spans="1:19" ht="15.75" customHeight="1" x14ac:dyDescent="0.3">
      <c r="A899" s="88"/>
      <c r="D899" s="17"/>
      <c r="E899" s="17"/>
      <c r="F899" s="17"/>
      <c r="G899" s="17"/>
      <c r="H899" s="64"/>
      <c r="I899" s="64"/>
      <c r="J899" s="64"/>
      <c r="K899" s="64"/>
      <c r="L899" s="43"/>
      <c r="M899" s="17"/>
      <c r="N899" s="17"/>
      <c r="O899" s="43"/>
      <c r="S899" s="89"/>
    </row>
    <row r="900" spans="1:19" ht="15.75" customHeight="1" x14ac:dyDescent="0.3">
      <c r="A900" s="88"/>
      <c r="D900" s="17"/>
      <c r="E900" s="17"/>
      <c r="F900" s="17"/>
      <c r="G900" s="17"/>
      <c r="H900" s="64"/>
      <c r="I900" s="64"/>
      <c r="J900" s="64"/>
      <c r="K900" s="64"/>
      <c r="L900" s="43"/>
      <c r="M900" s="17"/>
      <c r="N900" s="17"/>
      <c r="O900" s="43"/>
      <c r="S900" s="89"/>
    </row>
    <row r="901" spans="1:19" ht="15.75" customHeight="1" x14ac:dyDescent="0.3">
      <c r="A901" s="88"/>
      <c r="D901" s="17"/>
      <c r="E901" s="17"/>
      <c r="F901" s="17"/>
      <c r="G901" s="17"/>
      <c r="H901" s="64"/>
      <c r="I901" s="64"/>
      <c r="J901" s="64"/>
      <c r="K901" s="64"/>
      <c r="L901" s="43"/>
      <c r="M901" s="17"/>
      <c r="N901" s="17"/>
      <c r="O901" s="43"/>
      <c r="S901" s="89"/>
    </row>
    <row r="902" spans="1:19" ht="15.75" customHeight="1" x14ac:dyDescent="0.3">
      <c r="A902" s="88"/>
      <c r="D902" s="17"/>
      <c r="E902" s="17"/>
      <c r="F902" s="17"/>
      <c r="G902" s="17"/>
      <c r="H902" s="64"/>
      <c r="I902" s="64"/>
      <c r="J902" s="64"/>
      <c r="K902" s="64"/>
      <c r="L902" s="43"/>
      <c r="M902" s="17"/>
      <c r="N902" s="17"/>
      <c r="O902" s="43"/>
      <c r="S902" s="89"/>
    </row>
    <row r="903" spans="1:19" ht="15.75" customHeight="1" x14ac:dyDescent="0.3">
      <c r="A903" s="88"/>
      <c r="D903" s="17"/>
      <c r="E903" s="17"/>
      <c r="F903" s="17"/>
      <c r="G903" s="17"/>
      <c r="H903" s="64"/>
      <c r="I903" s="64"/>
      <c r="J903" s="64"/>
      <c r="K903" s="64"/>
      <c r="L903" s="43"/>
      <c r="M903" s="17"/>
      <c r="N903" s="17"/>
      <c r="O903" s="43"/>
      <c r="S903" s="89"/>
    </row>
    <row r="904" spans="1:19" ht="15.75" customHeight="1" x14ac:dyDescent="0.3">
      <c r="A904" s="88"/>
      <c r="D904" s="17"/>
      <c r="E904" s="17"/>
      <c r="F904" s="17"/>
      <c r="G904" s="17"/>
      <c r="H904" s="64"/>
      <c r="I904" s="64"/>
      <c r="J904" s="64"/>
      <c r="K904" s="64"/>
      <c r="L904" s="43"/>
      <c r="M904" s="17"/>
      <c r="N904" s="17"/>
      <c r="O904" s="43"/>
      <c r="S904" s="89"/>
    </row>
    <row r="905" spans="1:19" ht="15.75" customHeight="1" x14ac:dyDescent="0.3">
      <c r="A905" s="88"/>
      <c r="D905" s="17"/>
      <c r="E905" s="17"/>
      <c r="F905" s="17"/>
      <c r="G905" s="17"/>
      <c r="H905" s="64"/>
      <c r="I905" s="64"/>
      <c r="J905" s="64"/>
      <c r="K905" s="64"/>
      <c r="L905" s="43"/>
      <c r="M905" s="17"/>
      <c r="N905" s="17"/>
      <c r="O905" s="43"/>
      <c r="S905" s="89"/>
    </row>
    <row r="906" spans="1:19" ht="15.75" customHeight="1" x14ac:dyDescent="0.3">
      <c r="A906" s="88"/>
      <c r="D906" s="17"/>
      <c r="E906" s="17"/>
      <c r="F906" s="17"/>
      <c r="G906" s="17"/>
      <c r="H906" s="64"/>
      <c r="I906" s="64"/>
      <c r="J906" s="64"/>
      <c r="K906" s="64"/>
      <c r="L906" s="43"/>
      <c r="M906" s="17"/>
      <c r="N906" s="17"/>
      <c r="O906" s="43"/>
      <c r="S906" s="89"/>
    </row>
    <row r="907" spans="1:19" ht="15.75" customHeight="1" x14ac:dyDescent="0.3">
      <c r="A907" s="88"/>
      <c r="D907" s="17"/>
      <c r="E907" s="17"/>
      <c r="F907" s="17"/>
      <c r="G907" s="17"/>
      <c r="H907" s="64"/>
      <c r="I907" s="64"/>
      <c r="J907" s="64"/>
      <c r="K907" s="64"/>
      <c r="L907" s="43"/>
      <c r="M907" s="17"/>
      <c r="N907" s="17"/>
      <c r="O907" s="43"/>
      <c r="S907" s="89"/>
    </row>
    <row r="908" spans="1:19" ht="15.75" customHeight="1" x14ac:dyDescent="0.3">
      <c r="A908" s="88"/>
      <c r="D908" s="17"/>
      <c r="E908" s="17"/>
      <c r="F908" s="17"/>
      <c r="G908" s="17"/>
      <c r="H908" s="64"/>
      <c r="I908" s="64"/>
      <c r="J908" s="64"/>
      <c r="K908" s="64"/>
      <c r="L908" s="43"/>
      <c r="M908" s="17"/>
      <c r="N908" s="17"/>
      <c r="O908" s="43"/>
      <c r="S908" s="89"/>
    </row>
    <row r="909" spans="1:19" ht="15.75" customHeight="1" x14ac:dyDescent="0.3">
      <c r="A909" s="88"/>
      <c r="D909" s="17"/>
      <c r="E909" s="17"/>
      <c r="F909" s="17"/>
      <c r="G909" s="17"/>
      <c r="H909" s="64"/>
      <c r="I909" s="64"/>
      <c r="J909" s="64"/>
      <c r="K909" s="64"/>
      <c r="L909" s="43"/>
      <c r="M909" s="17"/>
      <c r="N909" s="17"/>
      <c r="O909" s="43"/>
      <c r="S909" s="89"/>
    </row>
    <row r="910" spans="1:19" ht="15.75" customHeight="1" x14ac:dyDescent="0.3">
      <c r="A910" s="88"/>
      <c r="D910" s="17"/>
      <c r="E910" s="17"/>
      <c r="F910" s="17"/>
      <c r="G910" s="17"/>
      <c r="H910" s="64"/>
      <c r="I910" s="64"/>
      <c r="J910" s="64"/>
      <c r="K910" s="64"/>
      <c r="L910" s="43"/>
      <c r="M910" s="17"/>
      <c r="N910" s="17"/>
      <c r="O910" s="43"/>
      <c r="S910" s="89"/>
    </row>
    <row r="911" spans="1:19" ht="15.75" customHeight="1" x14ac:dyDescent="0.3">
      <c r="A911" s="88"/>
      <c r="D911" s="17"/>
      <c r="E911" s="17"/>
      <c r="F911" s="17"/>
      <c r="G911" s="17"/>
      <c r="H911" s="64"/>
      <c r="I911" s="64"/>
      <c r="J911" s="64"/>
      <c r="K911" s="64"/>
      <c r="L911" s="43"/>
      <c r="M911" s="17"/>
      <c r="N911" s="17"/>
      <c r="O911" s="43"/>
      <c r="S911" s="89"/>
    </row>
    <row r="912" spans="1:19" ht="15.75" customHeight="1" x14ac:dyDescent="0.3">
      <c r="A912" s="88"/>
      <c r="D912" s="17"/>
      <c r="E912" s="17"/>
      <c r="F912" s="17"/>
      <c r="G912" s="17"/>
      <c r="H912" s="64"/>
      <c r="I912" s="64"/>
      <c r="J912" s="64"/>
      <c r="K912" s="64"/>
      <c r="L912" s="43"/>
      <c r="M912" s="17"/>
      <c r="N912" s="17"/>
      <c r="O912" s="43"/>
      <c r="S912" s="89"/>
    </row>
    <row r="913" spans="1:19" ht="15.75" customHeight="1" x14ac:dyDescent="0.3">
      <c r="A913" s="88"/>
      <c r="D913" s="17"/>
      <c r="E913" s="17"/>
      <c r="F913" s="17"/>
      <c r="G913" s="17"/>
      <c r="H913" s="64"/>
      <c r="I913" s="64"/>
      <c r="J913" s="64"/>
      <c r="K913" s="64"/>
      <c r="L913" s="43"/>
      <c r="M913" s="17"/>
      <c r="N913" s="17"/>
      <c r="O913" s="43"/>
      <c r="S913" s="89"/>
    </row>
    <row r="914" spans="1:19" ht="15.75" customHeight="1" x14ac:dyDescent="0.3">
      <c r="A914" s="88"/>
      <c r="D914" s="17"/>
      <c r="E914" s="17"/>
      <c r="F914" s="17"/>
      <c r="G914" s="17"/>
      <c r="H914" s="64"/>
      <c r="I914" s="64"/>
      <c r="J914" s="64"/>
      <c r="K914" s="64"/>
      <c r="L914" s="43"/>
      <c r="M914" s="17"/>
      <c r="N914" s="17"/>
      <c r="O914" s="43"/>
      <c r="S914" s="89"/>
    </row>
    <row r="915" spans="1:19" ht="15.75" customHeight="1" x14ac:dyDescent="0.3">
      <c r="A915" s="88"/>
      <c r="D915" s="17"/>
      <c r="E915" s="17"/>
      <c r="F915" s="17"/>
      <c r="G915" s="17"/>
      <c r="H915" s="64"/>
      <c r="I915" s="64"/>
      <c r="J915" s="64"/>
      <c r="K915" s="64"/>
      <c r="L915" s="43"/>
      <c r="M915" s="17"/>
      <c r="N915" s="17"/>
      <c r="O915" s="43"/>
      <c r="S915" s="89"/>
    </row>
    <row r="916" spans="1:19" ht="15.75" customHeight="1" x14ac:dyDescent="0.3">
      <c r="A916" s="88"/>
      <c r="D916" s="17"/>
      <c r="E916" s="17"/>
      <c r="F916" s="17"/>
      <c r="G916" s="17"/>
      <c r="H916" s="64"/>
      <c r="I916" s="64"/>
      <c r="J916" s="64"/>
      <c r="K916" s="64"/>
      <c r="L916" s="43"/>
      <c r="M916" s="17"/>
      <c r="N916" s="17"/>
      <c r="O916" s="43"/>
      <c r="S916" s="89"/>
    </row>
    <row r="917" spans="1:19" ht="15.75" customHeight="1" x14ac:dyDescent="0.3">
      <c r="A917" s="88"/>
      <c r="D917" s="17"/>
      <c r="E917" s="17"/>
      <c r="F917" s="17"/>
      <c r="G917" s="17"/>
      <c r="H917" s="64"/>
      <c r="I917" s="64"/>
      <c r="J917" s="64"/>
      <c r="K917" s="64"/>
      <c r="L917" s="43"/>
      <c r="M917" s="17"/>
      <c r="N917" s="17"/>
      <c r="O917" s="43"/>
      <c r="S917" s="89"/>
    </row>
    <row r="918" spans="1:19" ht="15.75" customHeight="1" x14ac:dyDescent="0.3">
      <c r="A918" s="88"/>
      <c r="D918" s="17"/>
      <c r="E918" s="17"/>
      <c r="F918" s="17"/>
      <c r="G918" s="17"/>
      <c r="H918" s="64"/>
      <c r="I918" s="64"/>
      <c r="J918" s="64"/>
      <c r="K918" s="64"/>
      <c r="L918" s="43"/>
      <c r="M918" s="17"/>
      <c r="N918" s="17"/>
      <c r="O918" s="43"/>
      <c r="S918" s="89"/>
    </row>
    <row r="919" spans="1:19" ht="15.75" customHeight="1" x14ac:dyDescent="0.3">
      <c r="A919" s="88"/>
      <c r="D919" s="17"/>
      <c r="E919" s="17"/>
      <c r="F919" s="17"/>
      <c r="G919" s="17"/>
      <c r="H919" s="64"/>
      <c r="I919" s="64"/>
      <c r="J919" s="64"/>
      <c r="K919" s="64"/>
      <c r="L919" s="43"/>
      <c r="M919" s="17"/>
      <c r="N919" s="17"/>
      <c r="O919" s="43"/>
      <c r="S919" s="89"/>
    </row>
    <row r="920" spans="1:19" ht="15.75" customHeight="1" x14ac:dyDescent="0.3">
      <c r="A920" s="88"/>
      <c r="D920" s="17"/>
      <c r="E920" s="17"/>
      <c r="F920" s="17"/>
      <c r="G920" s="17"/>
      <c r="H920" s="64"/>
      <c r="I920" s="64"/>
      <c r="J920" s="64"/>
      <c r="K920" s="64"/>
      <c r="L920" s="43"/>
      <c r="M920" s="17"/>
      <c r="N920" s="17"/>
      <c r="O920" s="43"/>
      <c r="S920" s="89"/>
    </row>
    <row r="921" spans="1:19" ht="15.75" customHeight="1" x14ac:dyDescent="0.3">
      <c r="A921" s="88"/>
      <c r="D921" s="17"/>
      <c r="E921" s="17"/>
      <c r="F921" s="17"/>
      <c r="G921" s="17"/>
      <c r="H921" s="64"/>
      <c r="I921" s="64"/>
      <c r="J921" s="64"/>
      <c r="K921" s="64"/>
      <c r="L921" s="43"/>
      <c r="M921" s="17"/>
      <c r="N921" s="17"/>
      <c r="O921" s="43"/>
      <c r="S921" s="89"/>
    </row>
    <row r="922" spans="1:19" ht="15.75" customHeight="1" x14ac:dyDescent="0.3">
      <c r="A922" s="88"/>
      <c r="D922" s="17"/>
      <c r="E922" s="17"/>
      <c r="F922" s="17"/>
      <c r="G922" s="17"/>
      <c r="H922" s="64"/>
      <c r="I922" s="64"/>
      <c r="J922" s="64"/>
      <c r="K922" s="64"/>
      <c r="L922" s="43"/>
      <c r="M922" s="17"/>
      <c r="N922" s="17"/>
      <c r="O922" s="43"/>
      <c r="S922" s="89"/>
    </row>
    <row r="923" spans="1:19" ht="15.75" customHeight="1" x14ac:dyDescent="0.3">
      <c r="A923" s="88"/>
      <c r="D923" s="17"/>
      <c r="E923" s="17"/>
      <c r="F923" s="17"/>
      <c r="G923" s="17"/>
      <c r="H923" s="64"/>
      <c r="I923" s="64"/>
      <c r="J923" s="64"/>
      <c r="K923" s="64"/>
      <c r="L923" s="43"/>
      <c r="M923" s="17"/>
      <c r="N923" s="17"/>
      <c r="O923" s="43"/>
      <c r="S923" s="89"/>
    </row>
    <row r="924" spans="1:19" ht="15.75" customHeight="1" x14ac:dyDescent="0.3">
      <c r="A924" s="88"/>
      <c r="D924" s="17"/>
      <c r="E924" s="17"/>
      <c r="F924" s="17"/>
      <c r="G924" s="17"/>
      <c r="H924" s="64"/>
      <c r="I924" s="64"/>
      <c r="J924" s="64"/>
      <c r="K924" s="64"/>
      <c r="L924" s="43"/>
      <c r="M924" s="17"/>
      <c r="N924" s="17"/>
      <c r="O924" s="43"/>
      <c r="S924" s="89"/>
    </row>
    <row r="925" spans="1:19" ht="15.75" customHeight="1" x14ac:dyDescent="0.3">
      <c r="A925" s="88"/>
      <c r="D925" s="17"/>
      <c r="E925" s="17"/>
      <c r="F925" s="17"/>
      <c r="G925" s="17"/>
      <c r="H925" s="64"/>
      <c r="I925" s="64"/>
      <c r="J925" s="64"/>
      <c r="K925" s="64"/>
      <c r="L925" s="43"/>
      <c r="M925" s="17"/>
      <c r="N925" s="17"/>
      <c r="O925" s="43"/>
      <c r="S925" s="89"/>
    </row>
    <row r="926" spans="1:19" ht="15.75" customHeight="1" x14ac:dyDescent="0.3">
      <c r="A926" s="88"/>
      <c r="D926" s="17"/>
      <c r="E926" s="17"/>
      <c r="F926" s="17"/>
      <c r="G926" s="17"/>
      <c r="H926" s="64"/>
      <c r="I926" s="64"/>
      <c r="J926" s="64"/>
      <c r="K926" s="64"/>
      <c r="L926" s="43"/>
      <c r="M926" s="17"/>
      <c r="N926" s="17"/>
      <c r="O926" s="43"/>
      <c r="S926" s="89"/>
    </row>
    <row r="927" spans="1:19" ht="15.75" customHeight="1" x14ac:dyDescent="0.3">
      <c r="A927" s="88"/>
      <c r="D927" s="17"/>
      <c r="E927" s="17"/>
      <c r="F927" s="17"/>
      <c r="G927" s="17"/>
      <c r="H927" s="64"/>
      <c r="I927" s="64"/>
      <c r="J927" s="64"/>
      <c r="K927" s="64"/>
      <c r="L927" s="43"/>
      <c r="M927" s="17"/>
      <c r="N927" s="17"/>
      <c r="O927" s="43"/>
      <c r="S927" s="89"/>
    </row>
    <row r="928" spans="1:19" ht="15.75" customHeight="1" x14ac:dyDescent="0.3">
      <c r="A928" s="88"/>
      <c r="D928" s="17"/>
      <c r="E928" s="17"/>
      <c r="F928" s="17"/>
      <c r="G928" s="17"/>
      <c r="H928" s="64"/>
      <c r="I928" s="64"/>
      <c r="J928" s="64"/>
      <c r="K928" s="64"/>
      <c r="L928" s="43"/>
      <c r="M928" s="17"/>
      <c r="N928" s="17"/>
      <c r="O928" s="43"/>
      <c r="S928" s="89"/>
    </row>
    <row r="929" spans="1:19" ht="15.75" customHeight="1" x14ac:dyDescent="0.3">
      <c r="A929" s="88"/>
      <c r="D929" s="17"/>
      <c r="E929" s="17"/>
      <c r="F929" s="17"/>
      <c r="G929" s="17"/>
      <c r="H929" s="64"/>
      <c r="I929" s="64"/>
      <c r="J929" s="64"/>
      <c r="K929" s="64"/>
      <c r="L929" s="43"/>
      <c r="M929" s="17"/>
      <c r="N929" s="17"/>
      <c r="O929" s="43"/>
      <c r="S929" s="89"/>
    </row>
    <row r="930" spans="1:19" ht="15.75" customHeight="1" x14ac:dyDescent="0.3">
      <c r="A930" s="88"/>
      <c r="D930" s="17"/>
      <c r="E930" s="17"/>
      <c r="F930" s="17"/>
      <c r="G930" s="17"/>
      <c r="H930" s="64"/>
      <c r="I930" s="64"/>
      <c r="J930" s="64"/>
      <c r="K930" s="64"/>
      <c r="L930" s="43"/>
      <c r="M930" s="17"/>
      <c r="N930" s="17"/>
      <c r="O930" s="43"/>
      <c r="S930" s="89"/>
    </row>
    <row r="931" spans="1:19" ht="15.75" customHeight="1" x14ac:dyDescent="0.3">
      <c r="A931" s="88"/>
      <c r="D931" s="17"/>
      <c r="E931" s="17"/>
      <c r="F931" s="17"/>
      <c r="G931" s="17"/>
      <c r="H931" s="64"/>
      <c r="I931" s="64"/>
      <c r="J931" s="64"/>
      <c r="K931" s="64"/>
      <c r="L931" s="43"/>
      <c r="M931" s="17"/>
      <c r="N931" s="17"/>
      <c r="O931" s="43"/>
      <c r="S931" s="89"/>
    </row>
    <row r="932" spans="1:19" ht="15.75" customHeight="1" x14ac:dyDescent="0.3">
      <c r="A932" s="88"/>
      <c r="D932" s="17"/>
      <c r="E932" s="17"/>
      <c r="F932" s="17"/>
      <c r="G932" s="17"/>
      <c r="H932" s="64"/>
      <c r="I932" s="64"/>
      <c r="J932" s="64"/>
      <c r="K932" s="64"/>
      <c r="L932" s="43"/>
      <c r="M932" s="17"/>
      <c r="N932" s="17"/>
      <c r="O932" s="43"/>
      <c r="S932" s="89"/>
    </row>
    <row r="933" spans="1:19" ht="15.75" customHeight="1" x14ac:dyDescent="0.3">
      <c r="A933" s="88"/>
      <c r="D933" s="17"/>
      <c r="E933" s="17"/>
      <c r="F933" s="17"/>
      <c r="G933" s="17"/>
      <c r="H933" s="64"/>
      <c r="I933" s="64"/>
      <c r="J933" s="64"/>
      <c r="K933" s="64"/>
      <c r="L933" s="43"/>
      <c r="M933" s="17"/>
      <c r="N933" s="17"/>
      <c r="O933" s="43"/>
      <c r="S933" s="89"/>
    </row>
    <row r="934" spans="1:19" ht="15.75" customHeight="1" x14ac:dyDescent="0.3">
      <c r="A934" s="88"/>
      <c r="D934" s="17"/>
      <c r="E934" s="17"/>
      <c r="F934" s="17"/>
      <c r="G934" s="17"/>
      <c r="H934" s="64"/>
      <c r="I934" s="64"/>
      <c r="J934" s="64"/>
      <c r="K934" s="64"/>
      <c r="L934" s="43"/>
      <c r="M934" s="17"/>
      <c r="N934" s="17"/>
      <c r="O934" s="43"/>
      <c r="S934" s="89"/>
    </row>
    <row r="935" spans="1:19" ht="15.75" customHeight="1" x14ac:dyDescent="0.3">
      <c r="A935" s="88"/>
      <c r="D935" s="17"/>
      <c r="E935" s="17"/>
      <c r="F935" s="17"/>
      <c r="G935" s="17"/>
      <c r="H935" s="64"/>
      <c r="I935" s="64"/>
      <c r="J935" s="64"/>
      <c r="K935" s="64"/>
      <c r="L935" s="43"/>
      <c r="M935" s="17"/>
      <c r="N935" s="17"/>
      <c r="O935" s="43"/>
      <c r="S935" s="89"/>
    </row>
    <row r="936" spans="1:19" ht="15.75" customHeight="1" x14ac:dyDescent="0.3">
      <c r="A936" s="88"/>
      <c r="D936" s="17"/>
      <c r="E936" s="17"/>
      <c r="F936" s="17"/>
      <c r="G936" s="17"/>
      <c r="H936" s="64"/>
      <c r="I936" s="64"/>
      <c r="J936" s="64"/>
      <c r="K936" s="64"/>
      <c r="L936" s="43"/>
      <c r="M936" s="17"/>
      <c r="N936" s="17"/>
      <c r="O936" s="43"/>
      <c r="S936" s="89"/>
    </row>
    <row r="937" spans="1:19" ht="15.75" customHeight="1" x14ac:dyDescent="0.3">
      <c r="A937" s="88"/>
      <c r="D937" s="17"/>
      <c r="E937" s="17"/>
      <c r="F937" s="17"/>
      <c r="G937" s="17"/>
      <c r="H937" s="64"/>
      <c r="I937" s="64"/>
      <c r="J937" s="64"/>
      <c r="K937" s="64"/>
      <c r="L937" s="43"/>
      <c r="M937" s="17"/>
      <c r="N937" s="17"/>
      <c r="O937" s="43"/>
      <c r="S937" s="89"/>
    </row>
    <row r="938" spans="1:19" ht="15.75" customHeight="1" x14ac:dyDescent="0.3">
      <c r="A938" s="88"/>
      <c r="D938" s="17"/>
      <c r="E938" s="17"/>
      <c r="F938" s="17"/>
      <c r="G938" s="17"/>
      <c r="H938" s="64"/>
      <c r="I938" s="64"/>
      <c r="J938" s="64"/>
      <c r="K938" s="64"/>
      <c r="L938" s="43"/>
      <c r="M938" s="17"/>
      <c r="N938" s="17"/>
      <c r="O938" s="43"/>
      <c r="S938" s="89"/>
    </row>
    <row r="939" spans="1:19" ht="15.75" customHeight="1" x14ac:dyDescent="0.3">
      <c r="A939" s="88"/>
      <c r="D939" s="17"/>
      <c r="E939" s="17"/>
      <c r="F939" s="17"/>
      <c r="G939" s="17"/>
      <c r="H939" s="64"/>
      <c r="I939" s="64"/>
      <c r="J939" s="64"/>
      <c r="K939" s="64"/>
      <c r="L939" s="43"/>
      <c r="M939" s="17"/>
      <c r="N939" s="17"/>
      <c r="O939" s="43"/>
      <c r="S939" s="89"/>
    </row>
    <row r="940" spans="1:19" ht="15.75" customHeight="1" x14ac:dyDescent="0.3">
      <c r="A940" s="88"/>
      <c r="D940" s="17"/>
      <c r="E940" s="17"/>
      <c r="F940" s="17"/>
      <c r="G940" s="17"/>
      <c r="H940" s="64"/>
      <c r="I940" s="64"/>
      <c r="J940" s="64"/>
      <c r="K940" s="64"/>
      <c r="L940" s="43"/>
      <c r="M940" s="17"/>
      <c r="N940" s="17"/>
      <c r="O940" s="43"/>
      <c r="S940" s="89"/>
    </row>
    <row r="941" spans="1:19" ht="15.75" customHeight="1" x14ac:dyDescent="0.3">
      <c r="A941" s="88"/>
      <c r="D941" s="17"/>
      <c r="E941" s="17"/>
      <c r="F941" s="17"/>
      <c r="G941" s="17"/>
      <c r="H941" s="64"/>
      <c r="I941" s="64"/>
      <c r="J941" s="64"/>
      <c r="K941" s="64"/>
      <c r="L941" s="43"/>
      <c r="M941" s="17"/>
      <c r="N941" s="17"/>
      <c r="O941" s="43"/>
      <c r="S941" s="89"/>
    </row>
    <row r="942" spans="1:19" ht="15.75" customHeight="1" x14ac:dyDescent="0.3">
      <c r="A942" s="88"/>
      <c r="D942" s="17"/>
      <c r="E942" s="17"/>
      <c r="F942" s="17"/>
      <c r="G942" s="17"/>
      <c r="H942" s="64"/>
      <c r="I942" s="64"/>
      <c r="J942" s="64"/>
      <c r="K942" s="64"/>
      <c r="L942" s="43"/>
      <c r="M942" s="17"/>
      <c r="N942" s="17"/>
      <c r="O942" s="43"/>
      <c r="S942" s="89"/>
    </row>
    <row r="943" spans="1:19" ht="15.75" customHeight="1" x14ac:dyDescent="0.3">
      <c r="A943" s="88"/>
      <c r="D943" s="17"/>
      <c r="E943" s="17"/>
      <c r="F943" s="17"/>
      <c r="G943" s="17"/>
      <c r="H943" s="64"/>
      <c r="I943" s="64"/>
      <c r="J943" s="64"/>
      <c r="K943" s="64"/>
      <c r="L943" s="43"/>
      <c r="M943" s="17"/>
      <c r="N943" s="17"/>
      <c r="O943" s="43"/>
      <c r="S943" s="89"/>
    </row>
    <row r="944" spans="1:19" ht="15.75" customHeight="1" x14ac:dyDescent="0.3">
      <c r="A944" s="88"/>
      <c r="D944" s="17"/>
      <c r="E944" s="17"/>
      <c r="F944" s="17"/>
      <c r="G944" s="17"/>
      <c r="H944" s="64"/>
      <c r="I944" s="64"/>
      <c r="J944" s="64"/>
      <c r="K944" s="64"/>
      <c r="L944" s="43"/>
      <c r="M944" s="17"/>
      <c r="N944" s="17"/>
      <c r="O944" s="43"/>
      <c r="S944" s="89"/>
    </row>
    <row r="945" spans="1:19" ht="15.75" customHeight="1" x14ac:dyDescent="0.3">
      <c r="A945" s="88"/>
      <c r="D945" s="17"/>
      <c r="E945" s="17"/>
      <c r="F945" s="17"/>
      <c r="G945" s="17"/>
      <c r="H945" s="64"/>
      <c r="I945" s="64"/>
      <c r="J945" s="64"/>
      <c r="K945" s="64"/>
      <c r="L945" s="43"/>
      <c r="M945" s="17"/>
      <c r="N945" s="17"/>
      <c r="O945" s="43"/>
      <c r="S945" s="89"/>
    </row>
    <row r="946" spans="1:19" ht="15.75" customHeight="1" x14ac:dyDescent="0.3">
      <c r="A946" s="88"/>
      <c r="D946" s="17"/>
      <c r="E946" s="17"/>
      <c r="F946" s="17"/>
      <c r="G946" s="17"/>
      <c r="H946" s="64"/>
      <c r="I946" s="64"/>
      <c r="J946" s="64"/>
      <c r="K946" s="64"/>
      <c r="L946" s="43"/>
      <c r="M946" s="17"/>
      <c r="N946" s="17"/>
      <c r="O946" s="43"/>
      <c r="S946" s="89"/>
    </row>
    <row r="947" spans="1:19" ht="15.75" customHeight="1" x14ac:dyDescent="0.3">
      <c r="A947" s="88"/>
      <c r="D947" s="17"/>
      <c r="E947" s="17"/>
      <c r="F947" s="17"/>
      <c r="G947" s="17"/>
      <c r="H947" s="64"/>
      <c r="I947" s="64"/>
      <c r="J947" s="64"/>
      <c r="K947" s="64"/>
      <c r="L947" s="43"/>
      <c r="M947" s="17"/>
      <c r="N947" s="17"/>
      <c r="O947" s="43"/>
      <c r="S947" s="89"/>
    </row>
    <row r="948" spans="1:19" ht="15.75" customHeight="1" x14ac:dyDescent="0.3">
      <c r="A948" s="88"/>
      <c r="D948" s="17"/>
      <c r="E948" s="17"/>
      <c r="F948" s="17"/>
      <c r="G948" s="17"/>
      <c r="H948" s="64"/>
      <c r="I948" s="64"/>
      <c r="J948" s="64"/>
      <c r="K948" s="64"/>
      <c r="L948" s="43"/>
      <c r="M948" s="17"/>
      <c r="N948" s="17"/>
      <c r="O948" s="43"/>
      <c r="S948" s="89"/>
    </row>
    <row r="949" spans="1:19" ht="15.75" customHeight="1" x14ac:dyDescent="0.3">
      <c r="A949" s="88"/>
      <c r="D949" s="17"/>
      <c r="E949" s="17"/>
      <c r="F949" s="17"/>
      <c r="G949" s="17"/>
      <c r="H949" s="64"/>
      <c r="I949" s="64"/>
      <c r="J949" s="64"/>
      <c r="K949" s="64"/>
      <c r="L949" s="43"/>
      <c r="M949" s="17"/>
      <c r="N949" s="17"/>
      <c r="O949" s="43"/>
      <c r="S949" s="89"/>
    </row>
    <row r="950" spans="1:19" ht="15.75" customHeight="1" x14ac:dyDescent="0.3">
      <c r="A950" s="88"/>
      <c r="D950" s="17"/>
      <c r="E950" s="17"/>
      <c r="F950" s="17"/>
      <c r="G950" s="17"/>
      <c r="H950" s="64"/>
      <c r="I950" s="64"/>
      <c r="J950" s="64"/>
      <c r="K950" s="64"/>
      <c r="L950" s="43"/>
      <c r="M950" s="17"/>
      <c r="N950" s="17"/>
      <c r="O950" s="43"/>
      <c r="S950" s="89"/>
    </row>
    <row r="951" spans="1:19" ht="15.75" customHeight="1" x14ac:dyDescent="0.3">
      <c r="A951" s="88"/>
      <c r="D951" s="17"/>
      <c r="E951" s="17"/>
      <c r="F951" s="17"/>
      <c r="G951" s="17"/>
      <c r="H951" s="64"/>
      <c r="I951" s="64"/>
      <c r="J951" s="64"/>
      <c r="K951" s="64"/>
      <c r="L951" s="43"/>
      <c r="M951" s="17"/>
      <c r="N951" s="17"/>
      <c r="O951" s="43"/>
      <c r="S951" s="89"/>
    </row>
    <row r="952" spans="1:19" ht="15.75" customHeight="1" x14ac:dyDescent="0.3">
      <c r="A952" s="88"/>
      <c r="D952" s="17"/>
      <c r="E952" s="17"/>
      <c r="F952" s="17"/>
      <c r="G952" s="17"/>
      <c r="H952" s="64"/>
      <c r="I952" s="64"/>
      <c r="J952" s="64"/>
      <c r="K952" s="64"/>
      <c r="L952" s="43"/>
      <c r="M952" s="17"/>
      <c r="N952" s="17"/>
      <c r="O952" s="43"/>
      <c r="S952" s="89"/>
    </row>
    <row r="953" spans="1:19" ht="15.75" customHeight="1" x14ac:dyDescent="0.3">
      <c r="A953" s="88"/>
      <c r="D953" s="17"/>
      <c r="E953" s="17"/>
      <c r="F953" s="17"/>
      <c r="G953" s="17"/>
      <c r="H953" s="64"/>
      <c r="I953" s="64"/>
      <c r="J953" s="64"/>
      <c r="K953" s="64"/>
      <c r="L953" s="43"/>
      <c r="M953" s="17"/>
      <c r="N953" s="17"/>
      <c r="O953" s="43"/>
      <c r="S953" s="89"/>
    </row>
    <row r="954" spans="1:19" ht="15.75" customHeight="1" x14ac:dyDescent="0.3">
      <c r="A954" s="88"/>
      <c r="D954" s="17"/>
      <c r="E954" s="17"/>
      <c r="F954" s="17"/>
      <c r="G954" s="17"/>
      <c r="H954" s="64"/>
      <c r="I954" s="64"/>
      <c r="J954" s="64"/>
      <c r="K954" s="64"/>
      <c r="L954" s="43"/>
      <c r="M954" s="17"/>
      <c r="N954" s="17"/>
      <c r="O954" s="43"/>
      <c r="S954" s="89"/>
    </row>
    <row r="955" spans="1:19" ht="15.75" customHeight="1" x14ac:dyDescent="0.3">
      <c r="A955" s="88"/>
      <c r="D955" s="17"/>
      <c r="E955" s="17"/>
      <c r="F955" s="17"/>
      <c r="G955" s="17"/>
      <c r="H955" s="64"/>
      <c r="I955" s="64"/>
      <c r="J955" s="64"/>
      <c r="K955" s="64"/>
      <c r="L955" s="43"/>
      <c r="M955" s="17"/>
      <c r="N955" s="17"/>
      <c r="O955" s="43"/>
      <c r="S955" s="89"/>
    </row>
    <row r="956" spans="1:19" ht="15.75" customHeight="1" x14ac:dyDescent="0.3">
      <c r="A956" s="88"/>
      <c r="D956" s="17"/>
      <c r="E956" s="17"/>
      <c r="F956" s="17"/>
      <c r="G956" s="17"/>
      <c r="H956" s="64"/>
      <c r="I956" s="64"/>
      <c r="J956" s="64"/>
      <c r="K956" s="64"/>
      <c r="L956" s="43"/>
      <c r="M956" s="17"/>
      <c r="N956" s="17"/>
      <c r="O956" s="43"/>
      <c r="S956" s="89"/>
    </row>
    <row r="957" spans="1:19" ht="15.75" customHeight="1" x14ac:dyDescent="0.3">
      <c r="A957" s="88"/>
      <c r="D957" s="17"/>
      <c r="E957" s="17"/>
      <c r="F957" s="17"/>
      <c r="G957" s="17"/>
      <c r="H957" s="64"/>
      <c r="I957" s="64"/>
      <c r="J957" s="64"/>
      <c r="K957" s="64"/>
      <c r="L957" s="43"/>
      <c r="M957" s="17"/>
      <c r="N957" s="17"/>
      <c r="O957" s="43"/>
      <c r="S957" s="89"/>
    </row>
    <row r="958" spans="1:19" ht="15.75" customHeight="1" x14ac:dyDescent="0.3">
      <c r="A958" s="88"/>
      <c r="D958" s="17"/>
      <c r="E958" s="17"/>
      <c r="F958" s="17"/>
      <c r="G958" s="17"/>
      <c r="H958" s="64"/>
      <c r="I958" s="64"/>
      <c r="J958" s="64"/>
      <c r="K958" s="64"/>
      <c r="L958" s="43"/>
      <c r="M958" s="17"/>
      <c r="N958" s="17"/>
      <c r="O958" s="43"/>
      <c r="S958" s="89"/>
    </row>
    <row r="959" spans="1:19" ht="15.75" customHeight="1" x14ac:dyDescent="0.3">
      <c r="A959" s="88"/>
      <c r="D959" s="17"/>
      <c r="E959" s="17"/>
      <c r="F959" s="17"/>
      <c r="G959" s="17"/>
      <c r="H959" s="64"/>
      <c r="I959" s="64"/>
      <c r="J959" s="64"/>
      <c r="K959" s="64"/>
      <c r="L959" s="43"/>
      <c r="M959" s="17"/>
      <c r="N959" s="17"/>
      <c r="O959" s="43"/>
      <c r="S959" s="89"/>
    </row>
    <row r="960" spans="1:19" ht="15.75" customHeight="1" x14ac:dyDescent="0.3">
      <c r="A960" s="88"/>
      <c r="D960" s="17"/>
      <c r="E960" s="17"/>
      <c r="F960" s="17"/>
      <c r="G960" s="17"/>
      <c r="H960" s="64"/>
      <c r="I960" s="64"/>
      <c r="J960" s="64"/>
      <c r="K960" s="64"/>
      <c r="L960" s="43"/>
      <c r="M960" s="17"/>
      <c r="N960" s="17"/>
      <c r="O960" s="43"/>
      <c r="S960" s="89"/>
    </row>
    <row r="961" spans="1:19" ht="15.75" customHeight="1" x14ac:dyDescent="0.3">
      <c r="A961" s="88"/>
      <c r="D961" s="17"/>
      <c r="E961" s="17"/>
      <c r="F961" s="17"/>
      <c r="G961" s="17"/>
      <c r="H961" s="64"/>
      <c r="I961" s="64"/>
      <c r="J961" s="64"/>
      <c r="K961" s="64"/>
      <c r="L961" s="43"/>
      <c r="M961" s="17"/>
      <c r="N961" s="17"/>
      <c r="O961" s="43"/>
      <c r="S961" s="89"/>
    </row>
    <row r="962" spans="1:19" ht="15.75" customHeight="1" x14ac:dyDescent="0.3">
      <c r="A962" s="88"/>
      <c r="D962" s="17"/>
      <c r="E962" s="17"/>
      <c r="F962" s="17"/>
      <c r="G962" s="17"/>
      <c r="H962" s="64"/>
      <c r="I962" s="64"/>
      <c r="J962" s="64"/>
      <c r="K962" s="64"/>
      <c r="L962" s="43"/>
      <c r="M962" s="17"/>
      <c r="N962" s="17"/>
      <c r="O962" s="43"/>
      <c r="S962" s="89"/>
    </row>
    <row r="963" spans="1:19" ht="15.75" customHeight="1" x14ac:dyDescent="0.3">
      <c r="A963" s="88"/>
      <c r="D963" s="17"/>
      <c r="E963" s="17"/>
      <c r="F963" s="17"/>
      <c r="G963" s="17"/>
      <c r="H963" s="64"/>
      <c r="I963" s="64"/>
      <c r="J963" s="64"/>
      <c r="K963" s="64"/>
      <c r="L963" s="43"/>
      <c r="M963" s="17"/>
      <c r="N963" s="17"/>
      <c r="O963" s="43"/>
      <c r="S963" s="89"/>
    </row>
    <row r="964" spans="1:19" ht="15.75" customHeight="1" x14ac:dyDescent="0.3">
      <c r="A964" s="88"/>
      <c r="D964" s="17"/>
      <c r="E964" s="17"/>
      <c r="F964" s="17"/>
      <c r="G964" s="17"/>
      <c r="H964" s="64"/>
      <c r="I964" s="64"/>
      <c r="J964" s="64"/>
      <c r="K964" s="64"/>
      <c r="L964" s="43"/>
      <c r="M964" s="17"/>
      <c r="N964" s="17"/>
      <c r="O964" s="43"/>
      <c r="S964" s="89"/>
    </row>
    <row r="965" spans="1:19" ht="15.75" customHeight="1" x14ac:dyDescent="0.3">
      <c r="A965" s="88"/>
      <c r="D965" s="17"/>
      <c r="E965" s="17"/>
      <c r="F965" s="17"/>
      <c r="G965" s="17"/>
      <c r="H965" s="64"/>
      <c r="I965" s="64"/>
      <c r="J965" s="64"/>
      <c r="K965" s="64"/>
      <c r="L965" s="43"/>
      <c r="M965" s="17"/>
      <c r="N965" s="17"/>
      <c r="O965" s="43"/>
      <c r="S965" s="89"/>
    </row>
    <row r="966" spans="1:19" ht="15.75" customHeight="1" x14ac:dyDescent="0.3">
      <c r="A966" s="88"/>
      <c r="D966" s="17"/>
      <c r="E966" s="17"/>
      <c r="F966" s="17"/>
      <c r="G966" s="17"/>
      <c r="H966" s="64"/>
      <c r="I966" s="64"/>
      <c r="J966" s="64"/>
      <c r="K966" s="64"/>
      <c r="L966" s="43"/>
      <c r="M966" s="17"/>
      <c r="N966" s="17"/>
      <c r="O966" s="43"/>
      <c r="S966" s="89"/>
    </row>
    <row r="967" spans="1:19" ht="15.75" customHeight="1" x14ac:dyDescent="0.3">
      <c r="A967" s="88"/>
      <c r="D967" s="17"/>
      <c r="E967" s="17"/>
      <c r="F967" s="17"/>
      <c r="G967" s="17"/>
      <c r="H967" s="64"/>
      <c r="I967" s="64"/>
      <c r="J967" s="64"/>
      <c r="K967" s="64"/>
      <c r="L967" s="43"/>
      <c r="M967" s="17"/>
      <c r="N967" s="17"/>
      <c r="O967" s="43"/>
      <c r="S967" s="89"/>
    </row>
    <row r="968" spans="1:19" ht="15.75" customHeight="1" x14ac:dyDescent="0.3">
      <c r="A968" s="88"/>
      <c r="D968" s="17"/>
      <c r="E968" s="17"/>
      <c r="F968" s="17"/>
      <c r="G968" s="17"/>
      <c r="H968" s="64"/>
      <c r="I968" s="64"/>
      <c r="J968" s="64"/>
      <c r="K968" s="64"/>
      <c r="L968" s="43"/>
      <c r="M968" s="17"/>
      <c r="N968" s="17"/>
      <c r="O968" s="43"/>
      <c r="S968" s="89"/>
    </row>
    <row r="969" spans="1:19" ht="15.75" customHeight="1" x14ac:dyDescent="0.3">
      <c r="A969" s="88"/>
      <c r="D969" s="17"/>
      <c r="E969" s="17"/>
      <c r="F969" s="17"/>
      <c r="G969" s="17"/>
      <c r="H969" s="64"/>
      <c r="I969" s="64"/>
      <c r="J969" s="64"/>
      <c r="K969" s="64"/>
      <c r="L969" s="43"/>
      <c r="M969" s="17"/>
      <c r="N969" s="17"/>
      <c r="O969" s="43"/>
      <c r="S969" s="89"/>
    </row>
    <row r="970" spans="1:19" ht="15.75" customHeight="1" x14ac:dyDescent="0.3">
      <c r="A970" s="88"/>
      <c r="D970" s="17"/>
      <c r="E970" s="17"/>
      <c r="F970" s="17"/>
      <c r="G970" s="17"/>
      <c r="H970" s="64"/>
      <c r="I970" s="64"/>
      <c r="J970" s="64"/>
      <c r="K970" s="64"/>
      <c r="L970" s="43"/>
      <c r="M970" s="17"/>
      <c r="N970" s="17"/>
      <c r="O970" s="43"/>
      <c r="S970" s="89"/>
    </row>
    <row r="971" spans="1:19" ht="15.75" customHeight="1" x14ac:dyDescent="0.3">
      <c r="A971" s="88"/>
      <c r="D971" s="17"/>
      <c r="E971" s="17"/>
      <c r="F971" s="17"/>
      <c r="G971" s="17"/>
      <c r="H971" s="64"/>
      <c r="I971" s="64"/>
      <c r="J971" s="64"/>
      <c r="K971" s="64"/>
      <c r="L971" s="43"/>
      <c r="M971" s="17"/>
      <c r="N971" s="17"/>
      <c r="O971" s="43"/>
      <c r="S971" s="89"/>
    </row>
    <row r="972" spans="1:19" ht="15.75" customHeight="1" x14ac:dyDescent="0.3">
      <c r="A972" s="88"/>
      <c r="D972" s="17"/>
      <c r="E972" s="17"/>
      <c r="F972" s="17"/>
      <c r="G972" s="17"/>
      <c r="H972" s="64"/>
      <c r="I972" s="64"/>
      <c r="J972" s="64"/>
      <c r="K972" s="64"/>
      <c r="L972" s="43"/>
      <c r="M972" s="17"/>
      <c r="N972" s="17"/>
      <c r="O972" s="43"/>
      <c r="S972" s="89"/>
    </row>
    <row r="973" spans="1:19" ht="15.75" customHeight="1" x14ac:dyDescent="0.3">
      <c r="A973" s="88"/>
      <c r="D973" s="17"/>
      <c r="E973" s="17"/>
      <c r="F973" s="17"/>
      <c r="G973" s="17"/>
      <c r="H973" s="64"/>
      <c r="I973" s="64"/>
      <c r="J973" s="64"/>
      <c r="K973" s="64"/>
      <c r="L973" s="43"/>
      <c r="M973" s="17"/>
      <c r="N973" s="17"/>
      <c r="O973" s="43"/>
      <c r="S973" s="89"/>
    </row>
    <row r="974" spans="1:19" ht="15.75" customHeight="1" x14ac:dyDescent="0.3">
      <c r="A974" s="88"/>
      <c r="D974" s="17"/>
      <c r="E974" s="17"/>
      <c r="F974" s="17"/>
      <c r="G974" s="17"/>
      <c r="H974" s="64"/>
      <c r="I974" s="64"/>
      <c r="J974" s="64"/>
      <c r="K974" s="64"/>
      <c r="L974" s="43"/>
      <c r="M974" s="17"/>
      <c r="N974" s="17"/>
      <c r="O974" s="43"/>
      <c r="S974" s="89"/>
    </row>
    <row r="975" spans="1:19" ht="15.75" customHeight="1" x14ac:dyDescent="0.3">
      <c r="A975" s="88"/>
      <c r="D975" s="17"/>
      <c r="E975" s="17"/>
      <c r="F975" s="17"/>
      <c r="G975" s="17"/>
      <c r="H975" s="64"/>
      <c r="I975" s="64"/>
      <c r="J975" s="64"/>
      <c r="K975" s="64"/>
      <c r="L975" s="43"/>
      <c r="M975" s="17"/>
      <c r="N975" s="17"/>
      <c r="O975" s="43"/>
      <c r="S975" s="89"/>
    </row>
    <row r="976" spans="1:19" ht="15.75" customHeight="1" x14ac:dyDescent="0.3">
      <c r="A976" s="88"/>
      <c r="D976" s="17"/>
      <c r="E976" s="17"/>
      <c r="F976" s="17"/>
      <c r="G976" s="17"/>
      <c r="H976" s="64"/>
      <c r="I976" s="64"/>
      <c r="J976" s="64"/>
      <c r="K976" s="64"/>
      <c r="L976" s="43"/>
      <c r="M976" s="17"/>
      <c r="N976" s="17"/>
      <c r="O976" s="43"/>
      <c r="S976" s="89"/>
    </row>
    <row r="977" spans="1:19" ht="15.75" customHeight="1" x14ac:dyDescent="0.3">
      <c r="A977" s="88"/>
      <c r="D977" s="17"/>
      <c r="E977" s="17"/>
      <c r="F977" s="17"/>
      <c r="G977" s="17"/>
      <c r="H977" s="64"/>
      <c r="I977" s="64"/>
      <c r="J977" s="64"/>
      <c r="K977" s="64"/>
      <c r="L977" s="43"/>
      <c r="M977" s="17"/>
      <c r="N977" s="17"/>
      <c r="O977" s="43"/>
      <c r="S977" s="89"/>
    </row>
    <row r="978" spans="1:19" ht="15.75" customHeight="1" x14ac:dyDescent="0.3">
      <c r="A978" s="88"/>
      <c r="D978" s="17"/>
      <c r="E978" s="17"/>
      <c r="F978" s="17"/>
      <c r="G978" s="17"/>
      <c r="H978" s="64"/>
      <c r="I978" s="64"/>
      <c r="J978" s="64"/>
      <c r="K978" s="64"/>
      <c r="L978" s="43"/>
      <c r="M978" s="17"/>
      <c r="N978" s="17"/>
      <c r="O978" s="43"/>
      <c r="S978" s="89"/>
    </row>
    <row r="979" spans="1:19" ht="15.75" customHeight="1" x14ac:dyDescent="0.3">
      <c r="A979" s="88"/>
      <c r="D979" s="17"/>
      <c r="E979" s="17"/>
      <c r="F979" s="17"/>
      <c r="G979" s="17"/>
      <c r="H979" s="64"/>
      <c r="I979" s="64"/>
      <c r="J979" s="64"/>
      <c r="K979" s="64"/>
      <c r="L979" s="43"/>
      <c r="M979" s="17"/>
      <c r="N979" s="17"/>
      <c r="O979" s="43"/>
      <c r="S979" s="89"/>
    </row>
    <row r="980" spans="1:19" ht="15.75" customHeight="1" x14ac:dyDescent="0.3">
      <c r="A980" s="88"/>
      <c r="D980" s="17"/>
      <c r="E980" s="17"/>
      <c r="F980" s="17"/>
      <c r="G980" s="17"/>
      <c r="H980" s="64"/>
      <c r="I980" s="64"/>
      <c r="J980" s="64"/>
      <c r="K980" s="64"/>
      <c r="L980" s="43"/>
      <c r="M980" s="17"/>
      <c r="N980" s="17"/>
      <c r="O980" s="43"/>
      <c r="S980" s="89"/>
    </row>
    <row r="981" spans="1:19" ht="15.75" customHeight="1" x14ac:dyDescent="0.3">
      <c r="A981" s="88"/>
      <c r="D981" s="17"/>
      <c r="E981" s="17"/>
      <c r="F981" s="17"/>
      <c r="G981" s="17"/>
      <c r="H981" s="64"/>
      <c r="I981" s="64"/>
      <c r="J981" s="64"/>
      <c r="K981" s="64"/>
      <c r="L981" s="43"/>
      <c r="M981" s="17"/>
      <c r="N981" s="17"/>
      <c r="O981" s="43"/>
      <c r="S981" s="89"/>
    </row>
    <row r="982" spans="1:19" ht="15.75" customHeight="1" x14ac:dyDescent="0.3">
      <c r="A982" s="88"/>
      <c r="D982" s="17"/>
      <c r="E982" s="17"/>
      <c r="F982" s="17"/>
      <c r="G982" s="17"/>
      <c r="H982" s="64"/>
      <c r="I982" s="64"/>
      <c r="J982" s="64"/>
      <c r="K982" s="64"/>
      <c r="L982" s="43"/>
      <c r="M982" s="17"/>
      <c r="N982" s="17"/>
      <c r="O982" s="43"/>
      <c r="S982" s="89"/>
    </row>
    <row r="983" spans="1:19" ht="15.75" customHeight="1" x14ac:dyDescent="0.3">
      <c r="A983" s="88"/>
      <c r="D983" s="17"/>
      <c r="E983" s="17"/>
      <c r="F983" s="17"/>
      <c r="G983" s="17"/>
      <c r="H983" s="64"/>
      <c r="I983" s="64"/>
      <c r="J983" s="64"/>
      <c r="K983" s="64"/>
      <c r="L983" s="43"/>
      <c r="M983" s="17"/>
      <c r="N983" s="17"/>
      <c r="O983" s="43"/>
      <c r="S983" s="89"/>
    </row>
    <row r="984" spans="1:19" ht="15.75" customHeight="1" x14ac:dyDescent="0.3">
      <c r="A984" s="88"/>
      <c r="D984" s="17"/>
      <c r="E984" s="17"/>
      <c r="F984" s="17"/>
      <c r="G984" s="17"/>
      <c r="H984" s="64"/>
      <c r="I984" s="64"/>
      <c r="J984" s="64"/>
      <c r="K984" s="64"/>
      <c r="L984" s="43"/>
      <c r="M984" s="17"/>
      <c r="N984" s="17"/>
      <c r="O984" s="43"/>
      <c r="S984" s="89"/>
    </row>
    <row r="985" spans="1:19" ht="15.75" customHeight="1" x14ac:dyDescent="0.3">
      <c r="A985" s="88"/>
      <c r="D985" s="17"/>
      <c r="E985" s="17"/>
      <c r="F985" s="17"/>
      <c r="G985" s="17"/>
      <c r="H985" s="64"/>
      <c r="I985" s="64"/>
      <c r="J985" s="64"/>
      <c r="K985" s="64"/>
      <c r="L985" s="43"/>
      <c r="M985" s="17"/>
      <c r="N985" s="17"/>
      <c r="O985" s="43"/>
      <c r="S985" s="89"/>
    </row>
    <row r="986" spans="1:19" ht="15.75" customHeight="1" x14ac:dyDescent="0.3">
      <c r="A986" s="88"/>
      <c r="D986" s="17"/>
      <c r="E986" s="17"/>
      <c r="F986" s="17"/>
      <c r="G986" s="17"/>
      <c r="H986" s="64"/>
      <c r="I986" s="64"/>
      <c r="J986" s="64"/>
      <c r="K986" s="64"/>
      <c r="L986" s="43"/>
      <c r="M986" s="17"/>
      <c r="N986" s="17"/>
      <c r="O986" s="43"/>
      <c r="S986" s="89"/>
    </row>
    <row r="987" spans="1:19" ht="15.75" customHeight="1" x14ac:dyDescent="0.3">
      <c r="A987" s="88"/>
      <c r="D987" s="17"/>
      <c r="E987" s="17"/>
      <c r="F987" s="17"/>
      <c r="G987" s="17"/>
      <c r="H987" s="64"/>
      <c r="I987" s="64"/>
      <c r="J987" s="64"/>
      <c r="K987" s="64"/>
      <c r="L987" s="43"/>
      <c r="M987" s="17"/>
      <c r="N987" s="17"/>
      <c r="O987" s="43"/>
      <c r="S987" s="89"/>
    </row>
    <row r="988" spans="1:19" ht="15.75" customHeight="1" x14ac:dyDescent="0.3">
      <c r="A988" s="88"/>
      <c r="D988" s="17"/>
      <c r="E988" s="17"/>
      <c r="F988" s="17"/>
      <c r="G988" s="17"/>
      <c r="H988" s="64"/>
      <c r="I988" s="64"/>
      <c r="J988" s="64"/>
      <c r="K988" s="64"/>
      <c r="L988" s="43"/>
      <c r="M988" s="17"/>
      <c r="N988" s="17"/>
      <c r="O988" s="43"/>
      <c r="S988" s="89"/>
    </row>
    <row r="989" spans="1:19" ht="15.75" customHeight="1" x14ac:dyDescent="0.3">
      <c r="A989" s="88"/>
      <c r="D989" s="17"/>
      <c r="E989" s="17"/>
      <c r="F989" s="17"/>
      <c r="G989" s="17"/>
      <c r="H989" s="64"/>
      <c r="I989" s="64"/>
      <c r="J989" s="64"/>
      <c r="K989" s="64"/>
      <c r="L989" s="43"/>
      <c r="M989" s="17"/>
      <c r="N989" s="17"/>
      <c r="O989" s="43"/>
      <c r="S989" s="89"/>
    </row>
    <row r="990" spans="1:19" ht="15.75" customHeight="1" x14ac:dyDescent="0.3">
      <c r="A990" s="88"/>
      <c r="D990" s="17"/>
      <c r="E990" s="17"/>
      <c r="F990" s="17"/>
      <c r="G990" s="17"/>
      <c r="H990" s="64"/>
      <c r="I990" s="64"/>
      <c r="J990" s="64"/>
      <c r="K990" s="64"/>
      <c r="L990" s="43"/>
      <c r="M990" s="17"/>
      <c r="N990" s="17"/>
      <c r="O990" s="43"/>
      <c r="S990" s="89"/>
    </row>
    <row r="991" spans="1:19" ht="15.75" customHeight="1" x14ac:dyDescent="0.3">
      <c r="A991" s="88"/>
      <c r="D991" s="17"/>
      <c r="E991" s="17"/>
      <c r="F991" s="17"/>
      <c r="G991" s="17"/>
      <c r="H991" s="64"/>
      <c r="I991" s="64"/>
      <c r="J991" s="64"/>
      <c r="K991" s="64"/>
      <c r="L991" s="43"/>
      <c r="M991" s="17"/>
      <c r="N991" s="17"/>
      <c r="O991" s="43"/>
      <c r="S991" s="89"/>
    </row>
    <row r="992" spans="1:19" ht="15.75" customHeight="1" x14ac:dyDescent="0.3">
      <c r="A992" s="88"/>
      <c r="D992" s="17"/>
      <c r="E992" s="17"/>
      <c r="F992" s="17"/>
      <c r="G992" s="17"/>
      <c r="H992" s="64"/>
      <c r="I992" s="64"/>
      <c r="J992" s="64"/>
      <c r="K992" s="64"/>
      <c r="L992" s="43"/>
      <c r="M992" s="17"/>
      <c r="N992" s="17"/>
      <c r="O992" s="43"/>
      <c r="S992" s="89"/>
    </row>
    <row r="993" spans="1:19" ht="15.75" customHeight="1" x14ac:dyDescent="0.3">
      <c r="A993" s="88"/>
      <c r="D993" s="17"/>
      <c r="E993" s="17"/>
      <c r="F993" s="17"/>
      <c r="G993" s="17"/>
      <c r="H993" s="64"/>
      <c r="I993" s="64"/>
      <c r="J993" s="64"/>
      <c r="K993" s="64"/>
      <c r="L993" s="43"/>
      <c r="M993" s="17"/>
      <c r="N993" s="17"/>
      <c r="O993" s="43"/>
      <c r="S993" s="89"/>
    </row>
    <row r="994" spans="1:19" ht="15.75" customHeight="1" x14ac:dyDescent="0.3">
      <c r="A994" s="88"/>
      <c r="D994" s="17"/>
      <c r="E994" s="17"/>
      <c r="F994" s="17"/>
      <c r="G994" s="17"/>
      <c r="H994" s="64"/>
      <c r="I994" s="64"/>
      <c r="J994" s="64"/>
      <c r="K994" s="64"/>
      <c r="L994" s="43"/>
      <c r="M994" s="17"/>
      <c r="N994" s="17"/>
      <c r="O994" s="43"/>
      <c r="S994" s="89"/>
    </row>
    <row r="995" spans="1:19" ht="15.75" customHeight="1" x14ac:dyDescent="0.3">
      <c r="A995" s="88"/>
      <c r="D995" s="17"/>
      <c r="E995" s="17"/>
      <c r="F995" s="17"/>
      <c r="G995" s="17"/>
      <c r="H995" s="64"/>
      <c r="I995" s="64"/>
      <c r="J995" s="64"/>
      <c r="K995" s="64"/>
      <c r="L995" s="43"/>
      <c r="M995" s="17"/>
      <c r="N995" s="17"/>
      <c r="O995" s="43"/>
      <c r="S995" s="89"/>
    </row>
    <row r="996" spans="1:19" ht="15.75" customHeight="1" x14ac:dyDescent="0.3">
      <c r="A996" s="88"/>
      <c r="D996" s="17"/>
      <c r="E996" s="17"/>
      <c r="F996" s="17"/>
      <c r="G996" s="17"/>
      <c r="H996" s="64"/>
      <c r="I996" s="64"/>
      <c r="J996" s="64"/>
      <c r="K996" s="64"/>
      <c r="L996" s="43"/>
      <c r="M996" s="17"/>
      <c r="N996" s="17"/>
      <c r="O996" s="43"/>
      <c r="S996" s="89"/>
    </row>
    <row r="997" spans="1:19" ht="15.75" customHeight="1" x14ac:dyDescent="0.3">
      <c r="A997" s="88"/>
      <c r="D997" s="17"/>
      <c r="E997" s="17"/>
      <c r="F997" s="17"/>
      <c r="G997" s="17"/>
      <c r="H997" s="64"/>
      <c r="I997" s="64"/>
      <c r="J997" s="64"/>
      <c r="K997" s="64"/>
      <c r="L997" s="43"/>
      <c r="M997" s="17"/>
      <c r="N997" s="17"/>
      <c r="O997" s="43"/>
      <c r="S997" s="89"/>
    </row>
    <row r="998" spans="1:19" ht="15.75" customHeight="1" x14ac:dyDescent="0.3">
      <c r="A998" s="88"/>
      <c r="D998" s="17"/>
      <c r="E998" s="17"/>
      <c r="F998" s="17"/>
      <c r="G998" s="17"/>
      <c r="H998" s="64"/>
      <c r="I998" s="64"/>
      <c r="J998" s="64"/>
      <c r="K998" s="64"/>
      <c r="L998" s="43"/>
      <c r="M998" s="17"/>
      <c r="N998" s="17"/>
      <c r="O998" s="43"/>
      <c r="S998" s="89"/>
    </row>
    <row r="999" spans="1:19" ht="15.75" customHeight="1" x14ac:dyDescent="0.3">
      <c r="A999" s="88"/>
      <c r="D999" s="17"/>
      <c r="E999" s="17"/>
      <c r="F999" s="17"/>
      <c r="G999" s="17"/>
      <c r="H999" s="64"/>
      <c r="I999" s="64"/>
      <c r="J999" s="64"/>
      <c r="K999" s="64"/>
      <c r="L999" s="43"/>
      <c r="M999" s="17"/>
      <c r="N999" s="17"/>
      <c r="O999" s="43"/>
      <c r="S999" s="89"/>
    </row>
    <row r="1000" spans="1:19" ht="15.75" customHeight="1" x14ac:dyDescent="0.3">
      <c r="A1000" s="88"/>
      <c r="D1000" s="17"/>
      <c r="E1000" s="17"/>
      <c r="F1000" s="17"/>
      <c r="G1000" s="17"/>
      <c r="H1000" s="64"/>
      <c r="I1000" s="64"/>
      <c r="J1000" s="64"/>
      <c r="K1000" s="64"/>
      <c r="L1000" s="43"/>
      <c r="M1000" s="17"/>
      <c r="N1000" s="17"/>
      <c r="O1000" s="43"/>
      <c r="S1000" s="89"/>
    </row>
    <row r="1001" spans="1:19" ht="15.75" customHeight="1" x14ac:dyDescent="0.3">
      <c r="A1001" s="88"/>
      <c r="D1001" s="17"/>
      <c r="E1001" s="17"/>
      <c r="F1001" s="17"/>
      <c r="G1001" s="17"/>
      <c r="H1001" s="64"/>
      <c r="I1001" s="64"/>
      <c r="J1001" s="64"/>
      <c r="K1001" s="64"/>
      <c r="L1001" s="43"/>
      <c r="M1001" s="17"/>
      <c r="N1001" s="17"/>
      <c r="O1001" s="43"/>
      <c r="S1001" s="89"/>
    </row>
    <row r="1002" spans="1:19" ht="15.75" customHeight="1" x14ac:dyDescent="0.3">
      <c r="A1002" s="88"/>
      <c r="D1002" s="17"/>
      <c r="E1002" s="17"/>
      <c r="F1002" s="17"/>
      <c r="G1002" s="17"/>
      <c r="H1002" s="64"/>
      <c r="I1002" s="64"/>
      <c r="J1002" s="64"/>
      <c r="K1002" s="64"/>
      <c r="L1002" s="43"/>
      <c r="M1002" s="17"/>
      <c r="N1002" s="17"/>
      <c r="O1002" s="43"/>
      <c r="S1002" s="89"/>
    </row>
    <row r="1003" spans="1:19" ht="15.75" customHeight="1" x14ac:dyDescent="0.3">
      <c r="A1003" s="88"/>
      <c r="D1003" s="17"/>
      <c r="E1003" s="17"/>
      <c r="F1003" s="17"/>
      <c r="G1003" s="17"/>
      <c r="H1003" s="64"/>
      <c r="I1003" s="64"/>
      <c r="J1003" s="64"/>
      <c r="K1003" s="64"/>
      <c r="L1003" s="43"/>
      <c r="M1003" s="17"/>
      <c r="N1003" s="17"/>
      <c r="O1003" s="43"/>
      <c r="S1003" s="89"/>
    </row>
    <row r="1004" spans="1:19" ht="15.75" customHeight="1" x14ac:dyDescent="0.3">
      <c r="A1004" s="88"/>
      <c r="D1004" s="17"/>
      <c r="E1004" s="17"/>
      <c r="F1004" s="17"/>
      <c r="G1004" s="17"/>
      <c r="H1004" s="64"/>
      <c r="I1004" s="64"/>
      <c r="J1004" s="64"/>
      <c r="K1004" s="64"/>
      <c r="L1004" s="43"/>
      <c r="M1004" s="17"/>
      <c r="N1004" s="17"/>
      <c r="O1004" s="43"/>
      <c r="S1004" s="89"/>
    </row>
    <row r="1005" spans="1:19" ht="15.75" customHeight="1" x14ac:dyDescent="0.3">
      <c r="A1005" s="88"/>
      <c r="D1005" s="17"/>
      <c r="E1005" s="17"/>
      <c r="F1005" s="17"/>
      <c r="G1005" s="17"/>
      <c r="H1005" s="64"/>
      <c r="I1005" s="64"/>
      <c r="J1005" s="64"/>
      <c r="K1005" s="64"/>
      <c r="L1005" s="43"/>
      <c r="M1005" s="17"/>
      <c r="N1005" s="17"/>
      <c r="O1005" s="43"/>
      <c r="S1005" s="89"/>
    </row>
    <row r="1006" spans="1:19" ht="15.75" customHeight="1" x14ac:dyDescent="0.3">
      <c r="A1006" s="88"/>
      <c r="D1006" s="17"/>
      <c r="E1006" s="17"/>
      <c r="F1006" s="17"/>
      <c r="G1006" s="17"/>
      <c r="H1006" s="64"/>
      <c r="I1006" s="64"/>
      <c r="J1006" s="64"/>
      <c r="K1006" s="64"/>
      <c r="L1006" s="43"/>
      <c r="M1006" s="17"/>
      <c r="N1006" s="17"/>
      <c r="O1006" s="43"/>
      <c r="S1006" s="89"/>
    </row>
    <row r="1007" spans="1:19" ht="15.75" customHeight="1" x14ac:dyDescent="0.3">
      <c r="A1007" s="88"/>
      <c r="D1007" s="17"/>
      <c r="E1007" s="17"/>
      <c r="F1007" s="17"/>
      <c r="G1007" s="17"/>
      <c r="H1007" s="64"/>
      <c r="I1007" s="64"/>
      <c r="J1007" s="64"/>
      <c r="K1007" s="64"/>
      <c r="L1007" s="43"/>
      <c r="M1007" s="17"/>
      <c r="N1007" s="17"/>
      <c r="O1007" s="43"/>
      <c r="S1007" s="89"/>
    </row>
    <row r="1008" spans="1:19" ht="15.75" customHeight="1" x14ac:dyDescent="0.3">
      <c r="A1008" s="88"/>
      <c r="D1008" s="17"/>
      <c r="E1008" s="17"/>
      <c r="F1008" s="17"/>
      <c r="G1008" s="17"/>
      <c r="H1008" s="64"/>
      <c r="I1008" s="64"/>
      <c r="J1008" s="64"/>
      <c r="K1008" s="64"/>
      <c r="L1008" s="43"/>
      <c r="M1008" s="17"/>
      <c r="N1008" s="17"/>
      <c r="O1008" s="43"/>
      <c r="S1008" s="89"/>
    </row>
    <row r="1009" spans="1:19" ht="15.75" customHeight="1" x14ac:dyDescent="0.3">
      <c r="A1009" s="88"/>
      <c r="D1009" s="17"/>
      <c r="E1009" s="17"/>
      <c r="F1009" s="17"/>
      <c r="G1009" s="17"/>
      <c r="H1009" s="64"/>
      <c r="I1009" s="64"/>
      <c r="J1009" s="64"/>
      <c r="K1009" s="64"/>
      <c r="L1009" s="43"/>
      <c r="M1009" s="17"/>
      <c r="N1009" s="17"/>
      <c r="O1009" s="43"/>
      <c r="S1009" s="89"/>
    </row>
    <row r="1010" spans="1:19" ht="15.75" customHeight="1" x14ac:dyDescent="0.3">
      <c r="A1010" s="88"/>
      <c r="D1010" s="17"/>
      <c r="E1010" s="17"/>
      <c r="F1010" s="17"/>
      <c r="G1010" s="17"/>
      <c r="H1010" s="64"/>
      <c r="I1010" s="64"/>
      <c r="J1010" s="64"/>
      <c r="K1010" s="64"/>
      <c r="L1010" s="43"/>
      <c r="M1010" s="17"/>
      <c r="N1010" s="17"/>
      <c r="O1010" s="43"/>
      <c r="S1010" s="89"/>
    </row>
    <row r="1011" spans="1:19" ht="15.75" customHeight="1" x14ac:dyDescent="0.3">
      <c r="A1011" s="88"/>
      <c r="D1011" s="17"/>
      <c r="E1011" s="17"/>
      <c r="F1011" s="17"/>
      <c r="G1011" s="17"/>
      <c r="H1011" s="64"/>
      <c r="I1011" s="64"/>
      <c r="J1011" s="64"/>
      <c r="K1011" s="64"/>
      <c r="L1011" s="43"/>
      <c r="M1011" s="17"/>
      <c r="N1011" s="17"/>
      <c r="O1011" s="43"/>
      <c r="S1011" s="89"/>
    </row>
    <row r="1012" spans="1:19" ht="15.75" customHeight="1" x14ac:dyDescent="0.3">
      <c r="A1012" s="88"/>
      <c r="D1012" s="17"/>
      <c r="E1012" s="17"/>
      <c r="F1012" s="17"/>
      <c r="G1012" s="17"/>
      <c r="H1012" s="64"/>
      <c r="I1012" s="64"/>
      <c r="J1012" s="64"/>
      <c r="K1012" s="64"/>
      <c r="L1012" s="43"/>
      <c r="M1012" s="17"/>
      <c r="N1012" s="17"/>
      <c r="O1012" s="43"/>
      <c r="S1012" s="89"/>
    </row>
    <row r="1013" spans="1:19" ht="15.75" customHeight="1" x14ac:dyDescent="0.3">
      <c r="A1013" s="88"/>
      <c r="D1013" s="17"/>
      <c r="E1013" s="17"/>
      <c r="F1013" s="17"/>
      <c r="G1013" s="17"/>
      <c r="H1013" s="64"/>
      <c r="I1013" s="64"/>
      <c r="J1013" s="64"/>
      <c r="K1013" s="64"/>
      <c r="L1013" s="43"/>
      <c r="M1013" s="17"/>
      <c r="N1013" s="17"/>
      <c r="O1013" s="43"/>
      <c r="S1013" s="89"/>
    </row>
    <row r="1014" spans="1:19" ht="15.75" customHeight="1" x14ac:dyDescent="0.3">
      <c r="A1014" s="88"/>
      <c r="D1014" s="17"/>
      <c r="E1014" s="17"/>
      <c r="F1014" s="17"/>
      <c r="G1014" s="17"/>
      <c r="H1014" s="64"/>
      <c r="I1014" s="64"/>
      <c r="J1014" s="64"/>
      <c r="K1014" s="64"/>
      <c r="L1014" s="43"/>
      <c r="M1014" s="17"/>
      <c r="N1014" s="17"/>
      <c r="O1014" s="43"/>
      <c r="S1014" s="89"/>
    </row>
    <row r="1015" spans="1:19" ht="15.75" customHeight="1" x14ac:dyDescent="0.3">
      <c r="A1015" s="88"/>
      <c r="D1015" s="17"/>
      <c r="E1015" s="17"/>
      <c r="F1015" s="17"/>
      <c r="G1015" s="17"/>
      <c r="H1015" s="64"/>
      <c r="I1015" s="64"/>
      <c r="J1015" s="64"/>
      <c r="K1015" s="64"/>
      <c r="L1015" s="43"/>
      <c r="M1015" s="17"/>
      <c r="N1015" s="17"/>
      <c r="O1015" s="43"/>
      <c r="S1015" s="89"/>
    </row>
    <row r="1016" spans="1:19" ht="15.75" customHeight="1" x14ac:dyDescent="0.3">
      <c r="A1016" s="88"/>
      <c r="D1016" s="17"/>
      <c r="E1016" s="17"/>
      <c r="F1016" s="17"/>
      <c r="G1016" s="17"/>
      <c r="H1016" s="64"/>
      <c r="I1016" s="64"/>
      <c r="J1016" s="64"/>
      <c r="K1016" s="64"/>
      <c r="L1016" s="43"/>
      <c r="M1016" s="17"/>
      <c r="N1016" s="17"/>
      <c r="O1016" s="43"/>
      <c r="S1016" s="89"/>
    </row>
    <row r="1017" spans="1:19" ht="15.75" customHeight="1" x14ac:dyDescent="0.3">
      <c r="A1017" s="88"/>
      <c r="D1017" s="17"/>
      <c r="E1017" s="17"/>
      <c r="F1017" s="17"/>
      <c r="G1017" s="17"/>
      <c r="H1017" s="64"/>
      <c r="I1017" s="64"/>
      <c r="J1017" s="64"/>
      <c r="K1017" s="64"/>
      <c r="L1017" s="43"/>
      <c r="M1017" s="17"/>
      <c r="N1017" s="17"/>
      <c r="O1017" s="43"/>
      <c r="S1017" s="89"/>
    </row>
    <row r="1018" spans="1:19" ht="15.75" customHeight="1" x14ac:dyDescent="0.3">
      <c r="A1018" s="88"/>
      <c r="D1018" s="17"/>
      <c r="E1018" s="17"/>
      <c r="F1018" s="17"/>
      <c r="G1018" s="17"/>
      <c r="H1018" s="64"/>
      <c r="I1018" s="64"/>
      <c r="J1018" s="64"/>
      <c r="K1018" s="64"/>
      <c r="L1018" s="43"/>
      <c r="M1018" s="17"/>
      <c r="N1018" s="17"/>
      <c r="O1018" s="43"/>
      <c r="S1018" s="89"/>
    </row>
    <row r="1019" spans="1:19" ht="15.75" customHeight="1" x14ac:dyDescent="0.3">
      <c r="A1019" s="88"/>
      <c r="D1019" s="17"/>
      <c r="E1019" s="17"/>
      <c r="F1019" s="17"/>
      <c r="G1019" s="17"/>
      <c r="H1019" s="64"/>
      <c r="I1019" s="64"/>
      <c r="J1019" s="64"/>
      <c r="K1019" s="64"/>
      <c r="L1019" s="43"/>
      <c r="M1019" s="17"/>
      <c r="N1019" s="17"/>
      <c r="O1019" s="43"/>
      <c r="S1019" s="89"/>
    </row>
    <row r="1020" spans="1:19" ht="15.75" customHeight="1" x14ac:dyDescent="0.3">
      <c r="A1020" s="88"/>
      <c r="D1020" s="17"/>
      <c r="E1020" s="17"/>
      <c r="F1020" s="17"/>
      <c r="G1020" s="17"/>
      <c r="H1020" s="64"/>
      <c r="I1020" s="64"/>
      <c r="J1020" s="64"/>
      <c r="K1020" s="64"/>
      <c r="L1020" s="43"/>
      <c r="M1020" s="17"/>
      <c r="N1020" s="17"/>
      <c r="O1020" s="43"/>
      <c r="S1020" s="89"/>
    </row>
    <row r="1021" spans="1:19" ht="15.75" customHeight="1" x14ac:dyDescent="0.3">
      <c r="A1021" s="88"/>
      <c r="D1021" s="17"/>
      <c r="E1021" s="17"/>
      <c r="F1021" s="17"/>
      <c r="G1021" s="17"/>
      <c r="H1021" s="64"/>
      <c r="I1021" s="64"/>
      <c r="J1021" s="64"/>
      <c r="K1021" s="64"/>
      <c r="L1021" s="43"/>
      <c r="M1021" s="17"/>
      <c r="N1021" s="17"/>
      <c r="O1021" s="43"/>
      <c r="S1021" s="89"/>
    </row>
    <row r="1022" spans="1:19" ht="15.75" customHeight="1" x14ac:dyDescent="0.3">
      <c r="A1022" s="88"/>
      <c r="D1022" s="17"/>
      <c r="E1022" s="17"/>
      <c r="F1022" s="17"/>
      <c r="G1022" s="17"/>
      <c r="H1022" s="64"/>
      <c r="I1022" s="64"/>
      <c r="J1022" s="64"/>
      <c r="K1022" s="64"/>
      <c r="L1022" s="43"/>
      <c r="M1022" s="17"/>
      <c r="N1022" s="17"/>
      <c r="O1022" s="43"/>
      <c r="S1022" s="89"/>
    </row>
    <row r="1023" spans="1:19" ht="15.75" customHeight="1" x14ac:dyDescent="0.3">
      <c r="A1023" s="88"/>
      <c r="D1023" s="17"/>
      <c r="E1023" s="17"/>
      <c r="F1023" s="17"/>
      <c r="G1023" s="17"/>
      <c r="H1023" s="64"/>
      <c r="I1023" s="64"/>
      <c r="J1023" s="64"/>
      <c r="K1023" s="64"/>
      <c r="L1023" s="43"/>
      <c r="M1023" s="17"/>
      <c r="N1023" s="17"/>
      <c r="O1023" s="43"/>
      <c r="S1023" s="89"/>
    </row>
    <row r="1024" spans="1:19" ht="15.75" customHeight="1" x14ac:dyDescent="0.3">
      <c r="A1024" s="88"/>
      <c r="D1024" s="17"/>
      <c r="E1024" s="17"/>
      <c r="F1024" s="17"/>
      <c r="G1024" s="17"/>
      <c r="H1024" s="64"/>
      <c r="I1024" s="64"/>
      <c r="J1024" s="64"/>
      <c r="K1024" s="64"/>
      <c r="L1024" s="43"/>
      <c r="M1024" s="17"/>
      <c r="N1024" s="17"/>
      <c r="O1024" s="43"/>
      <c r="S1024" s="89"/>
    </row>
    <row r="1025" spans="1:19" ht="15.75" customHeight="1" x14ac:dyDescent="0.3">
      <c r="A1025" s="88"/>
      <c r="D1025" s="17"/>
      <c r="E1025" s="17"/>
      <c r="F1025" s="17"/>
      <c r="G1025" s="17"/>
      <c r="H1025" s="64"/>
      <c r="I1025" s="64"/>
      <c r="J1025" s="64"/>
      <c r="K1025" s="64"/>
      <c r="L1025" s="43"/>
      <c r="M1025" s="17"/>
      <c r="N1025" s="17"/>
      <c r="O1025" s="43"/>
      <c r="S1025" s="89"/>
    </row>
    <row r="1026" spans="1:19" ht="15.75" customHeight="1" x14ac:dyDescent="0.3">
      <c r="A1026" s="88"/>
      <c r="D1026" s="17"/>
      <c r="E1026" s="17"/>
      <c r="F1026" s="17"/>
      <c r="G1026" s="17"/>
      <c r="H1026" s="64"/>
      <c r="I1026" s="64"/>
      <c r="J1026" s="64"/>
      <c r="K1026" s="64"/>
      <c r="L1026" s="43"/>
      <c r="M1026" s="17"/>
      <c r="N1026" s="17"/>
      <c r="O1026" s="43"/>
      <c r="S1026" s="89"/>
    </row>
    <row r="1027" spans="1:19" ht="15.75" customHeight="1" x14ac:dyDescent="0.3">
      <c r="A1027" s="88"/>
      <c r="D1027" s="17"/>
      <c r="E1027" s="17"/>
      <c r="F1027" s="17"/>
      <c r="G1027" s="17"/>
      <c r="H1027" s="64"/>
      <c r="I1027" s="64"/>
      <c r="J1027" s="64"/>
      <c r="K1027" s="64"/>
      <c r="L1027" s="43"/>
      <c r="M1027" s="17"/>
      <c r="N1027" s="17"/>
      <c r="O1027" s="43"/>
      <c r="S1027" s="89"/>
    </row>
    <row r="1028" spans="1:19" ht="15.75" customHeight="1" x14ac:dyDescent="0.3">
      <c r="A1028" s="88"/>
      <c r="D1028" s="17"/>
      <c r="E1028" s="17"/>
      <c r="F1028" s="17"/>
      <c r="G1028" s="17"/>
      <c r="H1028" s="64"/>
      <c r="I1028" s="64"/>
      <c r="J1028" s="64"/>
      <c r="K1028" s="64"/>
      <c r="L1028" s="43"/>
      <c r="M1028" s="17"/>
      <c r="N1028" s="17"/>
      <c r="O1028" s="43"/>
      <c r="S1028" s="89"/>
    </row>
    <row r="1029" spans="1:19" ht="15.75" customHeight="1" x14ac:dyDescent="0.3">
      <c r="A1029" s="88"/>
      <c r="D1029" s="17"/>
      <c r="E1029" s="17"/>
      <c r="F1029" s="17"/>
      <c r="G1029" s="17"/>
      <c r="H1029" s="64"/>
      <c r="I1029" s="64"/>
      <c r="J1029" s="64"/>
      <c r="K1029" s="64"/>
      <c r="L1029" s="43"/>
      <c r="M1029" s="17"/>
      <c r="N1029" s="17"/>
      <c r="O1029" s="43"/>
      <c r="S1029" s="89"/>
    </row>
    <row r="1030" spans="1:19" ht="15.75" customHeight="1" x14ac:dyDescent="0.3">
      <c r="A1030" s="88"/>
      <c r="D1030" s="17"/>
      <c r="E1030" s="17"/>
      <c r="F1030" s="17"/>
      <c r="G1030" s="17"/>
      <c r="H1030" s="64"/>
      <c r="I1030" s="64"/>
      <c r="J1030" s="64"/>
      <c r="K1030" s="64"/>
      <c r="L1030" s="43"/>
      <c r="M1030" s="17"/>
      <c r="N1030" s="17"/>
      <c r="O1030" s="43"/>
      <c r="S1030" s="89"/>
    </row>
    <row r="1031" spans="1:19" ht="15.75" customHeight="1" x14ac:dyDescent="0.3">
      <c r="A1031" s="88"/>
      <c r="D1031" s="17"/>
      <c r="E1031" s="17"/>
      <c r="F1031" s="17"/>
      <c r="G1031" s="17"/>
      <c r="H1031" s="64"/>
      <c r="I1031" s="64"/>
      <c r="J1031" s="64"/>
      <c r="K1031" s="64"/>
      <c r="L1031" s="43"/>
      <c r="M1031" s="17"/>
      <c r="N1031" s="17"/>
      <c r="O1031" s="43"/>
      <c r="S1031" s="89"/>
    </row>
    <row r="1032" spans="1:19" ht="15.75" customHeight="1" x14ac:dyDescent="0.3">
      <c r="A1032" s="88"/>
      <c r="D1032" s="17"/>
      <c r="E1032" s="17"/>
      <c r="F1032" s="17"/>
      <c r="G1032" s="17"/>
      <c r="H1032" s="64"/>
      <c r="I1032" s="64"/>
      <c r="J1032" s="64"/>
      <c r="K1032" s="64"/>
      <c r="L1032" s="43"/>
      <c r="M1032" s="17"/>
      <c r="N1032" s="17"/>
      <c r="O1032" s="43"/>
      <c r="S1032" s="89"/>
    </row>
    <row r="1033" spans="1:19" ht="15.75" customHeight="1" x14ac:dyDescent="0.3">
      <c r="A1033" s="88"/>
      <c r="D1033" s="17"/>
      <c r="E1033" s="17"/>
      <c r="F1033" s="17"/>
      <c r="G1033" s="17"/>
      <c r="H1033" s="64"/>
      <c r="I1033" s="64"/>
      <c r="J1033" s="64"/>
      <c r="K1033" s="64"/>
      <c r="L1033" s="43"/>
      <c r="M1033" s="17"/>
      <c r="N1033" s="17"/>
      <c r="O1033" s="43"/>
      <c r="S1033" s="89"/>
    </row>
    <row r="1034" spans="1:19" ht="15.75" customHeight="1" x14ac:dyDescent="0.3">
      <c r="A1034" s="88"/>
      <c r="D1034" s="17"/>
      <c r="E1034" s="17"/>
      <c r="F1034" s="17"/>
      <c r="G1034" s="17"/>
      <c r="H1034" s="64"/>
      <c r="I1034" s="64"/>
      <c r="J1034" s="64"/>
      <c r="K1034" s="64"/>
      <c r="L1034" s="43"/>
      <c r="M1034" s="17"/>
      <c r="N1034" s="17"/>
      <c r="O1034" s="43"/>
      <c r="S1034" s="89"/>
    </row>
    <row r="1035" spans="1:19" ht="15.75" customHeight="1" x14ac:dyDescent="0.3">
      <c r="A1035" s="88"/>
      <c r="D1035" s="17"/>
      <c r="E1035" s="17"/>
      <c r="F1035" s="17"/>
      <c r="G1035" s="17"/>
      <c r="H1035" s="64"/>
      <c r="I1035" s="64"/>
      <c r="J1035" s="64"/>
      <c r="K1035" s="64"/>
      <c r="L1035" s="43"/>
      <c r="M1035" s="17"/>
      <c r="N1035" s="17"/>
      <c r="O1035" s="43"/>
      <c r="S1035" s="89"/>
    </row>
    <row r="1036" spans="1:19" ht="15.75" customHeight="1" x14ac:dyDescent="0.3">
      <c r="A1036" s="88"/>
      <c r="D1036" s="17"/>
      <c r="E1036" s="17"/>
      <c r="F1036" s="17"/>
      <c r="G1036" s="17"/>
      <c r="H1036" s="64"/>
      <c r="I1036" s="64"/>
      <c r="J1036" s="64"/>
      <c r="K1036" s="64"/>
      <c r="L1036" s="43"/>
      <c r="M1036" s="17"/>
      <c r="N1036" s="17"/>
      <c r="O1036" s="43"/>
      <c r="S1036" s="89"/>
    </row>
    <row r="1037" spans="1:19" ht="15.75" customHeight="1" x14ac:dyDescent="0.3">
      <c r="A1037" s="88"/>
      <c r="D1037" s="17"/>
      <c r="E1037" s="17"/>
      <c r="F1037" s="17"/>
      <c r="G1037" s="17"/>
      <c r="H1037" s="64"/>
      <c r="I1037" s="64"/>
      <c r="J1037" s="64"/>
      <c r="K1037" s="64"/>
      <c r="L1037" s="43"/>
      <c r="M1037" s="17"/>
      <c r="N1037" s="17"/>
      <c r="O1037" s="43"/>
      <c r="S1037" s="89"/>
    </row>
    <row r="1038" spans="1:19" ht="15.75" customHeight="1" x14ac:dyDescent="0.3">
      <c r="A1038" s="88"/>
      <c r="D1038" s="17"/>
      <c r="E1038" s="17"/>
      <c r="F1038" s="17"/>
      <c r="G1038" s="17"/>
      <c r="H1038" s="64"/>
      <c r="I1038" s="64"/>
      <c r="J1038" s="64"/>
      <c r="K1038" s="64"/>
      <c r="L1038" s="43"/>
      <c r="M1038" s="17"/>
      <c r="N1038" s="17"/>
      <c r="O1038" s="43"/>
      <c r="S1038" s="89"/>
    </row>
    <row r="1039" spans="1:19" ht="15.75" customHeight="1" x14ac:dyDescent="0.3">
      <c r="A1039" s="88"/>
      <c r="D1039" s="17"/>
      <c r="E1039" s="17"/>
      <c r="F1039" s="17"/>
      <c r="G1039" s="17"/>
      <c r="H1039" s="64"/>
      <c r="I1039" s="64"/>
      <c r="J1039" s="64"/>
      <c r="K1039" s="64"/>
      <c r="L1039" s="43"/>
      <c r="M1039" s="17"/>
      <c r="N1039" s="17"/>
      <c r="O1039" s="43"/>
      <c r="S1039" s="89"/>
    </row>
    <row r="1040" spans="1:19" ht="15.75" customHeight="1" x14ac:dyDescent="0.3">
      <c r="A1040" s="88"/>
      <c r="D1040" s="17"/>
      <c r="E1040" s="17"/>
      <c r="F1040" s="17"/>
      <c r="G1040" s="17"/>
      <c r="H1040" s="64"/>
      <c r="I1040" s="64"/>
      <c r="J1040" s="64"/>
      <c r="K1040" s="64"/>
      <c r="L1040" s="43"/>
      <c r="M1040" s="17"/>
      <c r="N1040" s="17"/>
      <c r="O1040" s="43"/>
      <c r="S1040" s="89"/>
    </row>
    <row r="1041" spans="1:19" ht="15.75" customHeight="1" x14ac:dyDescent="0.3">
      <c r="A1041" s="88"/>
      <c r="D1041" s="17"/>
      <c r="E1041" s="17"/>
      <c r="F1041" s="17"/>
      <c r="G1041" s="17"/>
      <c r="H1041" s="64"/>
      <c r="I1041" s="64"/>
      <c r="J1041" s="64"/>
      <c r="K1041" s="64"/>
      <c r="L1041" s="43"/>
      <c r="M1041" s="17"/>
      <c r="N1041" s="17"/>
      <c r="O1041" s="43"/>
      <c r="S1041" s="89"/>
    </row>
    <row r="1042" spans="1:19" ht="15.75" customHeight="1" x14ac:dyDescent="0.3">
      <c r="A1042" s="88"/>
      <c r="D1042" s="17"/>
      <c r="E1042" s="17"/>
      <c r="F1042" s="17"/>
      <c r="G1042" s="17"/>
      <c r="H1042" s="64"/>
      <c r="I1042" s="64"/>
      <c r="J1042" s="64"/>
      <c r="K1042" s="64"/>
      <c r="L1042" s="43"/>
      <c r="M1042" s="17"/>
      <c r="N1042" s="17"/>
      <c r="O1042" s="43"/>
      <c r="S1042" s="89"/>
    </row>
    <row r="1043" spans="1:19" ht="15.75" customHeight="1" x14ac:dyDescent="0.3">
      <c r="A1043" s="88"/>
      <c r="D1043" s="17"/>
      <c r="E1043" s="17"/>
      <c r="F1043" s="17"/>
      <c r="G1043" s="17"/>
      <c r="H1043" s="64"/>
      <c r="I1043" s="64"/>
      <c r="J1043" s="64"/>
      <c r="K1043" s="64"/>
      <c r="L1043" s="43"/>
      <c r="M1043" s="17"/>
      <c r="N1043" s="17"/>
      <c r="O1043" s="43"/>
      <c r="S1043" s="89"/>
    </row>
    <row r="1044" spans="1:19" ht="15.75" customHeight="1" x14ac:dyDescent="0.3">
      <c r="A1044" s="88"/>
      <c r="D1044" s="17"/>
      <c r="E1044" s="17"/>
      <c r="F1044" s="17"/>
      <c r="G1044" s="17"/>
      <c r="H1044" s="64"/>
      <c r="I1044" s="64"/>
      <c r="J1044" s="64"/>
      <c r="K1044" s="64"/>
      <c r="L1044" s="43"/>
      <c r="M1044" s="17"/>
      <c r="N1044" s="17"/>
      <c r="O1044" s="43"/>
      <c r="S1044" s="89"/>
    </row>
    <row r="1045" spans="1:19" ht="15.75" customHeight="1" x14ac:dyDescent="0.3">
      <c r="A1045" s="88"/>
      <c r="D1045" s="17"/>
      <c r="E1045" s="17"/>
      <c r="F1045" s="17"/>
      <c r="G1045" s="17"/>
      <c r="H1045" s="64"/>
      <c r="I1045" s="64"/>
      <c r="J1045" s="64"/>
      <c r="K1045" s="64"/>
      <c r="L1045" s="43"/>
      <c r="M1045" s="17"/>
      <c r="N1045" s="17"/>
      <c r="O1045" s="43"/>
      <c r="S1045" s="89"/>
    </row>
    <row r="1046" spans="1:19" ht="15.75" customHeight="1" x14ac:dyDescent="0.3">
      <c r="A1046" s="88"/>
      <c r="D1046" s="17"/>
      <c r="E1046" s="17"/>
      <c r="F1046" s="17"/>
      <c r="G1046" s="17"/>
      <c r="H1046" s="64"/>
      <c r="I1046" s="64"/>
      <c r="J1046" s="64"/>
      <c r="K1046" s="64"/>
      <c r="L1046" s="43"/>
      <c r="M1046" s="17"/>
      <c r="N1046" s="17"/>
      <c r="O1046" s="43"/>
      <c r="S1046" s="89"/>
    </row>
    <row r="1047" spans="1:19" ht="15.75" customHeight="1" x14ac:dyDescent="0.3">
      <c r="A1047" s="88"/>
      <c r="D1047" s="17"/>
      <c r="E1047" s="17"/>
      <c r="F1047" s="17"/>
      <c r="G1047" s="17"/>
      <c r="H1047" s="64"/>
      <c r="I1047" s="64"/>
      <c r="J1047" s="64"/>
      <c r="K1047" s="64"/>
      <c r="L1047" s="43"/>
      <c r="M1047" s="17"/>
      <c r="N1047" s="17"/>
      <c r="O1047" s="43"/>
      <c r="S1047" s="89"/>
    </row>
    <row r="1048" spans="1:19" ht="15.75" customHeight="1" x14ac:dyDescent="0.3">
      <c r="A1048" s="88"/>
      <c r="D1048" s="17"/>
      <c r="E1048" s="17"/>
      <c r="F1048" s="17"/>
      <c r="G1048" s="17"/>
      <c r="H1048" s="64"/>
      <c r="I1048" s="64"/>
      <c r="J1048" s="64"/>
      <c r="K1048" s="64"/>
      <c r="L1048" s="43"/>
      <c r="M1048" s="17"/>
      <c r="N1048" s="17"/>
      <c r="O1048" s="43"/>
      <c r="S1048" s="89"/>
    </row>
    <row r="1049" spans="1:19" ht="15.75" customHeight="1" x14ac:dyDescent="0.3">
      <c r="A1049" s="88"/>
      <c r="D1049" s="17"/>
      <c r="E1049" s="17"/>
      <c r="F1049" s="17"/>
      <c r="G1049" s="17"/>
      <c r="H1049" s="64"/>
      <c r="I1049" s="64"/>
      <c r="J1049" s="64"/>
      <c r="K1049" s="64"/>
      <c r="L1049" s="43"/>
      <c r="M1049" s="17"/>
      <c r="N1049" s="17"/>
      <c r="O1049" s="43"/>
      <c r="S1049" s="89"/>
    </row>
    <row r="1050" spans="1:19" ht="15.75" customHeight="1" x14ac:dyDescent="0.3">
      <c r="A1050" s="88"/>
      <c r="D1050" s="17"/>
      <c r="E1050" s="17"/>
      <c r="F1050" s="17"/>
      <c r="G1050" s="17"/>
      <c r="H1050" s="64"/>
      <c r="I1050" s="64"/>
      <c r="J1050" s="64"/>
      <c r="K1050" s="64"/>
      <c r="L1050" s="43"/>
      <c r="M1050" s="17"/>
      <c r="N1050" s="17"/>
      <c r="O1050" s="43"/>
      <c r="S1050" s="89"/>
    </row>
    <row r="1051" spans="1:19" ht="15.75" customHeight="1" x14ac:dyDescent="0.3">
      <c r="A1051" s="88"/>
      <c r="D1051" s="17"/>
      <c r="E1051" s="17"/>
      <c r="F1051" s="17"/>
      <c r="G1051" s="17"/>
      <c r="H1051" s="64"/>
      <c r="I1051" s="64"/>
      <c r="J1051" s="64"/>
      <c r="K1051" s="64"/>
      <c r="L1051" s="43"/>
      <c r="M1051" s="17"/>
      <c r="N1051" s="17"/>
      <c r="O1051" s="43"/>
      <c r="S1051" s="89"/>
    </row>
    <row r="1052" spans="1:19" ht="15.75" customHeight="1" x14ac:dyDescent="0.3">
      <c r="A1052" s="88"/>
      <c r="D1052" s="17"/>
      <c r="E1052" s="17"/>
      <c r="F1052" s="17"/>
      <c r="G1052" s="17"/>
      <c r="H1052" s="64"/>
      <c r="I1052" s="64"/>
      <c r="J1052" s="64"/>
      <c r="K1052" s="64"/>
      <c r="L1052" s="43"/>
      <c r="M1052" s="17"/>
      <c r="N1052" s="17"/>
      <c r="O1052" s="43"/>
      <c r="S1052" s="89"/>
    </row>
    <row r="1053" spans="1:19" ht="15.75" customHeight="1" x14ac:dyDescent="0.3">
      <c r="A1053" s="88"/>
      <c r="D1053" s="17"/>
      <c r="E1053" s="17"/>
      <c r="F1053" s="17"/>
      <c r="G1053" s="17"/>
      <c r="H1053" s="64"/>
      <c r="I1053" s="64"/>
      <c r="J1053" s="64"/>
      <c r="K1053" s="64"/>
      <c r="L1053" s="43"/>
      <c r="M1053" s="17"/>
      <c r="N1053" s="17"/>
      <c r="O1053" s="43"/>
      <c r="S1053" s="89"/>
    </row>
    <row r="1054" spans="1:19" ht="15.75" customHeight="1" x14ac:dyDescent="0.3">
      <c r="A1054" s="88"/>
      <c r="D1054" s="17"/>
      <c r="E1054" s="17"/>
      <c r="F1054" s="17"/>
      <c r="G1054" s="17"/>
      <c r="H1054" s="64"/>
      <c r="I1054" s="64"/>
      <c r="J1054" s="64"/>
      <c r="K1054" s="64"/>
      <c r="L1054" s="43"/>
      <c r="M1054" s="17"/>
      <c r="N1054" s="17"/>
      <c r="O1054" s="43"/>
      <c r="S1054" s="89"/>
    </row>
    <row r="1055" spans="1:19" ht="15.75" customHeight="1" x14ac:dyDescent="0.3">
      <c r="A1055" s="88"/>
      <c r="D1055" s="17"/>
      <c r="E1055" s="17"/>
      <c r="F1055" s="17"/>
      <c r="G1055" s="17"/>
      <c r="H1055" s="64"/>
      <c r="I1055" s="64"/>
      <c r="J1055" s="64"/>
      <c r="K1055" s="64"/>
      <c r="L1055" s="43"/>
      <c r="M1055" s="17"/>
      <c r="N1055" s="17"/>
      <c r="O1055" s="43"/>
      <c r="S1055" s="89"/>
    </row>
    <row r="1056" spans="1:19" ht="15.75" customHeight="1" x14ac:dyDescent="0.3">
      <c r="A1056" s="88"/>
      <c r="D1056" s="17"/>
      <c r="E1056" s="17"/>
      <c r="F1056" s="17"/>
      <c r="G1056" s="17"/>
      <c r="H1056" s="64"/>
      <c r="I1056" s="64"/>
      <c r="J1056" s="64"/>
      <c r="K1056" s="64"/>
      <c r="L1056" s="43"/>
      <c r="M1056" s="17"/>
      <c r="N1056" s="17"/>
      <c r="O1056" s="43"/>
      <c r="S1056" s="89"/>
    </row>
    <row r="1057" spans="1:19" ht="15.75" customHeight="1" x14ac:dyDescent="0.3">
      <c r="A1057" s="88"/>
      <c r="D1057" s="17"/>
      <c r="E1057" s="17"/>
      <c r="F1057" s="17"/>
      <c r="G1057" s="17"/>
      <c r="H1057" s="64"/>
      <c r="I1057" s="64"/>
      <c r="J1057" s="64"/>
      <c r="K1057" s="64"/>
      <c r="L1057" s="43"/>
      <c r="M1057" s="17"/>
      <c r="N1057" s="17"/>
      <c r="O1057" s="43"/>
      <c r="S1057" s="89"/>
    </row>
    <row r="1058" spans="1:19" ht="15.75" customHeight="1" x14ac:dyDescent="0.3">
      <c r="A1058" s="88"/>
      <c r="D1058" s="17"/>
      <c r="E1058" s="17"/>
      <c r="F1058" s="17"/>
      <c r="G1058" s="17"/>
      <c r="H1058" s="64"/>
      <c r="I1058" s="64"/>
      <c r="J1058" s="64"/>
      <c r="K1058" s="64"/>
      <c r="L1058" s="43"/>
      <c r="M1058" s="17"/>
      <c r="N1058" s="17"/>
      <c r="O1058" s="43"/>
      <c r="S1058" s="89"/>
    </row>
    <row r="1059" spans="1:19" ht="15.75" customHeight="1" x14ac:dyDescent="0.3">
      <c r="A1059" s="88"/>
      <c r="D1059" s="17"/>
      <c r="E1059" s="17"/>
      <c r="F1059" s="17"/>
      <c r="G1059" s="17"/>
      <c r="H1059" s="64"/>
      <c r="I1059" s="64"/>
      <c r="J1059" s="64"/>
      <c r="K1059" s="64"/>
      <c r="L1059" s="43"/>
      <c r="M1059" s="17"/>
      <c r="N1059" s="17"/>
      <c r="O1059" s="43"/>
      <c r="S1059" s="89"/>
    </row>
    <row r="1060" spans="1:19" ht="15.75" customHeight="1" x14ac:dyDescent="0.3">
      <c r="A1060" s="88"/>
      <c r="D1060" s="17"/>
      <c r="E1060" s="17"/>
      <c r="F1060" s="17"/>
      <c r="G1060" s="17"/>
      <c r="H1060" s="64"/>
      <c r="I1060" s="64"/>
      <c r="J1060" s="64"/>
      <c r="K1060" s="64"/>
      <c r="L1060" s="43"/>
      <c r="M1060" s="17"/>
      <c r="N1060" s="17"/>
      <c r="O1060" s="43"/>
      <c r="S1060" s="89"/>
    </row>
    <row r="1061" spans="1:19" ht="15.75" customHeight="1" x14ac:dyDescent="0.3">
      <c r="A1061" s="88"/>
      <c r="D1061" s="17"/>
      <c r="E1061" s="17"/>
      <c r="F1061" s="17"/>
      <c r="G1061" s="17"/>
      <c r="H1061" s="64"/>
      <c r="I1061" s="64"/>
      <c r="J1061" s="64"/>
      <c r="K1061" s="64"/>
      <c r="L1061" s="43"/>
      <c r="M1061" s="17"/>
      <c r="N1061" s="17"/>
      <c r="O1061" s="43"/>
      <c r="S1061" s="89"/>
    </row>
    <row r="1062" spans="1:19" ht="15.75" customHeight="1" x14ac:dyDescent="0.3">
      <c r="A1062" s="88"/>
      <c r="D1062" s="17"/>
      <c r="E1062" s="17"/>
      <c r="F1062" s="17"/>
      <c r="G1062" s="17"/>
      <c r="H1062" s="64"/>
      <c r="I1062" s="64"/>
      <c r="J1062" s="64"/>
      <c r="K1062" s="64"/>
      <c r="L1062" s="43"/>
      <c r="M1062" s="17"/>
      <c r="N1062" s="17"/>
      <c r="O1062" s="43"/>
      <c r="S1062" s="89"/>
    </row>
    <row r="1063" spans="1:19" ht="15.75" customHeight="1" x14ac:dyDescent="0.3">
      <c r="A1063" s="88"/>
      <c r="D1063" s="17"/>
      <c r="E1063" s="17"/>
      <c r="F1063" s="17"/>
      <c r="G1063" s="17"/>
      <c r="H1063" s="64"/>
      <c r="I1063" s="64"/>
      <c r="J1063" s="64"/>
      <c r="K1063" s="64"/>
      <c r="L1063" s="43"/>
      <c r="M1063" s="17"/>
      <c r="N1063" s="17"/>
      <c r="O1063" s="43"/>
      <c r="S1063" s="89"/>
    </row>
    <row r="1064" spans="1:19" ht="15.75" customHeight="1" x14ac:dyDescent="0.3">
      <c r="A1064" s="88"/>
      <c r="D1064" s="17"/>
      <c r="E1064" s="17"/>
      <c r="F1064" s="17"/>
      <c r="G1064" s="17"/>
      <c r="H1064" s="64"/>
      <c r="I1064" s="64"/>
      <c r="J1064" s="64"/>
      <c r="K1064" s="64"/>
      <c r="L1064" s="43"/>
      <c r="M1064" s="17"/>
      <c r="N1064" s="17"/>
      <c r="O1064" s="43"/>
      <c r="S1064" s="89"/>
    </row>
    <row r="1065" spans="1:19" ht="15.75" customHeight="1" x14ac:dyDescent="0.3">
      <c r="A1065" s="88"/>
      <c r="D1065" s="17"/>
      <c r="E1065" s="17"/>
      <c r="F1065" s="17"/>
      <c r="G1065" s="17"/>
      <c r="H1065" s="64"/>
      <c r="I1065" s="64"/>
      <c r="J1065" s="64"/>
      <c r="K1065" s="64"/>
      <c r="L1065" s="43"/>
      <c r="M1065" s="17"/>
      <c r="N1065" s="17"/>
      <c r="O1065" s="43"/>
      <c r="S1065" s="89"/>
    </row>
    <row r="1066" spans="1:19" ht="15.75" customHeight="1" x14ac:dyDescent="0.3">
      <c r="A1066" s="88"/>
      <c r="D1066" s="17"/>
      <c r="E1066" s="17"/>
      <c r="F1066" s="17"/>
      <c r="G1066" s="17"/>
      <c r="H1066" s="64"/>
      <c r="I1066" s="64"/>
      <c r="J1066" s="64"/>
      <c r="K1066" s="64"/>
      <c r="L1066" s="43"/>
      <c r="M1066" s="17"/>
      <c r="N1066" s="17"/>
      <c r="O1066" s="43"/>
      <c r="S1066" s="89"/>
    </row>
    <row r="1067" spans="1:19" ht="15.75" customHeight="1" x14ac:dyDescent="0.3">
      <c r="A1067" s="88"/>
      <c r="D1067" s="17"/>
      <c r="E1067" s="17"/>
      <c r="F1067" s="17"/>
      <c r="G1067" s="17"/>
      <c r="H1067" s="64"/>
      <c r="I1067" s="64"/>
      <c r="J1067" s="64"/>
      <c r="K1067" s="64"/>
      <c r="L1067" s="43"/>
      <c r="M1067" s="17"/>
      <c r="N1067" s="17"/>
      <c r="O1067" s="43"/>
      <c r="S1067" s="89"/>
    </row>
    <row r="1068" spans="1:19" ht="15.75" customHeight="1" x14ac:dyDescent="0.3">
      <c r="A1068" s="88"/>
      <c r="D1068" s="17"/>
      <c r="E1068" s="17"/>
      <c r="F1068" s="17"/>
      <c r="G1068" s="17"/>
      <c r="H1068" s="64"/>
      <c r="I1068" s="64"/>
      <c r="J1068" s="64"/>
      <c r="K1068" s="64"/>
      <c r="L1068" s="43"/>
      <c r="M1068" s="17"/>
      <c r="N1068" s="17"/>
      <c r="O1068" s="43"/>
      <c r="S1068" s="89"/>
    </row>
    <row r="1069" spans="1:19" ht="15.75" customHeight="1" x14ac:dyDescent="0.3">
      <c r="A1069" s="88"/>
      <c r="D1069" s="17"/>
      <c r="E1069" s="17"/>
      <c r="F1069" s="17"/>
      <c r="G1069" s="17"/>
      <c r="H1069" s="64"/>
      <c r="I1069" s="64"/>
      <c r="J1069" s="64"/>
      <c r="K1069" s="64"/>
      <c r="L1069" s="43"/>
      <c r="M1069" s="17"/>
      <c r="N1069" s="17"/>
      <c r="O1069" s="43"/>
      <c r="S1069" s="89"/>
    </row>
    <row r="1070" spans="1:19" ht="15.75" customHeight="1" x14ac:dyDescent="0.3">
      <c r="A1070" s="88"/>
      <c r="D1070" s="17"/>
      <c r="E1070" s="17"/>
      <c r="F1070" s="17"/>
      <c r="G1070" s="17"/>
      <c r="H1070" s="64"/>
      <c r="I1070" s="64"/>
      <c r="J1070" s="64"/>
      <c r="K1070" s="64"/>
      <c r="L1070" s="43"/>
      <c r="M1070" s="17"/>
      <c r="N1070" s="17"/>
      <c r="O1070" s="43"/>
      <c r="S1070" s="89"/>
    </row>
    <row r="1071" spans="1:19" ht="15.75" customHeight="1" x14ac:dyDescent="0.3">
      <c r="A1071" s="88"/>
      <c r="D1071" s="17"/>
      <c r="E1071" s="17"/>
      <c r="F1071" s="17"/>
      <c r="G1071" s="17"/>
      <c r="H1071" s="64"/>
      <c r="I1071" s="64"/>
      <c r="J1071" s="64"/>
      <c r="K1071" s="64"/>
      <c r="L1071" s="43"/>
      <c r="M1071" s="17"/>
      <c r="N1071" s="17"/>
      <c r="O1071" s="43"/>
      <c r="S1071" s="89"/>
    </row>
    <row r="1072" spans="1:19" ht="15.75" customHeight="1" x14ac:dyDescent="0.3">
      <c r="A1072" s="88"/>
      <c r="D1072" s="17"/>
      <c r="E1072" s="17"/>
      <c r="F1072" s="17"/>
      <c r="G1072" s="17"/>
      <c r="H1072" s="64"/>
      <c r="I1072" s="64"/>
      <c r="J1072" s="64"/>
      <c r="K1072" s="64"/>
      <c r="L1072" s="43"/>
      <c r="M1072" s="17"/>
      <c r="N1072" s="17"/>
      <c r="O1072" s="43"/>
      <c r="S1072" s="89"/>
    </row>
    <row r="1073" spans="1:19" ht="15.75" customHeight="1" x14ac:dyDescent="0.3">
      <c r="A1073" s="88"/>
      <c r="D1073" s="17"/>
      <c r="E1073" s="17"/>
      <c r="F1073" s="17"/>
      <c r="G1073" s="17"/>
      <c r="H1073" s="64"/>
      <c r="I1073" s="64"/>
      <c r="J1073" s="64"/>
      <c r="K1073" s="64"/>
      <c r="L1073" s="43"/>
      <c r="M1073" s="17"/>
      <c r="N1073" s="17"/>
      <c r="O1073" s="43"/>
      <c r="S1073" s="89"/>
    </row>
    <row r="1074" spans="1:19" ht="15.75" customHeight="1" x14ac:dyDescent="0.3">
      <c r="A1074" s="88"/>
      <c r="D1074" s="17"/>
      <c r="E1074" s="17"/>
      <c r="F1074" s="17"/>
      <c r="G1074" s="17"/>
      <c r="H1074" s="64"/>
      <c r="I1074" s="64"/>
      <c r="J1074" s="64"/>
      <c r="K1074" s="64"/>
      <c r="L1074" s="43"/>
      <c r="M1074" s="17"/>
      <c r="N1074" s="17"/>
      <c r="O1074" s="43"/>
      <c r="S1074" s="89"/>
    </row>
    <row r="1075" spans="1:19" ht="15.75" customHeight="1" x14ac:dyDescent="0.3">
      <c r="A1075" s="88"/>
      <c r="D1075" s="17"/>
      <c r="E1075" s="17"/>
      <c r="F1075" s="17"/>
      <c r="G1075" s="17"/>
      <c r="H1075" s="64"/>
      <c r="I1075" s="64"/>
      <c r="J1075" s="64"/>
      <c r="K1075" s="64"/>
      <c r="L1075" s="43"/>
      <c r="M1075" s="17"/>
      <c r="N1075" s="17"/>
      <c r="O1075" s="43"/>
      <c r="S1075" s="89"/>
    </row>
    <row r="1076" spans="1:19" ht="15.75" customHeight="1" x14ac:dyDescent="0.3">
      <c r="A1076" s="88"/>
      <c r="D1076" s="17"/>
      <c r="E1076" s="17"/>
      <c r="F1076" s="17"/>
      <c r="G1076" s="17"/>
      <c r="H1076" s="64"/>
      <c r="I1076" s="64"/>
      <c r="J1076" s="64"/>
      <c r="K1076" s="64"/>
      <c r="L1076" s="43"/>
      <c r="M1076" s="17"/>
      <c r="N1076" s="17"/>
      <c r="O1076" s="43"/>
      <c r="S1076" s="89"/>
    </row>
    <row r="1077" spans="1:19" ht="15.75" customHeight="1" x14ac:dyDescent="0.3">
      <c r="A1077" s="88"/>
      <c r="D1077" s="17"/>
      <c r="E1077" s="17"/>
      <c r="F1077" s="17"/>
      <c r="G1077" s="17"/>
      <c r="H1077" s="64"/>
      <c r="I1077" s="64"/>
      <c r="J1077" s="64"/>
      <c r="K1077" s="64"/>
      <c r="L1077" s="43"/>
      <c r="M1077" s="17"/>
      <c r="N1077" s="17"/>
      <c r="O1077" s="43"/>
      <c r="S1077" s="89"/>
    </row>
    <row r="1078" spans="1:19" ht="15.75" customHeight="1" x14ac:dyDescent="0.3">
      <c r="A1078" s="88"/>
      <c r="D1078" s="17"/>
      <c r="E1078" s="17"/>
      <c r="F1078" s="17"/>
      <c r="G1078" s="17"/>
      <c r="H1078" s="64"/>
      <c r="I1078" s="64"/>
      <c r="J1078" s="64"/>
      <c r="K1078" s="64"/>
      <c r="L1078" s="43"/>
      <c r="M1078" s="17"/>
      <c r="N1078" s="17"/>
      <c r="O1078" s="43"/>
      <c r="S1078" s="89"/>
    </row>
    <row r="1079" spans="1:19" ht="15.75" customHeight="1" x14ac:dyDescent="0.3">
      <c r="A1079" s="88"/>
      <c r="D1079" s="17"/>
      <c r="E1079" s="17"/>
      <c r="F1079" s="17"/>
      <c r="G1079" s="17"/>
      <c r="H1079" s="64"/>
      <c r="I1079" s="64"/>
      <c r="J1079" s="64"/>
      <c r="K1079" s="64"/>
      <c r="L1079" s="43"/>
      <c r="M1079" s="17"/>
      <c r="N1079" s="17"/>
      <c r="O1079" s="43"/>
      <c r="S1079" s="89"/>
    </row>
    <row r="1080" spans="1:19" ht="15.75" customHeight="1" x14ac:dyDescent="0.3">
      <c r="A1080" s="88"/>
      <c r="D1080" s="17"/>
      <c r="E1080" s="17"/>
      <c r="F1080" s="17"/>
      <c r="G1080" s="17"/>
      <c r="H1080" s="64"/>
      <c r="I1080" s="64"/>
      <c r="J1080" s="64"/>
      <c r="K1080" s="64"/>
      <c r="L1080" s="43"/>
      <c r="M1080" s="17"/>
      <c r="N1080" s="17"/>
      <c r="O1080" s="43"/>
      <c r="S1080" s="89"/>
    </row>
    <row r="1081" spans="1:19" ht="15.75" customHeight="1" x14ac:dyDescent="0.3">
      <c r="A1081" s="88"/>
      <c r="D1081" s="17"/>
      <c r="E1081" s="17"/>
      <c r="F1081" s="17"/>
      <c r="G1081" s="17"/>
      <c r="H1081" s="64"/>
      <c r="I1081" s="64"/>
      <c r="J1081" s="64"/>
      <c r="K1081" s="64"/>
      <c r="L1081" s="43"/>
      <c r="M1081" s="17"/>
      <c r="N1081" s="17"/>
      <c r="O1081" s="43"/>
      <c r="S1081" s="89"/>
    </row>
    <row r="1082" spans="1:19" ht="15.75" customHeight="1" x14ac:dyDescent="0.3">
      <c r="A1082" s="88"/>
      <c r="D1082" s="17"/>
      <c r="E1082" s="17"/>
      <c r="F1082" s="17"/>
      <c r="G1082" s="17"/>
      <c r="H1082" s="64"/>
      <c r="I1082" s="64"/>
      <c r="J1082" s="64"/>
      <c r="K1082" s="64"/>
      <c r="L1082" s="43"/>
      <c r="M1082" s="17"/>
      <c r="N1082" s="17"/>
      <c r="O1082" s="43"/>
      <c r="S1082" s="89"/>
    </row>
    <row r="1083" spans="1:19" ht="15.75" customHeight="1" x14ac:dyDescent="0.3">
      <c r="A1083" s="88"/>
      <c r="D1083" s="17"/>
      <c r="E1083" s="17"/>
      <c r="F1083" s="17"/>
      <c r="G1083" s="17"/>
      <c r="H1083" s="64"/>
      <c r="I1083" s="64"/>
      <c r="J1083" s="64"/>
      <c r="K1083" s="64"/>
      <c r="L1083" s="43"/>
      <c r="M1083" s="17"/>
      <c r="N1083" s="17"/>
      <c r="O1083" s="43"/>
      <c r="S1083" s="89"/>
    </row>
    <row r="1084" spans="1:19" ht="15.75" customHeight="1" x14ac:dyDescent="0.3">
      <c r="A1084" s="88"/>
      <c r="D1084" s="17"/>
      <c r="E1084" s="17"/>
      <c r="F1084" s="17"/>
      <c r="G1084" s="17"/>
      <c r="H1084" s="64"/>
      <c r="I1084" s="64"/>
      <c r="J1084" s="64"/>
      <c r="K1084" s="64"/>
      <c r="L1084" s="43"/>
      <c r="M1084" s="17"/>
      <c r="N1084" s="17"/>
      <c r="O1084" s="43"/>
      <c r="S1084" s="89"/>
    </row>
    <row r="1085" spans="1:19" ht="15.75" customHeight="1" x14ac:dyDescent="0.3">
      <c r="A1085" s="88"/>
      <c r="D1085" s="17"/>
      <c r="E1085" s="17"/>
      <c r="F1085" s="17"/>
      <c r="G1085" s="17"/>
      <c r="H1085" s="64"/>
      <c r="I1085" s="64"/>
      <c r="J1085" s="64"/>
      <c r="K1085" s="64"/>
      <c r="L1085" s="43"/>
      <c r="M1085" s="17"/>
      <c r="N1085" s="17"/>
      <c r="O1085" s="43"/>
      <c r="S1085" s="89"/>
    </row>
    <row r="1086" spans="1:19" ht="15.75" customHeight="1" x14ac:dyDescent="0.3">
      <c r="A1086" s="88"/>
      <c r="D1086" s="17"/>
      <c r="E1086" s="17"/>
      <c r="F1086" s="17"/>
      <c r="G1086" s="17"/>
      <c r="H1086" s="64"/>
      <c r="I1086" s="64"/>
      <c r="J1086" s="64"/>
      <c r="K1086" s="64"/>
      <c r="L1086" s="43"/>
      <c r="M1086" s="17"/>
      <c r="N1086" s="17"/>
      <c r="O1086" s="43"/>
      <c r="S1086" s="89"/>
    </row>
    <row r="1087" spans="1:19" ht="15.75" customHeight="1" x14ac:dyDescent="0.3">
      <c r="A1087" s="88"/>
      <c r="D1087" s="17"/>
      <c r="E1087" s="17"/>
      <c r="F1087" s="17"/>
      <c r="G1087" s="17"/>
      <c r="H1087" s="64"/>
      <c r="I1087" s="64"/>
      <c r="J1087" s="64"/>
      <c r="K1087" s="64"/>
      <c r="L1087" s="43"/>
      <c r="M1087" s="17"/>
      <c r="N1087" s="17"/>
      <c r="O1087" s="43"/>
      <c r="S1087" s="89"/>
    </row>
    <row r="1088" spans="1:19" ht="15.75" customHeight="1" x14ac:dyDescent="0.3">
      <c r="A1088" s="88"/>
      <c r="D1088" s="17"/>
      <c r="E1088" s="17"/>
      <c r="F1088" s="17"/>
      <c r="G1088" s="17"/>
      <c r="H1088" s="64"/>
      <c r="I1088" s="64"/>
      <c r="J1088" s="64"/>
      <c r="K1088" s="64"/>
      <c r="L1088" s="43"/>
      <c r="M1088" s="17"/>
      <c r="N1088" s="17"/>
      <c r="O1088" s="43"/>
      <c r="S1088" s="89"/>
    </row>
    <row r="1089" spans="1:19" ht="15.75" customHeight="1" x14ac:dyDescent="0.3">
      <c r="A1089" s="88"/>
      <c r="D1089" s="17"/>
      <c r="E1089" s="17"/>
      <c r="F1089" s="17"/>
      <c r="G1089" s="17"/>
      <c r="H1089" s="64"/>
      <c r="I1089" s="64"/>
      <c r="J1089" s="64"/>
      <c r="K1089" s="64"/>
      <c r="L1089" s="43"/>
      <c r="M1089" s="17"/>
      <c r="N1089" s="17"/>
      <c r="O1089" s="43"/>
      <c r="S1089" s="89"/>
    </row>
    <row r="1090" spans="1:19" ht="15.75" customHeight="1" x14ac:dyDescent="0.3">
      <c r="A1090" s="88"/>
      <c r="D1090" s="17"/>
      <c r="E1090" s="17"/>
      <c r="F1090" s="17"/>
      <c r="G1090" s="17"/>
      <c r="H1090" s="64"/>
      <c r="I1090" s="64"/>
      <c r="J1090" s="64"/>
      <c r="K1090" s="64"/>
      <c r="L1090" s="43"/>
      <c r="M1090" s="17"/>
      <c r="N1090" s="17"/>
      <c r="O1090" s="43"/>
      <c r="S1090" s="89"/>
    </row>
    <row r="1091" spans="1:19" ht="15.75" customHeight="1" x14ac:dyDescent="0.3">
      <c r="A1091" s="88"/>
      <c r="D1091" s="17"/>
      <c r="E1091" s="17"/>
      <c r="F1091" s="17"/>
      <c r="G1091" s="17"/>
      <c r="H1091" s="64"/>
      <c r="I1091" s="64"/>
      <c r="J1091" s="64"/>
      <c r="K1091" s="64"/>
      <c r="L1091" s="43"/>
      <c r="M1091" s="17"/>
      <c r="N1091" s="17"/>
      <c r="O1091" s="43"/>
      <c r="S1091" s="89"/>
    </row>
    <row r="1092" spans="1:19" ht="15.75" customHeight="1" x14ac:dyDescent="0.3">
      <c r="A1092" s="88"/>
      <c r="D1092" s="17"/>
      <c r="E1092" s="17"/>
      <c r="F1092" s="17"/>
      <c r="G1092" s="17"/>
      <c r="H1092" s="64"/>
      <c r="I1092" s="64"/>
      <c r="J1092" s="64"/>
      <c r="K1092" s="64"/>
      <c r="L1092" s="43"/>
      <c r="M1092" s="17"/>
      <c r="N1092" s="17"/>
      <c r="O1092" s="43"/>
      <c r="S1092" s="89"/>
    </row>
    <row r="1093" spans="1:19" ht="15.75" customHeight="1" x14ac:dyDescent="0.3">
      <c r="A1093" s="88"/>
      <c r="D1093" s="17"/>
      <c r="E1093" s="17"/>
      <c r="F1093" s="17"/>
      <c r="G1093" s="17"/>
      <c r="H1093" s="64"/>
      <c r="I1093" s="64"/>
      <c r="J1093" s="64"/>
      <c r="K1093" s="64"/>
      <c r="L1093" s="43"/>
      <c r="M1093" s="17"/>
      <c r="N1093" s="17"/>
      <c r="O1093" s="43"/>
      <c r="S1093" s="89"/>
    </row>
    <row r="1094" spans="1:19" ht="15.75" customHeight="1" x14ac:dyDescent="0.3">
      <c r="A1094" s="88"/>
      <c r="D1094" s="17"/>
      <c r="E1094" s="17"/>
      <c r="F1094" s="17"/>
      <c r="G1094" s="17"/>
      <c r="H1094" s="64"/>
      <c r="I1094" s="64"/>
      <c r="J1094" s="64"/>
      <c r="K1094" s="64"/>
      <c r="L1094" s="43"/>
      <c r="M1094" s="17"/>
      <c r="N1094" s="17"/>
      <c r="O1094" s="43"/>
      <c r="S1094" s="89"/>
    </row>
    <row r="1095" spans="1:19" ht="15.75" customHeight="1" x14ac:dyDescent="0.3">
      <c r="A1095" s="88"/>
      <c r="D1095" s="17"/>
      <c r="E1095" s="17"/>
      <c r="F1095" s="17"/>
      <c r="G1095" s="17"/>
      <c r="H1095" s="64"/>
      <c r="I1095" s="64"/>
      <c r="J1095" s="64"/>
      <c r="K1095" s="64"/>
      <c r="L1095" s="43"/>
      <c r="M1095" s="17"/>
      <c r="N1095" s="17"/>
      <c r="O1095" s="43"/>
      <c r="S1095" s="89"/>
    </row>
    <row r="1096" spans="1:19" ht="15.75" customHeight="1" x14ac:dyDescent="0.3">
      <c r="A1096" s="88"/>
      <c r="D1096" s="17"/>
      <c r="E1096" s="17"/>
      <c r="F1096" s="17"/>
      <c r="G1096" s="17"/>
      <c r="H1096" s="64"/>
      <c r="I1096" s="64"/>
      <c r="J1096" s="64"/>
      <c r="K1096" s="64"/>
      <c r="L1096" s="43"/>
      <c r="M1096" s="17"/>
      <c r="N1096" s="17"/>
      <c r="O1096" s="43"/>
      <c r="S1096" s="89"/>
    </row>
    <row r="1097" spans="1:19" ht="15.75" customHeight="1" x14ac:dyDescent="0.3">
      <c r="A1097" s="88"/>
      <c r="D1097" s="17"/>
      <c r="E1097" s="17"/>
      <c r="F1097" s="17"/>
      <c r="G1097" s="17"/>
      <c r="H1097" s="64"/>
      <c r="I1097" s="64"/>
      <c r="J1097" s="64"/>
      <c r="K1097" s="64"/>
      <c r="L1097" s="43"/>
      <c r="M1097" s="17"/>
      <c r="N1097" s="17"/>
      <c r="O1097" s="43"/>
      <c r="S1097" s="89"/>
    </row>
    <row r="1098" spans="1:19" ht="15.75" customHeight="1" x14ac:dyDescent="0.3">
      <c r="A1098" s="88"/>
      <c r="D1098" s="17"/>
      <c r="E1098" s="17"/>
      <c r="F1098" s="17"/>
      <c r="G1098" s="17"/>
      <c r="H1098" s="64"/>
      <c r="I1098" s="64"/>
      <c r="J1098" s="64"/>
      <c r="K1098" s="64"/>
      <c r="L1098" s="43"/>
      <c r="M1098" s="17"/>
      <c r="N1098" s="17"/>
      <c r="O1098" s="43"/>
      <c r="S1098" s="89"/>
    </row>
    <row r="1099" spans="1:19" ht="15.75" customHeight="1" x14ac:dyDescent="0.3">
      <c r="A1099" s="88"/>
      <c r="D1099" s="17"/>
      <c r="E1099" s="17"/>
      <c r="F1099" s="17"/>
      <c r="G1099" s="17"/>
      <c r="H1099" s="64"/>
      <c r="I1099" s="64"/>
      <c r="J1099" s="64"/>
      <c r="K1099" s="64"/>
      <c r="L1099" s="43"/>
      <c r="M1099" s="17"/>
      <c r="N1099" s="17"/>
      <c r="O1099" s="43"/>
      <c r="S1099" s="89"/>
    </row>
    <row r="1100" spans="1:19" ht="15.75" customHeight="1" x14ac:dyDescent="0.3">
      <c r="A1100" s="88"/>
      <c r="D1100" s="17"/>
      <c r="E1100" s="17"/>
      <c r="F1100" s="17"/>
      <c r="G1100" s="17"/>
      <c r="H1100" s="64"/>
      <c r="I1100" s="64"/>
      <c r="J1100" s="64"/>
      <c r="K1100" s="64"/>
      <c r="L1100" s="43"/>
      <c r="M1100" s="17"/>
      <c r="N1100" s="17"/>
      <c r="O1100" s="43"/>
      <c r="S1100" s="89"/>
    </row>
    <row r="1101" spans="1:19" ht="15.75" customHeight="1" x14ac:dyDescent="0.3">
      <c r="A1101" s="88"/>
      <c r="D1101" s="17"/>
      <c r="E1101" s="17"/>
      <c r="F1101" s="17"/>
      <c r="G1101" s="17"/>
      <c r="H1101" s="64"/>
      <c r="I1101" s="64"/>
      <c r="J1101" s="64"/>
      <c r="K1101" s="64"/>
      <c r="L1101" s="43"/>
      <c r="M1101" s="17"/>
      <c r="N1101" s="17"/>
      <c r="O1101" s="43"/>
      <c r="S1101" s="89"/>
    </row>
    <row r="1102" spans="1:19" ht="15.75" customHeight="1" x14ac:dyDescent="0.3">
      <c r="A1102" s="88"/>
      <c r="D1102" s="17"/>
      <c r="E1102" s="17"/>
      <c r="F1102" s="17"/>
      <c r="G1102" s="17"/>
      <c r="H1102" s="64"/>
      <c r="I1102" s="64"/>
      <c r="J1102" s="64"/>
      <c r="K1102" s="64"/>
      <c r="L1102" s="43"/>
      <c r="M1102" s="17"/>
      <c r="N1102" s="17"/>
      <c r="O1102" s="43"/>
      <c r="S1102" s="89"/>
    </row>
    <row r="1103" spans="1:19" ht="15.75" customHeight="1" x14ac:dyDescent="0.3">
      <c r="A1103" s="88"/>
      <c r="D1103" s="17"/>
      <c r="E1103" s="17"/>
      <c r="F1103" s="17"/>
      <c r="G1103" s="17"/>
      <c r="H1103" s="64"/>
      <c r="I1103" s="64"/>
      <c r="J1103" s="64"/>
      <c r="K1103" s="64"/>
      <c r="L1103" s="43"/>
      <c r="M1103" s="17"/>
      <c r="N1103" s="17"/>
      <c r="O1103" s="43"/>
      <c r="S1103" s="89"/>
    </row>
    <row r="1104" spans="1:19" ht="15.75" customHeight="1" x14ac:dyDescent="0.3">
      <c r="A1104" s="88"/>
      <c r="D1104" s="17"/>
      <c r="E1104" s="17"/>
      <c r="F1104" s="17"/>
      <c r="G1104" s="17"/>
      <c r="H1104" s="64"/>
      <c r="I1104" s="64"/>
      <c r="J1104" s="64"/>
      <c r="K1104" s="64"/>
      <c r="L1104" s="43"/>
      <c r="M1104" s="17"/>
      <c r="N1104" s="17"/>
      <c r="O1104" s="43"/>
      <c r="S1104" s="89"/>
    </row>
    <row r="1105" spans="1:19" ht="15.75" customHeight="1" x14ac:dyDescent="0.3">
      <c r="A1105" s="88"/>
      <c r="D1105" s="17"/>
      <c r="E1105" s="17"/>
      <c r="F1105" s="17"/>
      <c r="G1105" s="17"/>
      <c r="H1105" s="64"/>
      <c r="I1105" s="64"/>
      <c r="J1105" s="64"/>
      <c r="K1105" s="64"/>
      <c r="L1105" s="43"/>
      <c r="M1105" s="17"/>
      <c r="N1105" s="17"/>
      <c r="O1105" s="43"/>
      <c r="S1105" s="89"/>
    </row>
    <row r="1106" spans="1:19" ht="15.75" customHeight="1" x14ac:dyDescent="0.3">
      <c r="A1106" s="88"/>
      <c r="D1106" s="17"/>
      <c r="E1106" s="17"/>
      <c r="F1106" s="17"/>
      <c r="G1106" s="17"/>
      <c r="H1106" s="64"/>
      <c r="I1106" s="64"/>
      <c r="J1106" s="64"/>
      <c r="K1106" s="64"/>
      <c r="L1106" s="43"/>
      <c r="M1106" s="17"/>
      <c r="N1106" s="17"/>
      <c r="O1106" s="43"/>
      <c r="S1106" s="89"/>
    </row>
    <row r="1107" spans="1:19" ht="15.75" customHeight="1" x14ac:dyDescent="0.3">
      <c r="A1107" s="88"/>
      <c r="D1107" s="17"/>
      <c r="E1107" s="17"/>
      <c r="F1107" s="17"/>
      <c r="G1107" s="17"/>
      <c r="H1107" s="64"/>
      <c r="I1107" s="64"/>
      <c r="J1107" s="64"/>
      <c r="K1107" s="64"/>
      <c r="L1107" s="43"/>
      <c r="M1107" s="17"/>
      <c r="N1107" s="17"/>
      <c r="O1107" s="43"/>
      <c r="S1107" s="89"/>
    </row>
    <row r="1108" spans="1:19" ht="15.75" customHeight="1" x14ac:dyDescent="0.3">
      <c r="A1108" s="88"/>
      <c r="D1108" s="17"/>
      <c r="E1108" s="17"/>
      <c r="F1108" s="17"/>
      <c r="G1108" s="17"/>
      <c r="H1108" s="64"/>
      <c r="I1108" s="64"/>
      <c r="J1108" s="64"/>
      <c r="K1108" s="64"/>
      <c r="L1108" s="43"/>
      <c r="M1108" s="17"/>
      <c r="N1108" s="17"/>
      <c r="O1108" s="43"/>
      <c r="S1108" s="89"/>
    </row>
    <row r="1109" spans="1:19" ht="15.75" customHeight="1" x14ac:dyDescent="0.3">
      <c r="A1109" s="88"/>
      <c r="D1109" s="17"/>
      <c r="E1109" s="17"/>
      <c r="F1109" s="17"/>
      <c r="G1109" s="17"/>
      <c r="H1109" s="64"/>
      <c r="I1109" s="64"/>
      <c r="J1109" s="64"/>
      <c r="K1109" s="64"/>
      <c r="L1109" s="43"/>
      <c r="M1109" s="17"/>
      <c r="N1109" s="17"/>
      <c r="O1109" s="43"/>
      <c r="S1109" s="89"/>
    </row>
    <row r="1110" spans="1:19" ht="15.75" customHeight="1" x14ac:dyDescent="0.3">
      <c r="A1110" s="88"/>
      <c r="D1110" s="17"/>
      <c r="E1110" s="17"/>
      <c r="F1110" s="17"/>
      <c r="G1110" s="17"/>
      <c r="H1110" s="64"/>
      <c r="I1110" s="64"/>
      <c r="J1110" s="64"/>
      <c r="K1110" s="64"/>
      <c r="L1110" s="43"/>
      <c r="M1110" s="17"/>
      <c r="N1110" s="17"/>
      <c r="O1110" s="43"/>
      <c r="S1110" s="89"/>
    </row>
    <row r="1111" spans="1:19" ht="15.75" customHeight="1" x14ac:dyDescent="0.3">
      <c r="A1111" s="88"/>
      <c r="D1111" s="17"/>
      <c r="E1111" s="17"/>
      <c r="F1111" s="17"/>
      <c r="G1111" s="17"/>
      <c r="H1111" s="64"/>
      <c r="I1111" s="64"/>
      <c r="J1111" s="64"/>
      <c r="K1111" s="64"/>
      <c r="L1111" s="43"/>
      <c r="M1111" s="17"/>
      <c r="N1111" s="17"/>
      <c r="O1111" s="43"/>
      <c r="S1111" s="89"/>
    </row>
    <row r="1112" spans="1:19" ht="15.75" customHeight="1" x14ac:dyDescent="0.3">
      <c r="A1112" s="88"/>
      <c r="D1112" s="17"/>
      <c r="E1112" s="17"/>
      <c r="F1112" s="17"/>
      <c r="G1112" s="17"/>
      <c r="H1112" s="64"/>
      <c r="I1112" s="64"/>
      <c r="J1112" s="64"/>
      <c r="K1112" s="64"/>
      <c r="L1112" s="43"/>
      <c r="M1112" s="17"/>
      <c r="N1112" s="17"/>
      <c r="O1112" s="43"/>
      <c r="S1112" s="89"/>
    </row>
    <row r="1113" spans="1:19" ht="15.75" customHeight="1" x14ac:dyDescent="0.3">
      <c r="A1113" s="88"/>
      <c r="D1113" s="17"/>
      <c r="E1113" s="17"/>
      <c r="F1113" s="17"/>
      <c r="G1113" s="17"/>
      <c r="H1113" s="64"/>
      <c r="I1113" s="64"/>
      <c r="J1113" s="64"/>
      <c r="K1113" s="64"/>
      <c r="L1113" s="43"/>
      <c r="M1113" s="17"/>
      <c r="N1113" s="17"/>
      <c r="O1113" s="43"/>
      <c r="S1113" s="89"/>
    </row>
    <row r="1114" spans="1:19" ht="15.75" customHeight="1" x14ac:dyDescent="0.3">
      <c r="A1114" s="88"/>
      <c r="D1114" s="17"/>
      <c r="E1114" s="17"/>
      <c r="F1114" s="17"/>
      <c r="G1114" s="17"/>
      <c r="H1114" s="64"/>
      <c r="I1114" s="64"/>
      <c r="J1114" s="64"/>
      <c r="K1114" s="64"/>
      <c r="L1114" s="43"/>
      <c r="M1114" s="17"/>
      <c r="N1114" s="17"/>
      <c r="O1114" s="43"/>
      <c r="S1114" s="89"/>
    </row>
    <row r="1115" spans="1:19" ht="15.75" customHeight="1" x14ac:dyDescent="0.3">
      <c r="A1115" s="88"/>
      <c r="D1115" s="17"/>
      <c r="E1115" s="17"/>
      <c r="F1115" s="17"/>
      <c r="G1115" s="17"/>
      <c r="H1115" s="64"/>
      <c r="I1115" s="64"/>
      <c r="J1115" s="64"/>
      <c r="K1115" s="64"/>
      <c r="L1115" s="43"/>
      <c r="M1115" s="17"/>
      <c r="N1115" s="17"/>
      <c r="O1115" s="43"/>
      <c r="S1115" s="89"/>
    </row>
    <row r="1116" spans="1:19" ht="15.75" customHeight="1" x14ac:dyDescent="0.3">
      <c r="A1116" s="88"/>
      <c r="D1116" s="17"/>
      <c r="E1116" s="17"/>
      <c r="F1116" s="17"/>
      <c r="G1116" s="17"/>
      <c r="H1116" s="64"/>
      <c r="I1116" s="64"/>
      <c r="J1116" s="64"/>
      <c r="K1116" s="64"/>
      <c r="L1116" s="43"/>
      <c r="M1116" s="17"/>
      <c r="N1116" s="17"/>
      <c r="O1116" s="43"/>
      <c r="S1116" s="89"/>
    </row>
    <row r="1117" spans="1:19" ht="15.75" customHeight="1" x14ac:dyDescent="0.3">
      <c r="A1117" s="88"/>
      <c r="D1117" s="17"/>
      <c r="E1117" s="17"/>
      <c r="F1117" s="17"/>
      <c r="G1117" s="17"/>
      <c r="H1117" s="64"/>
      <c r="I1117" s="64"/>
      <c r="J1117" s="64"/>
      <c r="K1117" s="64"/>
      <c r="L1117" s="43"/>
      <c r="M1117" s="17"/>
      <c r="N1117" s="17"/>
      <c r="O1117" s="43"/>
      <c r="S1117" s="89"/>
    </row>
    <row r="1118" spans="1:19" ht="15.75" customHeight="1" x14ac:dyDescent="0.3">
      <c r="A1118" s="88"/>
      <c r="D1118" s="17"/>
      <c r="E1118" s="17"/>
      <c r="F1118" s="17"/>
      <c r="G1118" s="17"/>
      <c r="H1118" s="64"/>
      <c r="I1118" s="64"/>
      <c r="J1118" s="64"/>
      <c r="K1118" s="64"/>
      <c r="L1118" s="43"/>
      <c r="M1118" s="17"/>
      <c r="N1118" s="17"/>
      <c r="O1118" s="43"/>
      <c r="S1118" s="89"/>
    </row>
    <row r="1119" spans="1:19" ht="15.75" customHeight="1" x14ac:dyDescent="0.3">
      <c r="A1119" s="88"/>
      <c r="D1119" s="17"/>
      <c r="E1119" s="17"/>
      <c r="F1119" s="17"/>
      <c r="G1119" s="17"/>
      <c r="H1119" s="64"/>
      <c r="I1119" s="64"/>
      <c r="J1119" s="64"/>
      <c r="K1119" s="64"/>
      <c r="L1119" s="43"/>
      <c r="M1119" s="17"/>
      <c r="N1119" s="17"/>
      <c r="O1119" s="43"/>
      <c r="S1119" s="89"/>
    </row>
    <row r="1120" spans="1:19" ht="15.75" customHeight="1" x14ac:dyDescent="0.3">
      <c r="A1120" s="88"/>
      <c r="D1120" s="17"/>
      <c r="E1120" s="17"/>
      <c r="F1120" s="17"/>
      <c r="G1120" s="17"/>
      <c r="H1120" s="64"/>
      <c r="I1120" s="64"/>
      <c r="J1120" s="64"/>
      <c r="K1120" s="64"/>
      <c r="L1120" s="43"/>
      <c r="M1120" s="17"/>
      <c r="N1120" s="17"/>
      <c r="O1120" s="43"/>
      <c r="S1120" s="89"/>
    </row>
    <row r="1121" spans="1:19" ht="15.75" customHeight="1" x14ac:dyDescent="0.3">
      <c r="A1121" s="88"/>
      <c r="D1121" s="17"/>
      <c r="E1121" s="17"/>
      <c r="F1121" s="17"/>
      <c r="G1121" s="17"/>
      <c r="H1121" s="64"/>
      <c r="I1121" s="64"/>
      <c r="J1121" s="64"/>
      <c r="K1121" s="64"/>
      <c r="L1121" s="43"/>
      <c r="M1121" s="17"/>
      <c r="N1121" s="17"/>
      <c r="O1121" s="43"/>
      <c r="S1121" s="89"/>
    </row>
    <row r="1122" spans="1:19" ht="15.75" customHeight="1" x14ac:dyDescent="0.3">
      <c r="A1122" s="88"/>
      <c r="D1122" s="17"/>
      <c r="E1122" s="17"/>
      <c r="F1122" s="17"/>
      <c r="G1122" s="17"/>
      <c r="H1122" s="64"/>
      <c r="I1122" s="64"/>
      <c r="J1122" s="64"/>
      <c r="K1122" s="64"/>
      <c r="L1122" s="43"/>
      <c r="M1122" s="17"/>
      <c r="N1122" s="17"/>
      <c r="O1122" s="43"/>
      <c r="S1122" s="89"/>
    </row>
    <row r="1123" spans="1:19" ht="15.75" customHeight="1" x14ac:dyDescent="0.3">
      <c r="A1123" s="88"/>
      <c r="D1123" s="17"/>
      <c r="E1123" s="17"/>
      <c r="F1123" s="17"/>
      <c r="G1123" s="17"/>
      <c r="H1123" s="64"/>
      <c r="I1123" s="64"/>
      <c r="J1123" s="64"/>
      <c r="K1123" s="64"/>
      <c r="L1123" s="43"/>
      <c r="M1123" s="17"/>
      <c r="N1123" s="17"/>
      <c r="O1123" s="43"/>
      <c r="S1123" s="89"/>
    </row>
    <row r="1124" spans="1:19" ht="15.75" customHeight="1" x14ac:dyDescent="0.3">
      <c r="A1124" s="88"/>
      <c r="D1124" s="17"/>
      <c r="E1124" s="17"/>
      <c r="F1124" s="17"/>
      <c r="G1124" s="17"/>
      <c r="H1124" s="64"/>
      <c r="I1124" s="64"/>
      <c r="J1124" s="64"/>
      <c r="K1124" s="64"/>
      <c r="L1124" s="43"/>
      <c r="M1124" s="17"/>
      <c r="N1124" s="17"/>
      <c r="O1124" s="43"/>
      <c r="S1124" s="89"/>
    </row>
    <row r="1125" spans="1:19" ht="15.75" customHeight="1" x14ac:dyDescent="0.3">
      <c r="A1125" s="88"/>
      <c r="D1125" s="17"/>
      <c r="E1125" s="17"/>
      <c r="F1125" s="17"/>
      <c r="G1125" s="17"/>
      <c r="H1125" s="64"/>
      <c r="I1125" s="64"/>
      <c r="J1125" s="64"/>
      <c r="K1125" s="64"/>
      <c r="L1125" s="43"/>
      <c r="M1125" s="17"/>
      <c r="N1125" s="17"/>
      <c r="O1125" s="43"/>
      <c r="S1125" s="89"/>
    </row>
    <row r="1126" spans="1:19" ht="15.75" customHeight="1" x14ac:dyDescent="0.3">
      <c r="A1126" s="88"/>
      <c r="D1126" s="17"/>
      <c r="E1126" s="17"/>
      <c r="F1126" s="17"/>
      <c r="G1126" s="17"/>
      <c r="H1126" s="64"/>
      <c r="I1126" s="64"/>
      <c r="J1126" s="64"/>
      <c r="K1126" s="64"/>
      <c r="L1126" s="43"/>
      <c r="M1126" s="17"/>
      <c r="N1126" s="17"/>
      <c r="O1126" s="43"/>
      <c r="S1126" s="89"/>
    </row>
    <row r="1127" spans="1:19" ht="15.75" customHeight="1" x14ac:dyDescent="0.3">
      <c r="A1127" s="88"/>
      <c r="D1127" s="17"/>
      <c r="E1127" s="17"/>
      <c r="F1127" s="17"/>
      <c r="G1127" s="17"/>
      <c r="H1127" s="64"/>
      <c r="I1127" s="64"/>
      <c r="J1127" s="64"/>
      <c r="K1127" s="64"/>
      <c r="L1127" s="43"/>
      <c r="M1127" s="17"/>
      <c r="N1127" s="17"/>
      <c r="O1127" s="43"/>
      <c r="S1127" s="89"/>
    </row>
    <row r="1128" spans="1:19" ht="15.75" customHeight="1" x14ac:dyDescent="0.3">
      <c r="A1128" s="88"/>
      <c r="D1128" s="17"/>
      <c r="E1128" s="17"/>
      <c r="F1128" s="17"/>
      <c r="G1128" s="17"/>
      <c r="H1128" s="64"/>
      <c r="I1128" s="64"/>
      <c r="J1128" s="64"/>
      <c r="K1128" s="64"/>
      <c r="L1128" s="43"/>
      <c r="M1128" s="17"/>
      <c r="N1128" s="17"/>
      <c r="O1128" s="43"/>
      <c r="S1128" s="89"/>
    </row>
    <row r="1129" spans="1:19" ht="15.75" customHeight="1" x14ac:dyDescent="0.3">
      <c r="A1129" s="88"/>
      <c r="D1129" s="17"/>
      <c r="E1129" s="17"/>
      <c r="F1129" s="17"/>
      <c r="G1129" s="17"/>
      <c r="H1129" s="64"/>
      <c r="I1129" s="64"/>
      <c r="J1129" s="64"/>
      <c r="K1129" s="64"/>
      <c r="L1129" s="43"/>
      <c r="M1129" s="17"/>
      <c r="N1129" s="17"/>
      <c r="O1129" s="43"/>
      <c r="S1129" s="89"/>
    </row>
    <row r="1130" spans="1:19" ht="15.75" customHeight="1" x14ac:dyDescent="0.3">
      <c r="A1130" s="88"/>
      <c r="D1130" s="17"/>
      <c r="E1130" s="17"/>
      <c r="F1130" s="17"/>
      <c r="G1130" s="17"/>
      <c r="H1130" s="64"/>
      <c r="I1130" s="64"/>
      <c r="J1130" s="64"/>
      <c r="K1130" s="64"/>
      <c r="L1130" s="43"/>
      <c r="M1130" s="17"/>
      <c r="N1130" s="17"/>
      <c r="O1130" s="43"/>
      <c r="S1130" s="89"/>
    </row>
    <row r="1131" spans="1:19" ht="15.75" customHeight="1" x14ac:dyDescent="0.3">
      <c r="A1131" s="88"/>
      <c r="D1131" s="17"/>
      <c r="E1131" s="17"/>
      <c r="F1131" s="17"/>
      <c r="G1131" s="17"/>
      <c r="H1131" s="64"/>
      <c r="I1131" s="64"/>
      <c r="J1131" s="64"/>
      <c r="K1131" s="64"/>
      <c r="L1131" s="43"/>
      <c r="M1131" s="17"/>
      <c r="N1131" s="17"/>
      <c r="O1131" s="43"/>
      <c r="S1131" s="89"/>
    </row>
    <row r="1132" spans="1:19" ht="15.75" customHeight="1" x14ac:dyDescent="0.3">
      <c r="A1132" s="88"/>
      <c r="D1132" s="17"/>
      <c r="E1132" s="17"/>
      <c r="F1132" s="17"/>
      <c r="G1132" s="17"/>
      <c r="H1132" s="64"/>
      <c r="I1132" s="64"/>
      <c r="J1132" s="64"/>
      <c r="K1132" s="64"/>
      <c r="L1132" s="43"/>
      <c r="M1132" s="17"/>
      <c r="N1132" s="17"/>
      <c r="O1132" s="43"/>
      <c r="S1132" s="89"/>
    </row>
    <row r="1133" spans="1:19" ht="15.75" customHeight="1" x14ac:dyDescent="0.3">
      <c r="A1133" s="88"/>
      <c r="D1133" s="17"/>
      <c r="E1133" s="17"/>
      <c r="F1133" s="17"/>
      <c r="G1133" s="17"/>
      <c r="H1133" s="64"/>
      <c r="I1133" s="64"/>
      <c r="J1133" s="64"/>
      <c r="K1133" s="64"/>
      <c r="L1133" s="43"/>
      <c r="M1133" s="17"/>
      <c r="N1133" s="17"/>
      <c r="O1133" s="43"/>
      <c r="S1133" s="89"/>
    </row>
    <row r="1134" spans="1:19" ht="15.75" customHeight="1" x14ac:dyDescent="0.3">
      <c r="A1134" s="88"/>
      <c r="D1134" s="17"/>
      <c r="E1134" s="17"/>
      <c r="F1134" s="17"/>
      <c r="G1134" s="17"/>
      <c r="H1134" s="64"/>
      <c r="I1134" s="64"/>
      <c r="J1134" s="64"/>
      <c r="K1134" s="64"/>
      <c r="L1134" s="43"/>
      <c r="M1134" s="17"/>
      <c r="N1134" s="17"/>
      <c r="O1134" s="43"/>
      <c r="S1134" s="89"/>
    </row>
    <row r="1135" spans="1:19" ht="15.75" customHeight="1" x14ac:dyDescent="0.3">
      <c r="A1135" s="88"/>
      <c r="D1135" s="17"/>
      <c r="E1135" s="17"/>
      <c r="F1135" s="17"/>
      <c r="G1135" s="17"/>
      <c r="H1135" s="64"/>
      <c r="I1135" s="64"/>
      <c r="J1135" s="64"/>
      <c r="K1135" s="64"/>
      <c r="L1135" s="43"/>
      <c r="M1135" s="17"/>
      <c r="N1135" s="17"/>
      <c r="O1135" s="43"/>
      <c r="S1135" s="89"/>
    </row>
    <row r="1136" spans="1:19" ht="15.75" customHeight="1" x14ac:dyDescent="0.3">
      <c r="A1136" s="88"/>
      <c r="D1136" s="17"/>
      <c r="E1136" s="17"/>
      <c r="F1136" s="17"/>
      <c r="G1136" s="17"/>
      <c r="H1136" s="64"/>
      <c r="I1136" s="64"/>
      <c r="J1136" s="64"/>
      <c r="K1136" s="64"/>
      <c r="L1136" s="43"/>
      <c r="M1136" s="17"/>
      <c r="N1136" s="17"/>
      <c r="O1136" s="43"/>
      <c r="S1136" s="89"/>
    </row>
    <row r="1137" spans="1:19" ht="15.75" customHeight="1" x14ac:dyDescent="0.3">
      <c r="A1137" s="88"/>
      <c r="D1137" s="17"/>
      <c r="E1137" s="17"/>
      <c r="F1137" s="17"/>
      <c r="G1137" s="17"/>
      <c r="H1137" s="64"/>
      <c r="I1137" s="64"/>
      <c r="J1137" s="64"/>
      <c r="K1137" s="64"/>
      <c r="L1137" s="43"/>
      <c r="M1137" s="17"/>
      <c r="N1137" s="17"/>
      <c r="O1137" s="43"/>
      <c r="S1137" s="89"/>
    </row>
    <row r="1138" spans="1:19" ht="15.75" customHeight="1" x14ac:dyDescent="0.3">
      <c r="A1138" s="88"/>
      <c r="D1138" s="17"/>
      <c r="E1138" s="17"/>
      <c r="F1138" s="17"/>
      <c r="G1138" s="17"/>
      <c r="H1138" s="64"/>
      <c r="I1138" s="64"/>
      <c r="J1138" s="64"/>
      <c r="K1138" s="64"/>
      <c r="L1138" s="43"/>
      <c r="M1138" s="17"/>
      <c r="N1138" s="17"/>
      <c r="O1138" s="43"/>
      <c r="S1138" s="89"/>
    </row>
    <row r="1139" spans="1:19" ht="15.75" customHeight="1" x14ac:dyDescent="0.3">
      <c r="A1139" s="88"/>
      <c r="D1139" s="17"/>
      <c r="E1139" s="17"/>
      <c r="F1139" s="17"/>
      <c r="G1139" s="17"/>
      <c r="H1139" s="64"/>
      <c r="I1139" s="64"/>
      <c r="J1139" s="64"/>
      <c r="K1139" s="64"/>
      <c r="L1139" s="43"/>
      <c r="M1139" s="17"/>
      <c r="N1139" s="17"/>
      <c r="O1139" s="43"/>
      <c r="S1139" s="89"/>
    </row>
    <row r="1140" spans="1:19" ht="15.75" customHeight="1" x14ac:dyDescent="0.3">
      <c r="A1140" s="88"/>
      <c r="D1140" s="17"/>
      <c r="E1140" s="17"/>
      <c r="F1140" s="17"/>
      <c r="G1140" s="17"/>
      <c r="H1140" s="64"/>
      <c r="I1140" s="64"/>
      <c r="J1140" s="64"/>
      <c r="K1140" s="64"/>
      <c r="L1140" s="43"/>
      <c r="M1140" s="17"/>
      <c r="N1140" s="17"/>
      <c r="O1140" s="43"/>
      <c r="S1140" s="89"/>
    </row>
    <row r="1141" spans="1:19" ht="15.75" customHeight="1" x14ac:dyDescent="0.3">
      <c r="A1141" s="88"/>
      <c r="D1141" s="17"/>
      <c r="E1141" s="17"/>
      <c r="F1141" s="17"/>
      <c r="G1141" s="17"/>
      <c r="H1141" s="64"/>
      <c r="I1141" s="64"/>
      <c r="J1141" s="64"/>
      <c r="K1141" s="64"/>
      <c r="L1141" s="43"/>
      <c r="M1141" s="17"/>
      <c r="N1141" s="17"/>
      <c r="O1141" s="43"/>
      <c r="S1141" s="89"/>
    </row>
    <row r="1142" spans="1:19" ht="15.75" customHeight="1" x14ac:dyDescent="0.3">
      <c r="A1142" s="88"/>
      <c r="D1142" s="17"/>
      <c r="E1142" s="17"/>
      <c r="F1142" s="17"/>
      <c r="G1142" s="17"/>
      <c r="H1142" s="64"/>
      <c r="I1142" s="64"/>
      <c r="J1142" s="64"/>
      <c r="K1142" s="64"/>
      <c r="L1142" s="43"/>
      <c r="M1142" s="17"/>
      <c r="N1142" s="17"/>
      <c r="O1142" s="43"/>
      <c r="S1142" s="89"/>
    </row>
    <row r="1143" spans="1:19" ht="15.75" customHeight="1" x14ac:dyDescent="0.3">
      <c r="A1143" s="88"/>
      <c r="D1143" s="17"/>
      <c r="E1143" s="17"/>
      <c r="F1143" s="17"/>
      <c r="G1143" s="17"/>
      <c r="H1143" s="64"/>
      <c r="I1143" s="64"/>
      <c r="J1143" s="64"/>
      <c r="K1143" s="64"/>
      <c r="L1143" s="43"/>
      <c r="M1143" s="17"/>
      <c r="N1143" s="17"/>
      <c r="O1143" s="43"/>
      <c r="S1143" s="89"/>
    </row>
    <row r="1144" spans="1:19" ht="15.75" customHeight="1" x14ac:dyDescent="0.3">
      <c r="A1144" s="88"/>
      <c r="D1144" s="17"/>
      <c r="E1144" s="17"/>
      <c r="F1144" s="17"/>
      <c r="G1144" s="17"/>
      <c r="H1144" s="64"/>
      <c r="I1144" s="64"/>
      <c r="J1144" s="64"/>
      <c r="K1144" s="64"/>
      <c r="L1144" s="43"/>
      <c r="M1144" s="17"/>
      <c r="N1144" s="17"/>
      <c r="O1144" s="43"/>
      <c r="S1144" s="89"/>
    </row>
    <row r="1145" spans="1:19" ht="15.75" customHeight="1" x14ac:dyDescent="0.3">
      <c r="A1145" s="88"/>
      <c r="D1145" s="17"/>
      <c r="E1145" s="17"/>
      <c r="F1145" s="17"/>
      <c r="G1145" s="17"/>
      <c r="H1145" s="64"/>
      <c r="I1145" s="64"/>
      <c r="J1145" s="64"/>
      <c r="K1145" s="64"/>
      <c r="L1145" s="43"/>
      <c r="M1145" s="17"/>
      <c r="N1145" s="17"/>
      <c r="O1145" s="43"/>
      <c r="S1145" s="89"/>
    </row>
    <row r="1146" spans="1:19" ht="15.75" customHeight="1" x14ac:dyDescent="0.3">
      <c r="A1146" s="88"/>
      <c r="D1146" s="17"/>
      <c r="E1146" s="17"/>
      <c r="F1146" s="17"/>
      <c r="G1146" s="17"/>
      <c r="H1146" s="64"/>
      <c r="I1146" s="64"/>
      <c r="J1146" s="64"/>
      <c r="K1146" s="64"/>
      <c r="L1146" s="43"/>
      <c r="M1146" s="17"/>
      <c r="N1146" s="17"/>
      <c r="O1146" s="43"/>
      <c r="S1146" s="89"/>
    </row>
    <row r="1147" spans="1:19" ht="15.75" customHeight="1" x14ac:dyDescent="0.3">
      <c r="A1147" s="88"/>
      <c r="D1147" s="17"/>
      <c r="E1147" s="17"/>
      <c r="F1147" s="17"/>
      <c r="G1147" s="17"/>
      <c r="H1147" s="64"/>
      <c r="I1147" s="64"/>
      <c r="J1147" s="64"/>
      <c r="K1147" s="64"/>
      <c r="L1147" s="43"/>
      <c r="M1147" s="17"/>
      <c r="N1147" s="17"/>
      <c r="O1147" s="43"/>
      <c r="S1147" s="89"/>
    </row>
    <row r="1148" spans="1:19" ht="15.75" customHeight="1" x14ac:dyDescent="0.3">
      <c r="A1148" s="88"/>
      <c r="D1148" s="17"/>
      <c r="E1148" s="17"/>
      <c r="F1148" s="17"/>
      <c r="G1148" s="17"/>
      <c r="H1148" s="64"/>
      <c r="I1148" s="64"/>
      <c r="J1148" s="64"/>
      <c r="K1148" s="64"/>
      <c r="L1148" s="43"/>
      <c r="M1148" s="17"/>
      <c r="N1148" s="17"/>
      <c r="O1148" s="43"/>
      <c r="S1148" s="89"/>
    </row>
    <row r="1149" spans="1:19" ht="15.75" customHeight="1" x14ac:dyDescent="0.3">
      <c r="A1149" s="88"/>
      <c r="D1149" s="17"/>
      <c r="E1149" s="17"/>
      <c r="F1149" s="17"/>
      <c r="G1149" s="17"/>
      <c r="H1149" s="64"/>
      <c r="I1149" s="64"/>
      <c r="J1149" s="64"/>
      <c r="K1149" s="64"/>
      <c r="L1149" s="43"/>
      <c r="M1149" s="17"/>
      <c r="N1149" s="17"/>
      <c r="O1149" s="43"/>
      <c r="S1149" s="89"/>
    </row>
    <row r="1150" spans="1:19" ht="15.75" customHeight="1" x14ac:dyDescent="0.3">
      <c r="A1150" s="88"/>
      <c r="D1150" s="17"/>
      <c r="E1150" s="17"/>
      <c r="F1150" s="17"/>
      <c r="G1150" s="17"/>
      <c r="H1150" s="64"/>
      <c r="I1150" s="64"/>
      <c r="J1150" s="64"/>
      <c r="K1150" s="64"/>
      <c r="L1150" s="43"/>
      <c r="M1150" s="17"/>
      <c r="N1150" s="17"/>
      <c r="O1150" s="43"/>
      <c r="S1150" s="89"/>
    </row>
    <row r="1151" spans="1:19" ht="15.75" customHeight="1" x14ac:dyDescent="0.3">
      <c r="A1151" s="88"/>
      <c r="D1151" s="17"/>
      <c r="E1151" s="17"/>
      <c r="F1151" s="17"/>
      <c r="G1151" s="17"/>
      <c r="H1151" s="64"/>
      <c r="I1151" s="64"/>
      <c r="J1151" s="64"/>
      <c r="K1151" s="64"/>
      <c r="L1151" s="43"/>
      <c r="M1151" s="17"/>
      <c r="N1151" s="17"/>
      <c r="O1151" s="43"/>
      <c r="S1151" s="89"/>
    </row>
    <row r="1152" spans="1:19" ht="15.75" customHeight="1" x14ac:dyDescent="0.3">
      <c r="A1152" s="88"/>
      <c r="D1152" s="17"/>
      <c r="E1152" s="17"/>
      <c r="F1152" s="17"/>
      <c r="G1152" s="17"/>
      <c r="H1152" s="64"/>
      <c r="I1152" s="64"/>
      <c r="J1152" s="64"/>
      <c r="K1152" s="64"/>
      <c r="L1152" s="43"/>
      <c r="M1152" s="17"/>
      <c r="N1152" s="17"/>
      <c r="O1152" s="43"/>
      <c r="S1152" s="89"/>
    </row>
    <row r="1153" spans="1:19" ht="15.75" customHeight="1" x14ac:dyDescent="0.3">
      <c r="A1153" s="88"/>
      <c r="D1153" s="17"/>
      <c r="E1153" s="17"/>
      <c r="F1153" s="17"/>
      <c r="G1153" s="17"/>
      <c r="H1153" s="64"/>
      <c r="I1153" s="64"/>
      <c r="J1153" s="64"/>
      <c r="K1153" s="64"/>
      <c r="L1153" s="43"/>
      <c r="M1153" s="17"/>
      <c r="N1153" s="17"/>
      <c r="O1153" s="43"/>
      <c r="S1153" s="89"/>
    </row>
    <row r="1154" spans="1:19" ht="15.75" customHeight="1" x14ac:dyDescent="0.3">
      <c r="A1154" s="88"/>
      <c r="D1154" s="17"/>
      <c r="E1154" s="17"/>
      <c r="F1154" s="17"/>
      <c r="G1154" s="17"/>
      <c r="H1154" s="64"/>
      <c r="I1154" s="64"/>
      <c r="J1154" s="64"/>
      <c r="K1154" s="64"/>
      <c r="L1154" s="43"/>
      <c r="M1154" s="17"/>
      <c r="N1154" s="17"/>
      <c r="O1154" s="43"/>
      <c r="S1154" s="89"/>
    </row>
    <row r="1155" spans="1:19" ht="15.75" customHeight="1" x14ac:dyDescent="0.3">
      <c r="A1155" s="88"/>
      <c r="D1155" s="17"/>
      <c r="E1155" s="17"/>
      <c r="F1155" s="17"/>
      <c r="G1155" s="17"/>
      <c r="H1155" s="64"/>
      <c r="I1155" s="64"/>
      <c r="J1155" s="64"/>
      <c r="K1155" s="64"/>
      <c r="L1155" s="43"/>
      <c r="M1155" s="17"/>
      <c r="N1155" s="17"/>
      <c r="O1155" s="43"/>
      <c r="S1155" s="89"/>
    </row>
    <row r="1156" spans="1:19" ht="15.75" customHeight="1" x14ac:dyDescent="0.3">
      <c r="A1156" s="88"/>
      <c r="D1156" s="17"/>
      <c r="E1156" s="17"/>
      <c r="F1156" s="17"/>
      <c r="G1156" s="17"/>
      <c r="H1156" s="64"/>
      <c r="I1156" s="64"/>
      <c r="J1156" s="64"/>
      <c r="K1156" s="64"/>
      <c r="L1156" s="43"/>
      <c r="M1156" s="17"/>
      <c r="N1156" s="17"/>
      <c r="O1156" s="43"/>
      <c r="S1156" s="89"/>
    </row>
    <row r="1157" spans="1:19" ht="15.75" customHeight="1" x14ac:dyDescent="0.3">
      <c r="A1157" s="88"/>
      <c r="D1157" s="17"/>
      <c r="E1157" s="17"/>
      <c r="F1157" s="17"/>
      <c r="G1157" s="17"/>
      <c r="H1157" s="64"/>
      <c r="I1157" s="64"/>
      <c r="J1157" s="64"/>
      <c r="K1157" s="64"/>
      <c r="L1157" s="43"/>
      <c r="M1157" s="17"/>
      <c r="N1157" s="17"/>
      <c r="O1157" s="43"/>
      <c r="S1157" s="89"/>
    </row>
    <row r="1158" spans="1:19" ht="15.75" customHeight="1" x14ac:dyDescent="0.3">
      <c r="A1158" s="88"/>
      <c r="D1158" s="17"/>
      <c r="E1158" s="17"/>
      <c r="F1158" s="17"/>
      <c r="G1158" s="17"/>
      <c r="H1158" s="64"/>
      <c r="I1158" s="64"/>
      <c r="J1158" s="64"/>
      <c r="K1158" s="64"/>
      <c r="L1158" s="43"/>
      <c r="M1158" s="17"/>
      <c r="N1158" s="17"/>
      <c r="O1158" s="43"/>
      <c r="S1158" s="89"/>
    </row>
    <row r="1159" spans="1:19" ht="15.75" customHeight="1" x14ac:dyDescent="0.3">
      <c r="A1159" s="88"/>
      <c r="D1159" s="17"/>
      <c r="E1159" s="17"/>
      <c r="F1159" s="17"/>
      <c r="G1159" s="17"/>
      <c r="H1159" s="64"/>
      <c r="I1159" s="64"/>
      <c r="J1159" s="64"/>
      <c r="K1159" s="64"/>
      <c r="L1159" s="43"/>
      <c r="M1159" s="17"/>
      <c r="N1159" s="17"/>
      <c r="O1159" s="43"/>
      <c r="S1159" s="89"/>
    </row>
    <row r="1160" spans="1:19" ht="15.75" customHeight="1" x14ac:dyDescent="0.3">
      <c r="A1160" s="88"/>
      <c r="D1160" s="17"/>
      <c r="E1160" s="17"/>
      <c r="F1160" s="17"/>
      <c r="G1160" s="17"/>
      <c r="H1160" s="64"/>
      <c r="I1160" s="64"/>
      <c r="J1160" s="64"/>
      <c r="K1160" s="64"/>
      <c r="L1160" s="43"/>
      <c r="M1160" s="17"/>
      <c r="N1160" s="17"/>
      <c r="O1160" s="43"/>
      <c r="S1160" s="89"/>
    </row>
    <row r="1161" spans="1:19" ht="15.75" customHeight="1" x14ac:dyDescent="0.3">
      <c r="A1161" s="88"/>
      <c r="D1161" s="17"/>
      <c r="E1161" s="17"/>
      <c r="F1161" s="17"/>
      <c r="G1161" s="17"/>
      <c r="H1161" s="64"/>
      <c r="I1161" s="64"/>
      <c r="J1161" s="64"/>
      <c r="K1161" s="64"/>
      <c r="L1161" s="43"/>
      <c r="M1161" s="17"/>
      <c r="N1161" s="17"/>
      <c r="O1161" s="43"/>
      <c r="S1161" s="89"/>
    </row>
    <row r="1162" spans="1:19" ht="15.75" customHeight="1" x14ac:dyDescent="0.3">
      <c r="A1162" s="88"/>
      <c r="D1162" s="17"/>
      <c r="E1162" s="17"/>
      <c r="F1162" s="17"/>
      <c r="G1162" s="17"/>
      <c r="H1162" s="64"/>
      <c r="I1162" s="64"/>
      <c r="J1162" s="64"/>
      <c r="K1162" s="64"/>
      <c r="L1162" s="43"/>
      <c r="M1162" s="17"/>
      <c r="N1162" s="17"/>
      <c r="O1162" s="43"/>
      <c r="S1162" s="89"/>
    </row>
    <row r="1163" spans="1:19" ht="15.75" customHeight="1" x14ac:dyDescent="0.3">
      <c r="A1163" s="88"/>
      <c r="D1163" s="17"/>
      <c r="E1163" s="17"/>
      <c r="F1163" s="17"/>
      <c r="G1163" s="17"/>
      <c r="H1163" s="64"/>
      <c r="I1163" s="64"/>
      <c r="J1163" s="64"/>
      <c r="K1163" s="64"/>
      <c r="L1163" s="43"/>
      <c r="M1163" s="17"/>
      <c r="N1163" s="17"/>
      <c r="O1163" s="43"/>
      <c r="S1163" s="89"/>
    </row>
    <row r="1164" spans="1:19" ht="15.75" customHeight="1" x14ac:dyDescent="0.3">
      <c r="A1164" s="88"/>
      <c r="D1164" s="17"/>
      <c r="E1164" s="17"/>
      <c r="F1164" s="17"/>
      <c r="G1164" s="17"/>
      <c r="H1164" s="64"/>
      <c r="I1164" s="64"/>
      <c r="J1164" s="64"/>
      <c r="K1164" s="64"/>
      <c r="L1164" s="43"/>
      <c r="M1164" s="17"/>
      <c r="N1164" s="17"/>
      <c r="O1164" s="43"/>
      <c r="S1164" s="89"/>
    </row>
    <row r="1165" spans="1:19" ht="15.75" customHeight="1" x14ac:dyDescent="0.3">
      <c r="A1165" s="88"/>
      <c r="D1165" s="17"/>
      <c r="E1165" s="17"/>
      <c r="F1165" s="17"/>
      <c r="G1165" s="17"/>
      <c r="H1165" s="64"/>
      <c r="I1165" s="64"/>
      <c r="J1165" s="64"/>
      <c r="K1165" s="64"/>
      <c r="L1165" s="43"/>
      <c r="M1165" s="17"/>
      <c r="N1165" s="17"/>
      <c r="O1165" s="43"/>
      <c r="S1165" s="89"/>
    </row>
    <row r="1166" spans="1:19" ht="15.75" customHeight="1" x14ac:dyDescent="0.3">
      <c r="A1166" s="88"/>
      <c r="D1166" s="17"/>
      <c r="E1166" s="17"/>
      <c r="F1166" s="17"/>
      <c r="G1166" s="17"/>
      <c r="H1166" s="64"/>
      <c r="I1166" s="64"/>
      <c r="J1166" s="64"/>
      <c r="K1166" s="64"/>
      <c r="L1166" s="43"/>
      <c r="M1166" s="17"/>
      <c r="N1166" s="17"/>
      <c r="O1166" s="43"/>
      <c r="S1166" s="89"/>
    </row>
    <row r="1167" spans="1:19" ht="15.75" customHeight="1" x14ac:dyDescent="0.3">
      <c r="A1167" s="88"/>
      <c r="D1167" s="17"/>
      <c r="E1167" s="17"/>
      <c r="F1167" s="17"/>
      <c r="G1167" s="17"/>
      <c r="H1167" s="64"/>
      <c r="I1167" s="64"/>
      <c r="J1167" s="64"/>
      <c r="K1167" s="64"/>
      <c r="L1167" s="43"/>
      <c r="M1167" s="17"/>
      <c r="N1167" s="17"/>
      <c r="O1167" s="43"/>
      <c r="S1167" s="89"/>
    </row>
    <row r="1168" spans="1:19" ht="15.75" customHeight="1" x14ac:dyDescent="0.3">
      <c r="A1168" s="88"/>
      <c r="D1168" s="17"/>
      <c r="E1168" s="17"/>
      <c r="F1168" s="17"/>
      <c r="G1168" s="17"/>
      <c r="H1168" s="64"/>
      <c r="I1168" s="64"/>
      <c r="J1168" s="64"/>
      <c r="K1168" s="64"/>
      <c r="L1168" s="43"/>
      <c r="M1168" s="17"/>
      <c r="N1168" s="17"/>
      <c r="O1168" s="43"/>
      <c r="S1168" s="89"/>
    </row>
    <row r="1169" spans="1:19" ht="15.75" customHeight="1" x14ac:dyDescent="0.3">
      <c r="A1169" s="88"/>
      <c r="D1169" s="17"/>
      <c r="E1169" s="17"/>
      <c r="F1169" s="17"/>
      <c r="G1169" s="17"/>
      <c r="H1169" s="64"/>
      <c r="I1169" s="64"/>
      <c r="J1169" s="64"/>
      <c r="K1169" s="64"/>
      <c r="L1169" s="43"/>
      <c r="M1169" s="17"/>
      <c r="N1169" s="17"/>
      <c r="O1169" s="43"/>
      <c r="S1169" s="89"/>
    </row>
    <row r="1170" spans="1:19" ht="15.75" customHeight="1" x14ac:dyDescent="0.3">
      <c r="A1170" s="88"/>
      <c r="D1170" s="17"/>
      <c r="E1170" s="17"/>
      <c r="F1170" s="17"/>
      <c r="G1170" s="17"/>
      <c r="H1170" s="64"/>
      <c r="I1170" s="64"/>
      <c r="J1170" s="64"/>
      <c r="K1170" s="64"/>
      <c r="L1170" s="43"/>
      <c r="M1170" s="17"/>
      <c r="N1170" s="17"/>
      <c r="O1170" s="43"/>
      <c r="S1170" s="89"/>
    </row>
    <row r="1171" spans="1:19" ht="15.75" customHeight="1" x14ac:dyDescent="0.3">
      <c r="A1171" s="88"/>
      <c r="D1171" s="17"/>
      <c r="E1171" s="17"/>
      <c r="F1171" s="17"/>
      <c r="G1171" s="17"/>
      <c r="H1171" s="64"/>
      <c r="I1171" s="64"/>
      <c r="J1171" s="64"/>
      <c r="K1171" s="64"/>
      <c r="L1171" s="43"/>
      <c r="M1171" s="17"/>
      <c r="N1171" s="17"/>
      <c r="O1171" s="43"/>
      <c r="S1171" s="89"/>
    </row>
    <row r="1172" spans="1:19" ht="15.75" customHeight="1" x14ac:dyDescent="0.3">
      <c r="A1172" s="88"/>
      <c r="D1172" s="17"/>
      <c r="E1172" s="17"/>
      <c r="F1172" s="17"/>
      <c r="G1172" s="17"/>
      <c r="H1172" s="64"/>
      <c r="I1172" s="64"/>
      <c r="J1172" s="64"/>
      <c r="K1172" s="64"/>
      <c r="L1172" s="43"/>
      <c r="M1172" s="17"/>
      <c r="N1172" s="17"/>
      <c r="O1172" s="43"/>
      <c r="S1172" s="89"/>
    </row>
    <row r="1173" spans="1:19" ht="15.75" customHeight="1" x14ac:dyDescent="0.3">
      <c r="A1173" s="88"/>
      <c r="D1173" s="17"/>
      <c r="E1173" s="17"/>
      <c r="F1173" s="17"/>
      <c r="G1173" s="17"/>
      <c r="H1173" s="64"/>
      <c r="I1173" s="64"/>
      <c r="J1173" s="64"/>
      <c r="K1173" s="64"/>
      <c r="L1173" s="43"/>
      <c r="M1173" s="17"/>
      <c r="N1173" s="17"/>
      <c r="O1173" s="43"/>
      <c r="S1173" s="89"/>
    </row>
    <row r="1174" spans="1:19" ht="15.75" customHeight="1" x14ac:dyDescent="0.3">
      <c r="A1174" s="88"/>
      <c r="D1174" s="17"/>
      <c r="E1174" s="17"/>
      <c r="F1174" s="17"/>
      <c r="G1174" s="17"/>
      <c r="H1174" s="64"/>
      <c r="I1174" s="64"/>
      <c r="J1174" s="64"/>
      <c r="K1174" s="64"/>
      <c r="L1174" s="43"/>
      <c r="M1174" s="17"/>
      <c r="N1174" s="17"/>
      <c r="O1174" s="43"/>
      <c r="S1174" s="89"/>
    </row>
    <row r="1175" spans="1:19" ht="15.75" customHeight="1" x14ac:dyDescent="0.3">
      <c r="A1175" s="88"/>
      <c r="D1175" s="17"/>
      <c r="E1175" s="17"/>
      <c r="F1175" s="17"/>
      <c r="G1175" s="17"/>
      <c r="H1175" s="64"/>
      <c r="I1175" s="64"/>
      <c r="J1175" s="64"/>
      <c r="K1175" s="64"/>
      <c r="L1175" s="43"/>
      <c r="M1175" s="17"/>
      <c r="N1175" s="17"/>
      <c r="O1175" s="43"/>
      <c r="S1175" s="89"/>
    </row>
    <row r="1176" spans="1:19" ht="15.75" customHeight="1" x14ac:dyDescent="0.3">
      <c r="A1176" s="88"/>
      <c r="D1176" s="17"/>
      <c r="E1176" s="17"/>
      <c r="F1176" s="17"/>
      <c r="G1176" s="17"/>
      <c r="H1176" s="64"/>
      <c r="I1176" s="64"/>
      <c r="J1176" s="64"/>
      <c r="K1176" s="64"/>
      <c r="L1176" s="43"/>
      <c r="M1176" s="17"/>
      <c r="N1176" s="17"/>
      <c r="O1176" s="43"/>
      <c r="S1176" s="89"/>
    </row>
    <row r="1177" spans="1:19" ht="15.75" customHeight="1" x14ac:dyDescent="0.3">
      <c r="A1177" s="88"/>
      <c r="D1177" s="17"/>
      <c r="E1177" s="17"/>
      <c r="F1177" s="17"/>
      <c r="G1177" s="17"/>
      <c r="H1177" s="64"/>
      <c r="I1177" s="64"/>
      <c r="J1177" s="64"/>
      <c r="K1177" s="64"/>
      <c r="L1177" s="43"/>
      <c r="M1177" s="17"/>
      <c r="N1177" s="17"/>
      <c r="O1177" s="43"/>
      <c r="S1177" s="89"/>
    </row>
    <row r="1178" spans="1:19" ht="15.75" customHeight="1" x14ac:dyDescent="0.3">
      <c r="A1178" s="88"/>
      <c r="D1178" s="17"/>
      <c r="E1178" s="17"/>
      <c r="F1178" s="17"/>
      <c r="G1178" s="17"/>
      <c r="H1178" s="64"/>
      <c r="I1178" s="64"/>
      <c r="J1178" s="64"/>
      <c r="K1178" s="64"/>
      <c r="L1178" s="43"/>
      <c r="M1178" s="17"/>
      <c r="N1178" s="17"/>
      <c r="O1178" s="43"/>
      <c r="S1178" s="89"/>
    </row>
    <row r="1179" spans="1:19" ht="15.75" customHeight="1" x14ac:dyDescent="0.3">
      <c r="A1179" s="88"/>
      <c r="D1179" s="17"/>
      <c r="E1179" s="17"/>
      <c r="F1179" s="17"/>
      <c r="G1179" s="17"/>
      <c r="H1179" s="64"/>
      <c r="I1179" s="64"/>
      <c r="J1179" s="64"/>
      <c r="K1179" s="64"/>
      <c r="L1179" s="43"/>
      <c r="M1179" s="17"/>
      <c r="N1179" s="17"/>
      <c r="O1179" s="43"/>
      <c r="S1179" s="89"/>
    </row>
    <row r="1180" spans="1:19" ht="15.75" customHeight="1" x14ac:dyDescent="0.3">
      <c r="A1180" s="88"/>
      <c r="D1180" s="17"/>
      <c r="E1180" s="17"/>
      <c r="F1180" s="17"/>
      <c r="G1180" s="17"/>
      <c r="H1180" s="64"/>
      <c r="I1180" s="64"/>
      <c r="J1180" s="64"/>
      <c r="K1180" s="64"/>
      <c r="L1180" s="43"/>
      <c r="M1180" s="17"/>
      <c r="N1180" s="17"/>
      <c r="O1180" s="43"/>
      <c r="S1180" s="89"/>
    </row>
    <row r="1181" spans="1:19" ht="15.75" customHeight="1" x14ac:dyDescent="0.3">
      <c r="A1181" s="88"/>
      <c r="D1181" s="17"/>
      <c r="E1181" s="17"/>
      <c r="F1181" s="17"/>
      <c r="G1181" s="17"/>
      <c r="H1181" s="64"/>
      <c r="I1181" s="64"/>
      <c r="J1181" s="64"/>
      <c r="K1181" s="64"/>
      <c r="L1181" s="43"/>
      <c r="M1181" s="17"/>
      <c r="N1181" s="17"/>
      <c r="O1181" s="43"/>
      <c r="S1181" s="89"/>
    </row>
    <row r="1182" spans="1:19" ht="15.75" customHeight="1" x14ac:dyDescent="0.3">
      <c r="A1182" s="88"/>
      <c r="D1182" s="17"/>
      <c r="E1182" s="17"/>
      <c r="F1182" s="17"/>
      <c r="G1182" s="17"/>
      <c r="H1182" s="64"/>
      <c r="I1182" s="64"/>
      <c r="J1182" s="64"/>
      <c r="K1182" s="64"/>
      <c r="L1182" s="43"/>
      <c r="M1182" s="17"/>
      <c r="N1182" s="17"/>
      <c r="O1182" s="43"/>
      <c r="S1182" s="89"/>
    </row>
    <row r="1183" spans="1:19" ht="15.75" customHeight="1" x14ac:dyDescent="0.3">
      <c r="A1183" s="88"/>
      <c r="D1183" s="17"/>
      <c r="E1183" s="17"/>
      <c r="F1183" s="17"/>
      <c r="G1183" s="17"/>
      <c r="H1183" s="64"/>
      <c r="I1183" s="64"/>
      <c r="J1183" s="64"/>
      <c r="K1183" s="64"/>
      <c r="L1183" s="43"/>
      <c r="M1183" s="17"/>
      <c r="N1183" s="17"/>
      <c r="O1183" s="43"/>
      <c r="S1183" s="89"/>
    </row>
    <row r="1184" spans="1:19" ht="15.75" customHeight="1" x14ac:dyDescent="0.3">
      <c r="A1184" s="88"/>
      <c r="D1184" s="17"/>
      <c r="E1184" s="17"/>
      <c r="F1184" s="17"/>
      <c r="G1184" s="17"/>
      <c r="H1184" s="64"/>
      <c r="I1184" s="64"/>
      <c r="J1184" s="64"/>
      <c r="K1184" s="64"/>
      <c r="L1184" s="43"/>
      <c r="M1184" s="17"/>
      <c r="N1184" s="17"/>
      <c r="O1184" s="43"/>
      <c r="S1184" s="89"/>
    </row>
    <row r="1185" spans="1:19" ht="15.75" customHeight="1" x14ac:dyDescent="0.3">
      <c r="A1185" s="88"/>
      <c r="D1185" s="17"/>
      <c r="E1185" s="17"/>
      <c r="F1185" s="17"/>
      <c r="G1185" s="17"/>
      <c r="H1185" s="64"/>
      <c r="I1185" s="64"/>
      <c r="J1185" s="64"/>
      <c r="K1185" s="64"/>
      <c r="L1185" s="43"/>
      <c r="M1185" s="17"/>
      <c r="N1185" s="17"/>
      <c r="O1185" s="43"/>
      <c r="S1185" s="89"/>
    </row>
    <row r="1186" spans="1:19" ht="15.75" customHeight="1" x14ac:dyDescent="0.3">
      <c r="A1186" s="88"/>
      <c r="D1186" s="17"/>
      <c r="E1186" s="17"/>
      <c r="F1186" s="17"/>
      <c r="G1186" s="17"/>
      <c r="H1186" s="64"/>
      <c r="I1186" s="64"/>
      <c r="J1186" s="64"/>
      <c r="K1186" s="64"/>
      <c r="L1186" s="43"/>
      <c r="M1186" s="17"/>
      <c r="N1186" s="17"/>
      <c r="O1186" s="43"/>
      <c r="S1186" s="89"/>
    </row>
    <row r="1187" spans="1:19" ht="15.75" customHeight="1" x14ac:dyDescent="0.3">
      <c r="A1187" s="88"/>
      <c r="D1187" s="17"/>
      <c r="E1187" s="17"/>
      <c r="F1187" s="17"/>
      <c r="G1187" s="17"/>
      <c r="H1187" s="64"/>
      <c r="I1187" s="64"/>
      <c r="J1187" s="64"/>
      <c r="K1187" s="64"/>
      <c r="L1187" s="43"/>
      <c r="M1187" s="17"/>
      <c r="N1187" s="17"/>
      <c r="O1187" s="43"/>
      <c r="S1187" s="89"/>
    </row>
    <row r="1188" spans="1:19" ht="15.75" customHeight="1" x14ac:dyDescent="0.3">
      <c r="A1188" s="88"/>
      <c r="D1188" s="17"/>
      <c r="E1188" s="17"/>
      <c r="F1188" s="17"/>
      <c r="G1188" s="17"/>
      <c r="H1188" s="64"/>
      <c r="I1188" s="64"/>
      <c r="J1188" s="64"/>
      <c r="K1188" s="64"/>
      <c r="L1188" s="43"/>
      <c r="M1188" s="17"/>
      <c r="N1188" s="17"/>
      <c r="O1188" s="43"/>
      <c r="S1188" s="89"/>
    </row>
    <row r="1189" spans="1:19" ht="15.75" customHeight="1" x14ac:dyDescent="0.3">
      <c r="A1189" s="88"/>
      <c r="D1189" s="17"/>
      <c r="E1189" s="17"/>
      <c r="F1189" s="17"/>
      <c r="G1189" s="17"/>
      <c r="H1189" s="64"/>
      <c r="I1189" s="64"/>
      <c r="J1189" s="64"/>
      <c r="K1189" s="64"/>
      <c r="L1189" s="43"/>
      <c r="M1189" s="17"/>
      <c r="N1189" s="17"/>
      <c r="O1189" s="43"/>
      <c r="S1189" s="89"/>
    </row>
    <row r="1190" spans="1:19" ht="15.75" customHeight="1" x14ac:dyDescent="0.3">
      <c r="A1190" s="88"/>
      <c r="D1190" s="17"/>
      <c r="E1190" s="17"/>
      <c r="F1190" s="17"/>
      <c r="G1190" s="17"/>
      <c r="H1190" s="64"/>
      <c r="I1190" s="64"/>
      <c r="J1190" s="64"/>
      <c r="K1190" s="64"/>
      <c r="L1190" s="43"/>
      <c r="M1190" s="17"/>
      <c r="N1190" s="17"/>
      <c r="O1190" s="43"/>
      <c r="S1190" s="89"/>
    </row>
    <row r="1191" spans="1:19" ht="15.75" customHeight="1" x14ac:dyDescent="0.3">
      <c r="A1191" s="88"/>
      <c r="D1191" s="17"/>
      <c r="E1191" s="17"/>
      <c r="F1191" s="17"/>
      <c r="G1191" s="17"/>
      <c r="H1191" s="64"/>
      <c r="I1191" s="64"/>
      <c r="J1191" s="64"/>
      <c r="K1191" s="64"/>
      <c r="L1191" s="43"/>
      <c r="M1191" s="17"/>
      <c r="N1191" s="17"/>
      <c r="O1191" s="43"/>
      <c r="S1191" s="89"/>
    </row>
    <row r="1192" spans="1:19" ht="15.75" customHeight="1" x14ac:dyDescent="0.3">
      <c r="A1192" s="88"/>
      <c r="D1192" s="17"/>
      <c r="E1192" s="17"/>
      <c r="F1192" s="17"/>
      <c r="G1192" s="17"/>
      <c r="H1192" s="64"/>
      <c r="I1192" s="64"/>
      <c r="J1192" s="64"/>
      <c r="K1192" s="64"/>
      <c r="L1192" s="43"/>
      <c r="M1192" s="17"/>
      <c r="N1192" s="17"/>
      <c r="O1192" s="43"/>
      <c r="S1192" s="89"/>
    </row>
    <row r="1193" spans="1:19" ht="15.75" customHeight="1" x14ac:dyDescent="0.3">
      <c r="A1193" s="88"/>
      <c r="D1193" s="17"/>
      <c r="E1193" s="17"/>
      <c r="F1193" s="17"/>
      <c r="G1193" s="17"/>
      <c r="H1193" s="64"/>
      <c r="I1193" s="64"/>
      <c r="J1193" s="64"/>
      <c r="K1193" s="64"/>
      <c r="L1193" s="43"/>
      <c r="M1193" s="17"/>
      <c r="N1193" s="17"/>
      <c r="O1193" s="43"/>
      <c r="S1193" s="89"/>
    </row>
    <row r="1194" spans="1:19" ht="15.75" customHeight="1" x14ac:dyDescent="0.3">
      <c r="A1194" s="88"/>
      <c r="D1194" s="17"/>
      <c r="E1194" s="17"/>
      <c r="F1194" s="17"/>
      <c r="G1194" s="17"/>
      <c r="H1194" s="64"/>
      <c r="I1194" s="64"/>
      <c r="J1194" s="64"/>
      <c r="K1194" s="64"/>
      <c r="L1194" s="43"/>
      <c r="M1194" s="17"/>
      <c r="N1194" s="17"/>
      <c r="O1194" s="43"/>
      <c r="S1194" s="89"/>
    </row>
    <row r="1195" spans="1:19" ht="15.75" customHeight="1" x14ac:dyDescent="0.3">
      <c r="A1195" s="88"/>
      <c r="D1195" s="17"/>
      <c r="E1195" s="17"/>
      <c r="F1195" s="17"/>
      <c r="G1195" s="17"/>
      <c r="H1195" s="64"/>
      <c r="I1195" s="64"/>
      <c r="J1195" s="64"/>
      <c r="K1195" s="64"/>
      <c r="L1195" s="43"/>
      <c r="M1195" s="17"/>
      <c r="N1195" s="17"/>
      <c r="O1195" s="43"/>
      <c r="S1195" s="89"/>
    </row>
    <row r="1196" spans="1:19" ht="15.75" customHeight="1" x14ac:dyDescent="0.3">
      <c r="A1196" s="88"/>
      <c r="D1196" s="17"/>
      <c r="E1196" s="17"/>
      <c r="F1196" s="17"/>
      <c r="G1196" s="17"/>
      <c r="H1196" s="64"/>
      <c r="I1196" s="64"/>
      <c r="J1196" s="64"/>
      <c r="K1196" s="64"/>
      <c r="L1196" s="43"/>
      <c r="M1196" s="17"/>
      <c r="N1196" s="17"/>
      <c r="O1196" s="43"/>
      <c r="S1196" s="89"/>
    </row>
    <row r="1197" spans="1:19" ht="15.75" customHeight="1" x14ac:dyDescent="0.3">
      <c r="A1197" s="88"/>
      <c r="D1197" s="17"/>
      <c r="E1197" s="17"/>
      <c r="F1197" s="17"/>
      <c r="G1197" s="17"/>
      <c r="H1197" s="64"/>
      <c r="I1197" s="64"/>
      <c r="J1197" s="64"/>
      <c r="K1197" s="64"/>
      <c r="L1197" s="43"/>
      <c r="M1197" s="17"/>
      <c r="N1197" s="17"/>
      <c r="O1197" s="43"/>
      <c r="S1197" s="89"/>
    </row>
    <row r="1198" spans="1:19" ht="15.75" customHeight="1" x14ac:dyDescent="0.3">
      <c r="A1198" s="88"/>
      <c r="D1198" s="17"/>
      <c r="E1198" s="17"/>
      <c r="F1198" s="17"/>
      <c r="G1198" s="17"/>
      <c r="H1198" s="64"/>
      <c r="I1198" s="64"/>
      <c r="J1198" s="64"/>
      <c r="K1198" s="64"/>
      <c r="L1198" s="43"/>
      <c r="M1198" s="17"/>
      <c r="N1198" s="17"/>
      <c r="O1198" s="43"/>
      <c r="S1198" s="89"/>
    </row>
    <row r="1199" spans="1:19" ht="15.75" customHeight="1" x14ac:dyDescent="0.3">
      <c r="A1199" s="88"/>
      <c r="D1199" s="17"/>
      <c r="E1199" s="17"/>
      <c r="F1199" s="17"/>
      <c r="G1199" s="17"/>
      <c r="H1199" s="64"/>
      <c r="I1199" s="64"/>
      <c r="J1199" s="64"/>
      <c r="K1199" s="64"/>
      <c r="L1199" s="43"/>
      <c r="M1199" s="17"/>
      <c r="N1199" s="17"/>
      <c r="O1199" s="43"/>
      <c r="S1199" s="89"/>
    </row>
    <row r="1200" spans="1:19" ht="15.75" customHeight="1" x14ac:dyDescent="0.3">
      <c r="A1200" s="88"/>
      <c r="D1200" s="17"/>
      <c r="E1200" s="17"/>
      <c r="F1200" s="17"/>
      <c r="G1200" s="17"/>
      <c r="H1200" s="64"/>
      <c r="I1200" s="64"/>
      <c r="J1200" s="64"/>
      <c r="K1200" s="64"/>
      <c r="L1200" s="43"/>
      <c r="M1200" s="17"/>
      <c r="N1200" s="17"/>
      <c r="O1200" s="43"/>
      <c r="S1200" s="89"/>
    </row>
    <row r="1201" spans="1:19" ht="15.75" customHeight="1" x14ac:dyDescent="0.3">
      <c r="A1201" s="88"/>
      <c r="D1201" s="17"/>
      <c r="E1201" s="17"/>
      <c r="F1201" s="17"/>
      <c r="G1201" s="17"/>
      <c r="H1201" s="64"/>
      <c r="I1201" s="64"/>
      <c r="J1201" s="64"/>
      <c r="K1201" s="64"/>
      <c r="L1201" s="43"/>
      <c r="M1201" s="17"/>
      <c r="N1201" s="17"/>
      <c r="O1201" s="43"/>
      <c r="S1201" s="89"/>
    </row>
    <row r="1202" spans="1:19" ht="15.75" customHeight="1" x14ac:dyDescent="0.3">
      <c r="A1202" s="88"/>
      <c r="D1202" s="17"/>
      <c r="E1202" s="17"/>
      <c r="F1202" s="17"/>
      <c r="G1202" s="17"/>
      <c r="H1202" s="64"/>
      <c r="I1202" s="64"/>
      <c r="J1202" s="64"/>
      <c r="K1202" s="64"/>
      <c r="L1202" s="43"/>
      <c r="M1202" s="17"/>
      <c r="N1202" s="17"/>
      <c r="O1202" s="43"/>
      <c r="S1202" s="89"/>
    </row>
    <row r="1203" spans="1:19" ht="15.75" customHeight="1" x14ac:dyDescent="0.3">
      <c r="A1203" s="88"/>
      <c r="D1203" s="17"/>
      <c r="E1203" s="17"/>
      <c r="F1203" s="17"/>
      <c r="G1203" s="17"/>
      <c r="H1203" s="64"/>
      <c r="I1203" s="64"/>
      <c r="J1203" s="64"/>
      <c r="K1203" s="64"/>
      <c r="L1203" s="43"/>
      <c r="M1203" s="17"/>
      <c r="N1203" s="17"/>
      <c r="O1203" s="43"/>
      <c r="S1203" s="89"/>
    </row>
    <row r="1204" spans="1:19" ht="15.75" customHeight="1" x14ac:dyDescent="0.3">
      <c r="A1204" s="88"/>
      <c r="D1204" s="17"/>
      <c r="E1204" s="17"/>
      <c r="F1204" s="17"/>
      <c r="G1204" s="17"/>
      <c r="H1204" s="64"/>
      <c r="I1204" s="64"/>
      <c r="J1204" s="64"/>
      <c r="K1204" s="64"/>
      <c r="L1204" s="43"/>
      <c r="M1204" s="17"/>
      <c r="N1204" s="17"/>
      <c r="O1204" s="43"/>
      <c r="S1204" s="89"/>
    </row>
    <row r="1205" spans="1:19" ht="15.75" customHeight="1" x14ac:dyDescent="0.3">
      <c r="A1205" s="88"/>
      <c r="D1205" s="17"/>
      <c r="E1205" s="17"/>
      <c r="F1205" s="17"/>
      <c r="G1205" s="17"/>
      <c r="H1205" s="64"/>
      <c r="I1205" s="64"/>
      <c r="J1205" s="64"/>
      <c r="K1205" s="64"/>
      <c r="L1205" s="43"/>
      <c r="M1205" s="17"/>
      <c r="N1205" s="17"/>
      <c r="O1205" s="43"/>
      <c r="S1205" s="89"/>
    </row>
    <row r="1206" spans="1:19" ht="15.75" customHeight="1" x14ac:dyDescent="0.3">
      <c r="A1206" s="88"/>
      <c r="D1206" s="17"/>
      <c r="E1206" s="17"/>
      <c r="F1206" s="17"/>
      <c r="G1206" s="17"/>
      <c r="H1206" s="64"/>
      <c r="I1206" s="64"/>
      <c r="J1206" s="64"/>
      <c r="K1206" s="64"/>
      <c r="L1206" s="43"/>
      <c r="M1206" s="17"/>
      <c r="N1206" s="17"/>
      <c r="O1206" s="43"/>
      <c r="S1206" s="89"/>
    </row>
    <row r="1207" spans="1:19" ht="15.75" customHeight="1" x14ac:dyDescent="0.3">
      <c r="A1207" s="88"/>
      <c r="D1207" s="17"/>
      <c r="E1207" s="17"/>
      <c r="F1207" s="17"/>
      <c r="G1207" s="17"/>
      <c r="H1207" s="64"/>
      <c r="I1207" s="64"/>
      <c r="J1207" s="64"/>
      <c r="K1207" s="64"/>
      <c r="L1207" s="43"/>
      <c r="M1207" s="17"/>
      <c r="N1207" s="17"/>
      <c r="O1207" s="43"/>
      <c r="S1207" s="89"/>
    </row>
    <row r="1208" spans="1:19" ht="15.75" customHeight="1" x14ac:dyDescent="0.3">
      <c r="A1208" s="88"/>
      <c r="D1208" s="17"/>
      <c r="E1208" s="17"/>
      <c r="F1208" s="17"/>
      <c r="G1208" s="17"/>
      <c r="H1208" s="64"/>
      <c r="I1208" s="64"/>
      <c r="J1208" s="64"/>
      <c r="K1208" s="64"/>
      <c r="L1208" s="43"/>
      <c r="M1208" s="17"/>
      <c r="N1208" s="17"/>
      <c r="O1208" s="43"/>
      <c r="S1208" s="89"/>
    </row>
    <row r="1209" spans="1:19" ht="15.75" customHeight="1" x14ac:dyDescent="0.3">
      <c r="A1209" s="88"/>
      <c r="D1209" s="17"/>
      <c r="E1209" s="17"/>
      <c r="F1209" s="17"/>
      <c r="G1209" s="17"/>
      <c r="H1209" s="64"/>
      <c r="I1209" s="64"/>
      <c r="J1209" s="64"/>
      <c r="K1209" s="64"/>
      <c r="L1209" s="43"/>
      <c r="M1209" s="17"/>
      <c r="N1209" s="17"/>
      <c r="O1209" s="43"/>
      <c r="S1209" s="89"/>
    </row>
    <row r="1210" spans="1:19" ht="15.75" customHeight="1" x14ac:dyDescent="0.3">
      <c r="A1210" s="88"/>
      <c r="D1210" s="17"/>
      <c r="E1210" s="17"/>
      <c r="F1210" s="17"/>
      <c r="G1210" s="17"/>
      <c r="H1210" s="64"/>
      <c r="I1210" s="64"/>
      <c r="J1210" s="64"/>
      <c r="K1210" s="64"/>
      <c r="L1210" s="43"/>
      <c r="M1210" s="17"/>
      <c r="N1210" s="17"/>
      <c r="O1210" s="43"/>
      <c r="S1210" s="89"/>
    </row>
    <row r="1211" spans="1:19" ht="15.75" customHeight="1" x14ac:dyDescent="0.3">
      <c r="A1211" s="88"/>
      <c r="D1211" s="17"/>
      <c r="E1211" s="17"/>
      <c r="F1211" s="17"/>
      <c r="G1211" s="17"/>
      <c r="H1211" s="64"/>
      <c r="I1211" s="64"/>
      <c r="J1211" s="64"/>
      <c r="K1211" s="64"/>
      <c r="L1211" s="43"/>
      <c r="M1211" s="17"/>
      <c r="N1211" s="17"/>
      <c r="O1211" s="43"/>
      <c r="S1211" s="89"/>
    </row>
    <row r="1212" spans="1:19" ht="15.75" customHeight="1" x14ac:dyDescent="0.3">
      <c r="A1212" s="88"/>
      <c r="D1212" s="17"/>
      <c r="E1212" s="17"/>
      <c r="F1212" s="17"/>
      <c r="G1212" s="17"/>
      <c r="H1212" s="64"/>
      <c r="I1212" s="64"/>
      <c r="J1212" s="64"/>
      <c r="K1212" s="64"/>
      <c r="L1212" s="43"/>
      <c r="M1212" s="17"/>
      <c r="N1212" s="17"/>
      <c r="O1212" s="43"/>
      <c r="S1212" s="89"/>
    </row>
    <row r="1213" spans="1:19" ht="15.75" customHeight="1" x14ac:dyDescent="0.3">
      <c r="A1213" s="88"/>
      <c r="D1213" s="17"/>
      <c r="E1213" s="17"/>
      <c r="F1213" s="17"/>
      <c r="G1213" s="17"/>
      <c r="H1213" s="64"/>
      <c r="I1213" s="64"/>
      <c r="J1213" s="64"/>
      <c r="K1213" s="64"/>
      <c r="L1213" s="43"/>
      <c r="M1213" s="17"/>
      <c r="N1213" s="17"/>
      <c r="O1213" s="43"/>
      <c r="S1213" s="89"/>
    </row>
    <row r="1214" spans="1:19" ht="15.75" customHeight="1" x14ac:dyDescent="0.3">
      <c r="A1214" s="88"/>
      <c r="D1214" s="17"/>
      <c r="E1214" s="17"/>
      <c r="F1214" s="17"/>
      <c r="G1214" s="17"/>
      <c r="H1214" s="64"/>
      <c r="I1214" s="64"/>
      <c r="J1214" s="64"/>
      <c r="K1214" s="64"/>
      <c r="L1214" s="43"/>
      <c r="M1214" s="17"/>
      <c r="N1214" s="17"/>
      <c r="O1214" s="43"/>
      <c r="S1214" s="89"/>
    </row>
    <row r="1215" spans="1:19" ht="15.75" customHeight="1" x14ac:dyDescent="0.3">
      <c r="A1215" s="88"/>
      <c r="D1215" s="17"/>
      <c r="E1215" s="17"/>
      <c r="F1215" s="17"/>
      <c r="G1215" s="17"/>
      <c r="H1215" s="64"/>
      <c r="I1215" s="64"/>
      <c r="J1215" s="64"/>
      <c r="K1215" s="64"/>
      <c r="L1215" s="43"/>
      <c r="M1215" s="17"/>
      <c r="N1215" s="17"/>
      <c r="O1215" s="43"/>
      <c r="S1215" s="89"/>
    </row>
    <row r="1216" spans="1:19" ht="15.75" customHeight="1" x14ac:dyDescent="0.3">
      <c r="A1216" s="88"/>
      <c r="D1216" s="17"/>
      <c r="E1216" s="17"/>
      <c r="F1216" s="17"/>
      <c r="G1216" s="17"/>
      <c r="H1216" s="64"/>
      <c r="I1216" s="64"/>
      <c r="J1216" s="64"/>
      <c r="K1216" s="64"/>
      <c r="L1216" s="43"/>
      <c r="M1216" s="17"/>
      <c r="N1216" s="17"/>
      <c r="O1216" s="43"/>
      <c r="S1216" s="89"/>
    </row>
    <row r="1217" spans="1:19" ht="15.75" customHeight="1" x14ac:dyDescent="0.3">
      <c r="A1217" s="88"/>
      <c r="D1217" s="17"/>
      <c r="E1217" s="17"/>
      <c r="F1217" s="17"/>
      <c r="G1217" s="17"/>
      <c r="H1217" s="64"/>
      <c r="I1217" s="64"/>
      <c r="J1217" s="64"/>
      <c r="K1217" s="64"/>
      <c r="L1217" s="43"/>
      <c r="M1217" s="17"/>
      <c r="N1217" s="17"/>
      <c r="O1217" s="43"/>
      <c r="S1217" s="89"/>
    </row>
    <row r="1218" spans="1:19" ht="15.75" customHeight="1" x14ac:dyDescent="0.3">
      <c r="A1218" s="88"/>
      <c r="D1218" s="17"/>
      <c r="E1218" s="17"/>
      <c r="F1218" s="17"/>
      <c r="G1218" s="17"/>
      <c r="H1218" s="64"/>
      <c r="I1218" s="64"/>
      <c r="J1218" s="64"/>
      <c r="K1218" s="64"/>
      <c r="L1218" s="43"/>
      <c r="M1218" s="17"/>
      <c r="N1218" s="17"/>
      <c r="O1218" s="43"/>
      <c r="S1218" s="89"/>
    </row>
    <row r="1219" spans="1:19" ht="15.75" customHeight="1" x14ac:dyDescent="0.3">
      <c r="A1219" s="88"/>
      <c r="D1219" s="17"/>
      <c r="E1219" s="17"/>
      <c r="F1219" s="17"/>
      <c r="G1219" s="17"/>
      <c r="H1219" s="64"/>
      <c r="I1219" s="64"/>
      <c r="J1219" s="64"/>
      <c r="K1219" s="64"/>
      <c r="L1219" s="43"/>
      <c r="M1219" s="17"/>
      <c r="N1219" s="17"/>
      <c r="O1219" s="43"/>
      <c r="S1219" s="89"/>
    </row>
    <row r="1220" spans="1:19" ht="15.75" customHeight="1" x14ac:dyDescent="0.3">
      <c r="A1220" s="88"/>
      <c r="D1220" s="17"/>
      <c r="E1220" s="17"/>
      <c r="F1220" s="17"/>
      <c r="G1220" s="17"/>
      <c r="H1220" s="64"/>
      <c r="I1220" s="64"/>
      <c r="J1220" s="64"/>
      <c r="K1220" s="64"/>
      <c r="L1220" s="43"/>
      <c r="M1220" s="17"/>
      <c r="N1220" s="17"/>
      <c r="O1220" s="43"/>
      <c r="S1220" s="89"/>
    </row>
    <row r="1221" spans="1:19" ht="15.75" customHeight="1" x14ac:dyDescent="0.3">
      <c r="A1221" s="88"/>
      <c r="D1221" s="17"/>
      <c r="E1221" s="17"/>
      <c r="F1221" s="17"/>
      <c r="G1221" s="17"/>
      <c r="H1221" s="64"/>
      <c r="I1221" s="64"/>
      <c r="J1221" s="64"/>
      <c r="K1221" s="64"/>
      <c r="L1221" s="43"/>
      <c r="M1221" s="17"/>
      <c r="N1221" s="17"/>
      <c r="O1221" s="43"/>
      <c r="S1221" s="89"/>
    </row>
    <row r="1222" spans="1:19" ht="15.75" customHeight="1" x14ac:dyDescent="0.3">
      <c r="A1222" s="88"/>
      <c r="D1222" s="17"/>
      <c r="E1222" s="17"/>
      <c r="F1222" s="17"/>
      <c r="G1222" s="17"/>
      <c r="H1222" s="64"/>
      <c r="I1222" s="64"/>
      <c r="J1222" s="64"/>
      <c r="K1222" s="64"/>
      <c r="L1222" s="43"/>
      <c r="M1222" s="17"/>
      <c r="N1222" s="17"/>
      <c r="O1222" s="43"/>
      <c r="S1222" s="89"/>
    </row>
    <row r="1223" spans="1:19" ht="15.75" customHeight="1" x14ac:dyDescent="0.3">
      <c r="A1223" s="88"/>
      <c r="D1223" s="17"/>
      <c r="E1223" s="17"/>
      <c r="F1223" s="17"/>
      <c r="G1223" s="17"/>
      <c r="H1223" s="64"/>
      <c r="I1223" s="64"/>
      <c r="J1223" s="64"/>
      <c r="K1223" s="64"/>
      <c r="L1223" s="43"/>
      <c r="M1223" s="17"/>
      <c r="N1223" s="17"/>
      <c r="O1223" s="43"/>
      <c r="S1223" s="89"/>
    </row>
    <row r="1224" spans="1:19" ht="15.75" customHeight="1" x14ac:dyDescent="0.3">
      <c r="A1224" s="88"/>
      <c r="D1224" s="17"/>
      <c r="E1224" s="17"/>
      <c r="F1224" s="17"/>
      <c r="G1224" s="17"/>
      <c r="H1224" s="64"/>
      <c r="I1224" s="64"/>
      <c r="J1224" s="64"/>
      <c r="K1224" s="64"/>
      <c r="L1224" s="43"/>
      <c r="M1224" s="17"/>
      <c r="N1224" s="17"/>
      <c r="O1224" s="43"/>
      <c r="S1224" s="89"/>
    </row>
    <row r="1225" spans="1:19" ht="15.75" customHeight="1" x14ac:dyDescent="0.3">
      <c r="A1225" s="88"/>
      <c r="D1225" s="17"/>
      <c r="E1225" s="17"/>
      <c r="F1225" s="17"/>
      <c r="G1225" s="17"/>
      <c r="H1225" s="64"/>
      <c r="I1225" s="64"/>
      <c r="J1225" s="64"/>
      <c r="K1225" s="64"/>
      <c r="L1225" s="43"/>
      <c r="M1225" s="17"/>
      <c r="N1225" s="17"/>
      <c r="O1225" s="43"/>
      <c r="S1225" s="89"/>
    </row>
    <row r="1226" spans="1:19" ht="15.75" customHeight="1" x14ac:dyDescent="0.3">
      <c r="A1226" s="88"/>
      <c r="D1226" s="17"/>
      <c r="E1226" s="17"/>
      <c r="F1226" s="17"/>
      <c r="G1226" s="17"/>
      <c r="H1226" s="64"/>
      <c r="I1226" s="64"/>
      <c r="J1226" s="64"/>
      <c r="K1226" s="64"/>
      <c r="L1226" s="43"/>
      <c r="M1226" s="17"/>
      <c r="N1226" s="17"/>
      <c r="O1226" s="43"/>
      <c r="S1226" s="89"/>
    </row>
    <row r="1227" spans="1:19" ht="15.75" customHeight="1" x14ac:dyDescent="0.3">
      <c r="A1227" s="88"/>
      <c r="D1227" s="17"/>
      <c r="E1227" s="17"/>
      <c r="F1227" s="17"/>
      <c r="G1227" s="17"/>
      <c r="H1227" s="64"/>
      <c r="I1227" s="64"/>
      <c r="J1227" s="64"/>
      <c r="K1227" s="64"/>
      <c r="L1227" s="43"/>
      <c r="M1227" s="17"/>
      <c r="N1227" s="17"/>
      <c r="O1227" s="43"/>
      <c r="S1227" s="89"/>
    </row>
    <row r="1228" spans="1:19" ht="15.75" customHeight="1" x14ac:dyDescent="0.3">
      <c r="A1228" s="88"/>
      <c r="D1228" s="17"/>
      <c r="E1228" s="17"/>
      <c r="F1228" s="17"/>
      <c r="G1228" s="17"/>
      <c r="H1228" s="64"/>
      <c r="I1228" s="64"/>
      <c r="J1228" s="64"/>
      <c r="K1228" s="64"/>
      <c r="L1228" s="43"/>
      <c r="M1228" s="17"/>
      <c r="N1228" s="17"/>
      <c r="O1228" s="43"/>
      <c r="S1228" s="89"/>
    </row>
    <row r="1229" spans="1:19" ht="15.75" customHeight="1" x14ac:dyDescent="0.3">
      <c r="A1229" s="88"/>
      <c r="D1229" s="17"/>
      <c r="E1229" s="17"/>
      <c r="F1229" s="17"/>
      <c r="G1229" s="17"/>
      <c r="H1229" s="64"/>
      <c r="I1229" s="64"/>
      <c r="J1229" s="64"/>
      <c r="K1229" s="64"/>
      <c r="L1229" s="43"/>
      <c r="M1229" s="17"/>
      <c r="N1229" s="17"/>
      <c r="O1229" s="43"/>
      <c r="S1229" s="89"/>
    </row>
    <row r="1230" spans="1:19" ht="15.75" customHeight="1" x14ac:dyDescent="0.3">
      <c r="A1230" s="88"/>
      <c r="D1230" s="17"/>
      <c r="E1230" s="17"/>
      <c r="F1230" s="17"/>
      <c r="G1230" s="17"/>
      <c r="H1230" s="64"/>
      <c r="I1230" s="64"/>
      <c r="J1230" s="64"/>
      <c r="K1230" s="64"/>
      <c r="L1230" s="43"/>
      <c r="M1230" s="17"/>
      <c r="N1230" s="17"/>
      <c r="O1230" s="43"/>
      <c r="S1230" s="89"/>
    </row>
    <row r="1231" spans="1:19" ht="15.75" customHeight="1" x14ac:dyDescent="0.3">
      <c r="A1231" s="88"/>
      <c r="D1231" s="17"/>
      <c r="E1231" s="17"/>
      <c r="F1231" s="17"/>
      <c r="G1231" s="17"/>
      <c r="H1231" s="64"/>
      <c r="I1231" s="64"/>
      <c r="J1231" s="64"/>
      <c r="K1231" s="64"/>
      <c r="L1231" s="43"/>
      <c r="M1231" s="17"/>
      <c r="N1231" s="17"/>
      <c r="O1231" s="43"/>
      <c r="S1231" s="89"/>
    </row>
    <row r="1232" spans="1:19" ht="15.75" customHeight="1" x14ac:dyDescent="0.3">
      <c r="A1232" s="88"/>
      <c r="D1232" s="17"/>
      <c r="E1232" s="17"/>
      <c r="F1232" s="17"/>
      <c r="G1232" s="17"/>
      <c r="H1232" s="64"/>
      <c r="I1232" s="64"/>
      <c r="J1232" s="64"/>
      <c r="K1232" s="64"/>
      <c r="L1232" s="43"/>
      <c r="M1232" s="17"/>
      <c r="N1232" s="17"/>
      <c r="O1232" s="43"/>
      <c r="S1232" s="89"/>
    </row>
    <row r="1233" spans="1:19" ht="15.75" customHeight="1" x14ac:dyDescent="0.3">
      <c r="A1233" s="88"/>
      <c r="D1233" s="17"/>
      <c r="E1233" s="17"/>
      <c r="F1233" s="17"/>
      <c r="G1233" s="17"/>
      <c r="H1233" s="64"/>
      <c r="I1233" s="64"/>
      <c r="J1233" s="64"/>
      <c r="K1233" s="64"/>
      <c r="L1233" s="43"/>
      <c r="M1233" s="17"/>
      <c r="N1233" s="17"/>
      <c r="O1233" s="43"/>
      <c r="S1233" s="89"/>
    </row>
    <row r="1234" spans="1:19" ht="15.75" customHeight="1" x14ac:dyDescent="0.3">
      <c r="A1234" s="88"/>
      <c r="D1234" s="17"/>
      <c r="E1234" s="17"/>
      <c r="F1234" s="17"/>
      <c r="G1234" s="17"/>
      <c r="H1234" s="64"/>
      <c r="I1234" s="64"/>
      <c r="J1234" s="64"/>
      <c r="K1234" s="64"/>
      <c r="L1234" s="43"/>
      <c r="M1234" s="17"/>
      <c r="N1234" s="17"/>
      <c r="O1234" s="43"/>
      <c r="S1234" s="89"/>
    </row>
    <row r="1235" spans="1:19" ht="15.75" customHeight="1" x14ac:dyDescent="0.3">
      <c r="A1235" s="88"/>
      <c r="D1235" s="17"/>
      <c r="E1235" s="17"/>
      <c r="F1235" s="17"/>
      <c r="G1235" s="17"/>
      <c r="H1235" s="64"/>
      <c r="I1235" s="64"/>
      <c r="J1235" s="64"/>
      <c r="K1235" s="64"/>
      <c r="L1235" s="43"/>
      <c r="M1235" s="17"/>
      <c r="N1235" s="17"/>
      <c r="O1235" s="43"/>
      <c r="S1235" s="89"/>
    </row>
    <row r="1236" spans="1:19" ht="15.75" customHeight="1" x14ac:dyDescent="0.3">
      <c r="A1236" s="88"/>
      <c r="D1236" s="17"/>
      <c r="E1236" s="17"/>
      <c r="F1236" s="17"/>
      <c r="G1236" s="17"/>
      <c r="H1236" s="64"/>
      <c r="I1236" s="64"/>
      <c r="J1236" s="64"/>
      <c r="K1236" s="64"/>
      <c r="L1236" s="43"/>
      <c r="M1236" s="17"/>
      <c r="N1236" s="17"/>
      <c r="O1236" s="43"/>
      <c r="S1236" s="89"/>
    </row>
    <row r="1237" spans="1:19" ht="15.75" customHeight="1" x14ac:dyDescent="0.3">
      <c r="A1237" s="88"/>
      <c r="D1237" s="17"/>
      <c r="E1237" s="17"/>
      <c r="F1237" s="17"/>
      <c r="G1237" s="17"/>
      <c r="H1237" s="64"/>
      <c r="I1237" s="64"/>
      <c r="J1237" s="64"/>
      <c r="K1237" s="64"/>
      <c r="L1237" s="43"/>
      <c r="M1237" s="17"/>
      <c r="N1237" s="17"/>
      <c r="O1237" s="43"/>
      <c r="S1237" s="89"/>
    </row>
    <row r="1238" spans="1:19" ht="15.75" customHeight="1" x14ac:dyDescent="0.3">
      <c r="A1238" s="88"/>
      <c r="D1238" s="17"/>
      <c r="E1238" s="17"/>
      <c r="F1238" s="17"/>
      <c r="G1238" s="17"/>
      <c r="H1238" s="64"/>
      <c r="I1238" s="64"/>
      <c r="J1238" s="64"/>
      <c r="K1238" s="64"/>
      <c r="L1238" s="43"/>
      <c r="M1238" s="17"/>
      <c r="N1238" s="17"/>
      <c r="O1238" s="43"/>
      <c r="S1238" s="89"/>
    </row>
    <row r="1239" spans="1:19" ht="15.75" customHeight="1" x14ac:dyDescent="0.3">
      <c r="A1239" s="88"/>
      <c r="D1239" s="17"/>
      <c r="E1239" s="17"/>
      <c r="F1239" s="17"/>
      <c r="G1239" s="17"/>
      <c r="H1239" s="64"/>
      <c r="I1239" s="64"/>
      <c r="J1239" s="64"/>
      <c r="K1239" s="64"/>
      <c r="L1239" s="43"/>
      <c r="M1239" s="17"/>
      <c r="N1239" s="17"/>
      <c r="O1239" s="43"/>
      <c r="S1239" s="89"/>
    </row>
    <row r="1240" spans="1:19" ht="15.75" customHeight="1" x14ac:dyDescent="0.3">
      <c r="A1240" s="88"/>
      <c r="D1240" s="17"/>
      <c r="E1240" s="17"/>
      <c r="F1240" s="17"/>
      <c r="G1240" s="17"/>
      <c r="H1240" s="64"/>
      <c r="I1240" s="64"/>
      <c r="J1240" s="64"/>
      <c r="K1240" s="64"/>
      <c r="L1240" s="43"/>
      <c r="M1240" s="17"/>
      <c r="N1240" s="17"/>
      <c r="O1240" s="43"/>
      <c r="S1240" s="89"/>
    </row>
    <row r="1241" spans="1:19" ht="15.75" customHeight="1" x14ac:dyDescent="0.3">
      <c r="A1241" s="88"/>
      <c r="D1241" s="17"/>
      <c r="E1241" s="17"/>
      <c r="F1241" s="17"/>
      <c r="G1241" s="17"/>
      <c r="H1241" s="64"/>
      <c r="I1241" s="64"/>
      <c r="J1241" s="64"/>
      <c r="K1241" s="64"/>
      <c r="L1241" s="43"/>
      <c r="M1241" s="17"/>
      <c r="N1241" s="17"/>
      <c r="O1241" s="43"/>
      <c r="S1241" s="89"/>
    </row>
    <row r="1242" spans="1:19" ht="15.75" customHeight="1" x14ac:dyDescent="0.3">
      <c r="A1242" s="88"/>
      <c r="D1242" s="17"/>
      <c r="E1242" s="17"/>
      <c r="F1242" s="17"/>
      <c r="G1242" s="17"/>
      <c r="H1242" s="64"/>
      <c r="I1242" s="64"/>
      <c r="J1242" s="64"/>
      <c r="K1242" s="64"/>
      <c r="L1242" s="43"/>
      <c r="M1242" s="17"/>
      <c r="N1242" s="17"/>
      <c r="O1242" s="43"/>
      <c r="S1242" s="89"/>
    </row>
    <row r="1243" spans="1:19" ht="15.75" customHeight="1" x14ac:dyDescent="0.3">
      <c r="A1243" s="88"/>
      <c r="D1243" s="17"/>
      <c r="E1243" s="17"/>
      <c r="F1243" s="17"/>
      <c r="G1243" s="17"/>
      <c r="H1243" s="64"/>
      <c r="I1243" s="64"/>
      <c r="J1243" s="64"/>
      <c r="K1243" s="64"/>
      <c r="L1243" s="43"/>
      <c r="M1243" s="17"/>
      <c r="N1243" s="17"/>
      <c r="O1243" s="43"/>
      <c r="S1243" s="89"/>
    </row>
    <row r="1244" spans="1:19" ht="15.75" customHeight="1" x14ac:dyDescent="0.3">
      <c r="A1244" s="88"/>
      <c r="D1244" s="17"/>
      <c r="E1244" s="17"/>
      <c r="F1244" s="17"/>
      <c r="G1244" s="17"/>
      <c r="H1244" s="64"/>
      <c r="I1244" s="64"/>
      <c r="J1244" s="64"/>
      <c r="K1244" s="64"/>
      <c r="L1244" s="43"/>
      <c r="M1244" s="17"/>
      <c r="N1244" s="17"/>
      <c r="O1244" s="43"/>
      <c r="S1244" s="89"/>
    </row>
    <row r="1245" spans="1:19" ht="15.75" customHeight="1" x14ac:dyDescent="0.3">
      <c r="A1245" s="88"/>
      <c r="D1245" s="17"/>
      <c r="E1245" s="17"/>
      <c r="F1245" s="17"/>
      <c r="G1245" s="17"/>
      <c r="H1245" s="64"/>
      <c r="I1245" s="64"/>
      <c r="J1245" s="64"/>
      <c r="K1245" s="64"/>
      <c r="L1245" s="43"/>
      <c r="M1245" s="17"/>
      <c r="N1245" s="17"/>
      <c r="O1245" s="43"/>
      <c r="S1245" s="89"/>
    </row>
    <row r="1246" spans="1:19" ht="15.75" customHeight="1" x14ac:dyDescent="0.3">
      <c r="A1246" s="88"/>
      <c r="D1246" s="17"/>
      <c r="E1246" s="17"/>
      <c r="F1246" s="17"/>
      <c r="G1246" s="17"/>
      <c r="H1246" s="64"/>
      <c r="I1246" s="64"/>
      <c r="J1246" s="64"/>
      <c r="K1246" s="64"/>
      <c r="L1246" s="43"/>
      <c r="M1246" s="17"/>
      <c r="N1246" s="17"/>
      <c r="O1246" s="43"/>
      <c r="S1246" s="89"/>
    </row>
    <row r="1247" spans="1:19" ht="15.75" customHeight="1" x14ac:dyDescent="0.3">
      <c r="A1247" s="88"/>
      <c r="D1247" s="17"/>
      <c r="E1247" s="17"/>
      <c r="F1247" s="17"/>
      <c r="G1247" s="17"/>
      <c r="H1247" s="64"/>
      <c r="I1247" s="64"/>
      <c r="J1247" s="64"/>
      <c r="K1247" s="64"/>
      <c r="L1247" s="43"/>
      <c r="M1247" s="17"/>
      <c r="N1247" s="17"/>
      <c r="O1247" s="43"/>
      <c r="S1247" s="89"/>
    </row>
    <row r="1248" spans="1:19" ht="15.75" customHeight="1" x14ac:dyDescent="0.3">
      <c r="A1248" s="88"/>
      <c r="D1248" s="17"/>
      <c r="E1248" s="17"/>
      <c r="F1248" s="17"/>
      <c r="G1248" s="17"/>
      <c r="H1248" s="64"/>
      <c r="I1248" s="64"/>
      <c r="J1248" s="64"/>
      <c r="K1248" s="64"/>
      <c r="L1248" s="43"/>
      <c r="M1248" s="17"/>
      <c r="N1248" s="17"/>
      <c r="O1248" s="43"/>
      <c r="S1248" s="89"/>
    </row>
    <row r="1249" spans="1:19" ht="15.75" customHeight="1" x14ac:dyDescent="0.3">
      <c r="A1249" s="88"/>
      <c r="D1249" s="17"/>
      <c r="E1249" s="17"/>
      <c r="F1249" s="17"/>
      <c r="G1249" s="17"/>
      <c r="H1249" s="64"/>
      <c r="I1249" s="64"/>
      <c r="J1249" s="64"/>
      <c r="K1249" s="64"/>
      <c r="L1249" s="43"/>
      <c r="M1249" s="17"/>
      <c r="N1249" s="17"/>
      <c r="O1249" s="43"/>
      <c r="S1249" s="89"/>
    </row>
    <row r="1250" spans="1:19" ht="15.75" customHeight="1" x14ac:dyDescent="0.3">
      <c r="A1250" s="88"/>
      <c r="D1250" s="17"/>
      <c r="E1250" s="17"/>
      <c r="F1250" s="17"/>
      <c r="G1250" s="17"/>
      <c r="H1250" s="64"/>
      <c r="I1250" s="64"/>
      <c r="J1250" s="64"/>
      <c r="K1250" s="64"/>
      <c r="L1250" s="43"/>
      <c r="M1250" s="17"/>
      <c r="N1250" s="17"/>
      <c r="O1250" s="43"/>
      <c r="S1250" s="89"/>
    </row>
    <row r="1251" spans="1:19" ht="15.75" customHeight="1" x14ac:dyDescent="0.3">
      <c r="A1251" s="88"/>
      <c r="D1251" s="17"/>
      <c r="E1251" s="17"/>
      <c r="F1251" s="17"/>
      <c r="G1251" s="17"/>
      <c r="H1251" s="64"/>
      <c r="I1251" s="64"/>
      <c r="J1251" s="64"/>
      <c r="K1251" s="64"/>
      <c r="L1251" s="43"/>
      <c r="M1251" s="17"/>
      <c r="N1251" s="17"/>
      <c r="O1251" s="43"/>
      <c r="S1251" s="89"/>
    </row>
    <row r="1252" spans="1:19" ht="15.75" customHeight="1" x14ac:dyDescent="0.3">
      <c r="A1252" s="88"/>
      <c r="D1252" s="17"/>
      <c r="E1252" s="17"/>
      <c r="F1252" s="17"/>
      <c r="G1252" s="17"/>
      <c r="H1252" s="64"/>
      <c r="I1252" s="64"/>
      <c r="J1252" s="64"/>
      <c r="K1252" s="64"/>
      <c r="L1252" s="43"/>
      <c r="M1252" s="17"/>
      <c r="N1252" s="17"/>
      <c r="O1252" s="43"/>
      <c r="S1252" s="89"/>
    </row>
    <row r="1253" spans="1:19" ht="15.75" customHeight="1" x14ac:dyDescent="0.3">
      <c r="A1253" s="88"/>
      <c r="D1253" s="17"/>
      <c r="E1253" s="17"/>
      <c r="F1253" s="17"/>
      <c r="G1253" s="17"/>
      <c r="H1253" s="64"/>
      <c r="I1253" s="64"/>
      <c r="J1253" s="64"/>
      <c r="K1253" s="64"/>
      <c r="L1253" s="43"/>
      <c r="M1253" s="17"/>
      <c r="N1253" s="17"/>
      <c r="O1253" s="43"/>
      <c r="S1253" s="89"/>
    </row>
    <row r="1254" spans="1:19" ht="15.75" customHeight="1" x14ac:dyDescent="0.3">
      <c r="A1254" s="88"/>
      <c r="D1254" s="17"/>
      <c r="E1254" s="17"/>
      <c r="F1254" s="17"/>
      <c r="G1254" s="17"/>
      <c r="H1254" s="64"/>
      <c r="I1254" s="64"/>
      <c r="J1254" s="64"/>
      <c r="K1254" s="64"/>
      <c r="L1254" s="43"/>
      <c r="M1254" s="17"/>
      <c r="N1254" s="17"/>
      <c r="O1254" s="43"/>
      <c r="S1254" s="89"/>
    </row>
    <row r="1255" spans="1:19" ht="15.75" customHeight="1" x14ac:dyDescent="0.3">
      <c r="A1255" s="88"/>
      <c r="D1255" s="17"/>
      <c r="E1255" s="17"/>
      <c r="F1255" s="17"/>
      <c r="G1255" s="17"/>
      <c r="H1255" s="64"/>
      <c r="I1255" s="64"/>
      <c r="J1255" s="64"/>
      <c r="K1255" s="64"/>
      <c r="L1255" s="43"/>
      <c r="M1255" s="17"/>
      <c r="N1255" s="17"/>
      <c r="O1255" s="43"/>
      <c r="S1255" s="89"/>
    </row>
    <row r="1256" spans="1:19" ht="15.75" customHeight="1" x14ac:dyDescent="0.3">
      <c r="A1256" s="88"/>
      <c r="D1256" s="17"/>
      <c r="E1256" s="17"/>
      <c r="F1256" s="17"/>
      <c r="G1256" s="17"/>
      <c r="H1256" s="64"/>
      <c r="I1256" s="64"/>
      <c r="J1256" s="64"/>
      <c r="K1256" s="64"/>
      <c r="L1256" s="43"/>
      <c r="M1256" s="17"/>
      <c r="N1256" s="17"/>
      <c r="O1256" s="43"/>
      <c r="S1256" s="89"/>
    </row>
    <row r="1257" spans="1:19" ht="15.75" customHeight="1" x14ac:dyDescent="0.3">
      <c r="A1257" s="88"/>
      <c r="D1257" s="17"/>
      <c r="E1257" s="17"/>
      <c r="F1257" s="17"/>
      <c r="G1257" s="17"/>
      <c r="H1257" s="64"/>
      <c r="I1257" s="64"/>
      <c r="J1257" s="64"/>
      <c r="K1257" s="64"/>
      <c r="L1257" s="43"/>
      <c r="M1257" s="17"/>
      <c r="N1257" s="17"/>
      <c r="O1257" s="43"/>
      <c r="S1257" s="89"/>
    </row>
    <row r="1258" spans="1:19" ht="15.75" customHeight="1" x14ac:dyDescent="0.3">
      <c r="A1258" s="88"/>
      <c r="D1258" s="17"/>
      <c r="E1258" s="17"/>
      <c r="F1258" s="17"/>
      <c r="G1258" s="17"/>
      <c r="H1258" s="64"/>
      <c r="I1258" s="64"/>
      <c r="J1258" s="64"/>
      <c r="K1258" s="64"/>
      <c r="L1258" s="43"/>
      <c r="M1258" s="17"/>
      <c r="N1258" s="17"/>
      <c r="O1258" s="43"/>
      <c r="S1258" s="89"/>
    </row>
    <row r="1259" spans="1:19" ht="15.75" customHeight="1" x14ac:dyDescent="0.3">
      <c r="A1259" s="88"/>
      <c r="D1259" s="17"/>
      <c r="E1259" s="17"/>
      <c r="F1259" s="17"/>
      <c r="G1259" s="17"/>
      <c r="H1259" s="64"/>
      <c r="I1259" s="64"/>
      <c r="J1259" s="64"/>
      <c r="K1259" s="64"/>
      <c r="L1259" s="43"/>
      <c r="M1259" s="17"/>
      <c r="N1259" s="17"/>
      <c r="O1259" s="43"/>
      <c r="S1259" s="89"/>
    </row>
    <row r="1260" spans="1:19" ht="15.75" customHeight="1" x14ac:dyDescent="0.3">
      <c r="A1260" s="88"/>
      <c r="D1260" s="17"/>
      <c r="E1260" s="17"/>
      <c r="F1260" s="17"/>
      <c r="G1260" s="17"/>
      <c r="H1260" s="64"/>
      <c r="I1260" s="64"/>
      <c r="J1260" s="64"/>
      <c r="K1260" s="64"/>
      <c r="L1260" s="43"/>
      <c r="M1260" s="17"/>
      <c r="N1260" s="17"/>
      <c r="O1260" s="43"/>
      <c r="S1260" s="89"/>
    </row>
    <row r="1261" spans="1:19" ht="15.75" customHeight="1" x14ac:dyDescent="0.3">
      <c r="A1261" s="88"/>
      <c r="D1261" s="17"/>
      <c r="E1261" s="17"/>
      <c r="F1261" s="17"/>
      <c r="G1261" s="17"/>
      <c r="H1261" s="64"/>
      <c r="I1261" s="64"/>
      <c r="J1261" s="64"/>
      <c r="K1261" s="64"/>
      <c r="L1261" s="43"/>
      <c r="M1261" s="17"/>
      <c r="N1261" s="17"/>
      <c r="O1261" s="43"/>
      <c r="S1261" s="89"/>
    </row>
    <row r="1262" spans="1:19" ht="15.75" customHeight="1" x14ac:dyDescent="0.3">
      <c r="A1262" s="88"/>
      <c r="D1262" s="17"/>
      <c r="E1262" s="17"/>
      <c r="F1262" s="17"/>
      <c r="G1262" s="17"/>
      <c r="H1262" s="64"/>
      <c r="I1262" s="64"/>
      <c r="J1262" s="64"/>
      <c r="K1262" s="64"/>
      <c r="L1262" s="43"/>
      <c r="M1262" s="17"/>
      <c r="N1262" s="17"/>
      <c r="O1262" s="43"/>
      <c r="S1262" s="89"/>
    </row>
    <row r="1263" spans="1:19" ht="15.75" customHeight="1" x14ac:dyDescent="0.3">
      <c r="A1263" s="88"/>
      <c r="D1263" s="17"/>
      <c r="E1263" s="17"/>
      <c r="F1263" s="17"/>
      <c r="G1263" s="17"/>
      <c r="H1263" s="64"/>
      <c r="I1263" s="64"/>
      <c r="J1263" s="64"/>
      <c r="K1263" s="64"/>
      <c r="L1263" s="43"/>
      <c r="M1263" s="17"/>
      <c r="N1263" s="17"/>
      <c r="O1263" s="43"/>
      <c r="S1263" s="89"/>
    </row>
    <row r="1264" spans="1:19" ht="15.75" customHeight="1" x14ac:dyDescent="0.3">
      <c r="A1264" s="88"/>
      <c r="D1264" s="17"/>
      <c r="E1264" s="17"/>
      <c r="F1264" s="17"/>
      <c r="G1264" s="17"/>
      <c r="H1264" s="64"/>
      <c r="I1264" s="64"/>
      <c r="J1264" s="64"/>
      <c r="K1264" s="64"/>
      <c r="L1264" s="43"/>
      <c r="M1264" s="17"/>
      <c r="N1264" s="17"/>
      <c r="O1264" s="43"/>
      <c r="S1264" s="89"/>
    </row>
    <row r="1265" spans="1:19" ht="15.75" customHeight="1" x14ac:dyDescent="0.3">
      <c r="A1265" s="88"/>
      <c r="D1265" s="17"/>
      <c r="E1265" s="17"/>
      <c r="F1265" s="17"/>
      <c r="G1265" s="17"/>
      <c r="H1265" s="64"/>
      <c r="I1265" s="64"/>
      <c r="J1265" s="64"/>
      <c r="K1265" s="64"/>
      <c r="L1265" s="43"/>
      <c r="M1265" s="17"/>
      <c r="N1265" s="17"/>
      <c r="O1265" s="43"/>
      <c r="S1265" s="89"/>
    </row>
    <row r="1266" spans="1:19" ht="15.75" customHeight="1" x14ac:dyDescent="0.3">
      <c r="A1266" s="88"/>
      <c r="D1266" s="17"/>
      <c r="E1266" s="17"/>
      <c r="F1266" s="17"/>
      <c r="G1266" s="17"/>
      <c r="H1266" s="64"/>
      <c r="I1266" s="64"/>
      <c r="J1266" s="64"/>
      <c r="K1266" s="64"/>
      <c r="L1266" s="43"/>
      <c r="M1266" s="17"/>
      <c r="N1266" s="17"/>
      <c r="O1266" s="43"/>
      <c r="S1266" s="89"/>
    </row>
    <row r="1267" spans="1:19" ht="15.75" customHeight="1" x14ac:dyDescent="0.3">
      <c r="A1267" s="88"/>
      <c r="D1267" s="17"/>
      <c r="E1267" s="17"/>
      <c r="F1267" s="17"/>
      <c r="G1267" s="17"/>
      <c r="H1267" s="64"/>
      <c r="I1267" s="64"/>
      <c r="J1267" s="64"/>
      <c r="K1267" s="64"/>
      <c r="L1267" s="43"/>
      <c r="M1267" s="17"/>
      <c r="N1267" s="17"/>
      <c r="O1267" s="43"/>
      <c r="S1267" s="89"/>
    </row>
    <row r="1268" spans="1:19" ht="15.75" customHeight="1" x14ac:dyDescent="0.3">
      <c r="A1268" s="88"/>
      <c r="D1268" s="17"/>
      <c r="E1268" s="17"/>
      <c r="F1268" s="17"/>
      <c r="G1268" s="17"/>
      <c r="H1268" s="64"/>
      <c r="I1268" s="64"/>
      <c r="J1268" s="64"/>
      <c r="K1268" s="64"/>
      <c r="L1268" s="43"/>
      <c r="M1268" s="17"/>
      <c r="N1268" s="17"/>
      <c r="O1268" s="43"/>
      <c r="S1268" s="89"/>
    </row>
    <row r="1269" spans="1:19" ht="15.75" customHeight="1" x14ac:dyDescent="0.3">
      <c r="A1269" s="88"/>
      <c r="D1269" s="17"/>
      <c r="E1269" s="17"/>
      <c r="F1269" s="17"/>
      <c r="G1269" s="17"/>
      <c r="H1269" s="64"/>
      <c r="I1269" s="64"/>
      <c r="J1269" s="64"/>
      <c r="K1269" s="64"/>
      <c r="L1269" s="43"/>
      <c r="M1269" s="17"/>
      <c r="N1269" s="17"/>
      <c r="O1269" s="43"/>
      <c r="S1269" s="89"/>
    </row>
    <row r="1270" spans="1:19" ht="15.75" customHeight="1" x14ac:dyDescent="0.3">
      <c r="A1270" s="88"/>
      <c r="D1270" s="17"/>
      <c r="E1270" s="17"/>
      <c r="F1270" s="17"/>
      <c r="G1270" s="17"/>
      <c r="H1270" s="64"/>
      <c r="I1270" s="64"/>
      <c r="J1270" s="64"/>
      <c r="K1270" s="64"/>
      <c r="L1270" s="43"/>
      <c r="M1270" s="17"/>
      <c r="N1270" s="17"/>
      <c r="O1270" s="43"/>
      <c r="S1270" s="89"/>
    </row>
    <row r="1271" spans="1:19" ht="15.75" customHeight="1" x14ac:dyDescent="0.3">
      <c r="A1271" s="88"/>
      <c r="D1271" s="17"/>
      <c r="E1271" s="17"/>
      <c r="F1271" s="17"/>
      <c r="G1271" s="17"/>
      <c r="H1271" s="64"/>
      <c r="I1271" s="64"/>
      <c r="J1271" s="64"/>
      <c r="K1271" s="64"/>
      <c r="L1271" s="43"/>
      <c r="M1271" s="17"/>
      <c r="N1271" s="17"/>
      <c r="O1271" s="43"/>
      <c r="S1271" s="89"/>
    </row>
    <row r="1272" spans="1:19" ht="15.75" customHeight="1" x14ac:dyDescent="0.3">
      <c r="A1272" s="88"/>
      <c r="D1272" s="17"/>
      <c r="E1272" s="17"/>
      <c r="F1272" s="17"/>
      <c r="G1272" s="17"/>
      <c r="H1272" s="64"/>
      <c r="I1272" s="64"/>
      <c r="J1272" s="64"/>
      <c r="K1272" s="64"/>
      <c r="L1272" s="43"/>
      <c r="M1272" s="17"/>
      <c r="N1272" s="17"/>
      <c r="O1272" s="43"/>
      <c r="S1272" s="89"/>
    </row>
    <row r="1273" spans="1:19" ht="15.75" customHeight="1" x14ac:dyDescent="0.3">
      <c r="A1273" s="88"/>
      <c r="D1273" s="17"/>
      <c r="E1273" s="17"/>
      <c r="F1273" s="17"/>
      <c r="G1273" s="17"/>
      <c r="H1273" s="64"/>
      <c r="I1273" s="64"/>
      <c r="J1273" s="64"/>
      <c r="K1273" s="64"/>
      <c r="L1273" s="43"/>
      <c r="M1273" s="17"/>
      <c r="N1273" s="17"/>
      <c r="O1273" s="43"/>
      <c r="S1273" s="89"/>
    </row>
    <row r="1274" spans="1:19" ht="15.75" customHeight="1" x14ac:dyDescent="0.3">
      <c r="A1274" s="88"/>
      <c r="D1274" s="17"/>
      <c r="E1274" s="17"/>
      <c r="F1274" s="17"/>
      <c r="G1274" s="17"/>
      <c r="H1274" s="64"/>
      <c r="I1274" s="64"/>
      <c r="J1274" s="64"/>
      <c r="K1274" s="64"/>
      <c r="L1274" s="43"/>
      <c r="M1274" s="17"/>
      <c r="N1274" s="17"/>
      <c r="O1274" s="43"/>
      <c r="S1274" s="89"/>
    </row>
    <row r="1275" spans="1:19" ht="15.75" customHeight="1" x14ac:dyDescent="0.3">
      <c r="A1275" s="88"/>
      <c r="D1275" s="17"/>
      <c r="E1275" s="17"/>
      <c r="F1275" s="17"/>
      <c r="G1275" s="17"/>
      <c r="H1275" s="64"/>
      <c r="I1275" s="64"/>
      <c r="J1275" s="64"/>
      <c r="K1275" s="64"/>
      <c r="L1275" s="43"/>
      <c r="M1275" s="17"/>
      <c r="N1275" s="17"/>
      <c r="O1275" s="43"/>
      <c r="S1275" s="89"/>
    </row>
    <row r="1276" spans="1:19" ht="15.75" customHeight="1" x14ac:dyDescent="0.3">
      <c r="A1276" s="88"/>
      <c r="D1276" s="17"/>
      <c r="E1276" s="17"/>
      <c r="F1276" s="17"/>
      <c r="G1276" s="17"/>
      <c r="H1276" s="64"/>
      <c r="I1276" s="64"/>
      <c r="J1276" s="64"/>
      <c r="K1276" s="64"/>
      <c r="L1276" s="43"/>
      <c r="M1276" s="17"/>
      <c r="N1276" s="17"/>
      <c r="O1276" s="43"/>
      <c r="S1276" s="89"/>
    </row>
    <row r="1277" spans="1:19" ht="15.75" customHeight="1" x14ac:dyDescent="0.3">
      <c r="A1277" s="88"/>
      <c r="D1277" s="17"/>
      <c r="E1277" s="17"/>
      <c r="F1277" s="17"/>
      <c r="G1277" s="17"/>
      <c r="H1277" s="64"/>
      <c r="I1277" s="64"/>
      <c r="J1277" s="64"/>
      <c r="K1277" s="64"/>
      <c r="L1277" s="43"/>
      <c r="M1277" s="17"/>
      <c r="N1277" s="17"/>
      <c r="O1277" s="43"/>
      <c r="S1277" s="89"/>
    </row>
    <row r="1278" spans="1:19" ht="15.75" customHeight="1" x14ac:dyDescent="0.3">
      <c r="A1278" s="88"/>
      <c r="D1278" s="17"/>
      <c r="E1278" s="17"/>
      <c r="F1278" s="17"/>
      <c r="G1278" s="17"/>
      <c r="H1278" s="64"/>
      <c r="I1278" s="64"/>
      <c r="J1278" s="64"/>
      <c r="K1278" s="64"/>
      <c r="L1278" s="43"/>
      <c r="M1278" s="17"/>
      <c r="N1278" s="17"/>
      <c r="O1278" s="43"/>
      <c r="S1278" s="89"/>
    </row>
    <row r="1279" spans="1:19" ht="15.75" customHeight="1" x14ac:dyDescent="0.3">
      <c r="A1279" s="88"/>
      <c r="D1279" s="17"/>
      <c r="E1279" s="17"/>
      <c r="F1279" s="17"/>
      <c r="G1279" s="17"/>
      <c r="H1279" s="64"/>
      <c r="I1279" s="64"/>
      <c r="J1279" s="64"/>
      <c r="K1279" s="64"/>
      <c r="L1279" s="43"/>
      <c r="M1279" s="17"/>
      <c r="N1279" s="17"/>
      <c r="O1279" s="43"/>
      <c r="S1279" s="89"/>
    </row>
    <row r="1280" spans="1:19" ht="15.75" customHeight="1" x14ac:dyDescent="0.3">
      <c r="A1280" s="88"/>
      <c r="D1280" s="17"/>
      <c r="E1280" s="17"/>
      <c r="F1280" s="17"/>
      <c r="G1280" s="17"/>
      <c r="H1280" s="64"/>
      <c r="I1280" s="64"/>
      <c r="J1280" s="64"/>
      <c r="K1280" s="64"/>
      <c r="L1280" s="43"/>
      <c r="M1280" s="17"/>
      <c r="N1280" s="17"/>
      <c r="O1280" s="43"/>
      <c r="S1280" s="89"/>
    </row>
    <row r="1281" spans="1:19" ht="15.75" customHeight="1" x14ac:dyDescent="0.3">
      <c r="A1281" s="88"/>
      <c r="D1281" s="17"/>
      <c r="E1281" s="17"/>
      <c r="F1281" s="17"/>
      <c r="G1281" s="17"/>
      <c r="H1281" s="64"/>
      <c r="I1281" s="64"/>
      <c r="J1281" s="64"/>
      <c r="K1281" s="64"/>
      <c r="L1281" s="43"/>
      <c r="M1281" s="17"/>
      <c r="N1281" s="17"/>
      <c r="O1281" s="43"/>
      <c r="S1281" s="89"/>
    </row>
    <row r="1282" spans="1:19" ht="15.75" customHeight="1" x14ac:dyDescent="0.3">
      <c r="A1282" s="88"/>
      <c r="D1282" s="17"/>
      <c r="E1282" s="17"/>
      <c r="F1282" s="17"/>
      <c r="G1282" s="17"/>
      <c r="H1282" s="64"/>
      <c r="I1282" s="64"/>
      <c r="J1282" s="64"/>
      <c r="K1282" s="64"/>
      <c r="L1282" s="43"/>
      <c r="M1282" s="17"/>
      <c r="N1282" s="17"/>
      <c r="O1282" s="43"/>
      <c r="S1282" s="89"/>
    </row>
    <row r="1283" spans="1:19" ht="15.75" customHeight="1" x14ac:dyDescent="0.3">
      <c r="A1283" s="88"/>
      <c r="D1283" s="17"/>
      <c r="E1283" s="17"/>
      <c r="F1283" s="17"/>
      <c r="G1283" s="17"/>
      <c r="H1283" s="64"/>
      <c r="I1283" s="64"/>
      <c r="J1283" s="64"/>
      <c r="K1283" s="64"/>
      <c r="L1283" s="43"/>
      <c r="M1283" s="17"/>
      <c r="N1283" s="17"/>
      <c r="O1283" s="43"/>
      <c r="S1283" s="89"/>
    </row>
    <row r="1284" spans="1:19" ht="15.75" customHeight="1" x14ac:dyDescent="0.3">
      <c r="A1284" s="88"/>
      <c r="D1284" s="17"/>
      <c r="E1284" s="17"/>
      <c r="F1284" s="17"/>
      <c r="G1284" s="17"/>
      <c r="H1284" s="64"/>
      <c r="I1284" s="64"/>
      <c r="J1284" s="64"/>
      <c r="K1284" s="64"/>
      <c r="L1284" s="43"/>
      <c r="M1284" s="17"/>
      <c r="N1284" s="17"/>
      <c r="O1284" s="43"/>
      <c r="S1284" s="89"/>
    </row>
    <row r="1285" spans="1:19" ht="15.75" customHeight="1" x14ac:dyDescent="0.3">
      <c r="A1285" s="88"/>
      <c r="D1285" s="17"/>
      <c r="E1285" s="17"/>
      <c r="F1285" s="17"/>
      <c r="G1285" s="17"/>
      <c r="H1285" s="64"/>
      <c r="I1285" s="64"/>
      <c r="J1285" s="64"/>
      <c r="K1285" s="64"/>
      <c r="L1285" s="43"/>
      <c r="M1285" s="17"/>
      <c r="N1285" s="17"/>
      <c r="O1285" s="43"/>
      <c r="S1285" s="89"/>
    </row>
    <row r="1286" spans="1:19" ht="15.75" customHeight="1" x14ac:dyDescent="0.3">
      <c r="A1286" s="88"/>
      <c r="D1286" s="17"/>
      <c r="E1286" s="17"/>
      <c r="F1286" s="17"/>
      <c r="G1286" s="17"/>
      <c r="H1286" s="64"/>
      <c r="I1286" s="64"/>
      <c r="J1286" s="64"/>
      <c r="K1286" s="64"/>
      <c r="L1286" s="43"/>
      <c r="M1286" s="17"/>
      <c r="N1286" s="17"/>
      <c r="O1286" s="43"/>
      <c r="S1286" s="89"/>
    </row>
    <row r="1287" spans="1:19" ht="15.75" customHeight="1" x14ac:dyDescent="0.3">
      <c r="A1287" s="88"/>
      <c r="D1287" s="17"/>
      <c r="E1287" s="17"/>
      <c r="F1287" s="17"/>
      <c r="G1287" s="17"/>
      <c r="H1287" s="64"/>
      <c r="I1287" s="64"/>
      <c r="J1287" s="64"/>
      <c r="K1287" s="64"/>
      <c r="L1287" s="43"/>
      <c r="M1287" s="17"/>
      <c r="N1287" s="17"/>
      <c r="O1287" s="43"/>
      <c r="S1287" s="89"/>
    </row>
    <row r="1288" spans="1:19" ht="15.75" customHeight="1" x14ac:dyDescent="0.3">
      <c r="A1288" s="88"/>
      <c r="D1288" s="17"/>
      <c r="E1288" s="17"/>
      <c r="F1288" s="17"/>
      <c r="G1288" s="17"/>
      <c r="H1288" s="64"/>
      <c r="I1288" s="64"/>
      <c r="J1288" s="64"/>
      <c r="K1288" s="64"/>
      <c r="L1288" s="43"/>
      <c r="M1288" s="17"/>
      <c r="N1288" s="17"/>
      <c r="O1288" s="43"/>
      <c r="S1288" s="89"/>
    </row>
    <row r="1289" spans="1:19" ht="15.75" customHeight="1" x14ac:dyDescent="0.3">
      <c r="A1289" s="88"/>
      <c r="D1289" s="17"/>
      <c r="E1289" s="17"/>
      <c r="F1289" s="17"/>
      <c r="G1289" s="17"/>
      <c r="H1289" s="64"/>
      <c r="I1289" s="64"/>
      <c r="J1289" s="64"/>
      <c r="K1289" s="64"/>
      <c r="L1289" s="43"/>
      <c r="M1289" s="17"/>
      <c r="N1289" s="17"/>
      <c r="O1289" s="43"/>
      <c r="S1289" s="89"/>
    </row>
    <row r="1290" spans="1:19" ht="15.75" customHeight="1" x14ac:dyDescent="0.3">
      <c r="A1290" s="88"/>
      <c r="D1290" s="17"/>
      <c r="E1290" s="17"/>
      <c r="F1290" s="17"/>
      <c r="G1290" s="17"/>
      <c r="H1290" s="64"/>
      <c r="I1290" s="64"/>
      <c r="J1290" s="64"/>
      <c r="K1290" s="64"/>
      <c r="L1290" s="43"/>
      <c r="M1290" s="17"/>
      <c r="N1290" s="17"/>
      <c r="O1290" s="43"/>
      <c r="S1290" s="89"/>
    </row>
    <row r="1291" spans="1:19" ht="15.75" customHeight="1" x14ac:dyDescent="0.3">
      <c r="A1291" s="88"/>
      <c r="D1291" s="17"/>
      <c r="E1291" s="17"/>
      <c r="F1291" s="17"/>
      <c r="G1291" s="17"/>
      <c r="H1291" s="64"/>
      <c r="I1291" s="64"/>
      <c r="J1291" s="64"/>
      <c r="K1291" s="64"/>
      <c r="L1291" s="43"/>
      <c r="M1291" s="17"/>
      <c r="N1291" s="17"/>
      <c r="O1291" s="43"/>
      <c r="S1291" s="89"/>
    </row>
    <row r="1292" spans="1:19" ht="15.75" customHeight="1" x14ac:dyDescent="0.3">
      <c r="A1292" s="88"/>
      <c r="D1292" s="17"/>
      <c r="E1292" s="17"/>
      <c r="F1292" s="17"/>
      <c r="G1292" s="17"/>
      <c r="H1292" s="64"/>
      <c r="I1292" s="64"/>
      <c r="J1292" s="64"/>
      <c r="K1292" s="64"/>
      <c r="L1292" s="43"/>
      <c r="M1292" s="17"/>
      <c r="N1292" s="17"/>
      <c r="O1292" s="43"/>
      <c r="S1292" s="89"/>
    </row>
    <row r="1293" spans="1:19" ht="15.75" customHeight="1" x14ac:dyDescent="0.3">
      <c r="A1293" s="88"/>
      <c r="D1293" s="17"/>
      <c r="E1293" s="17"/>
      <c r="F1293" s="17"/>
      <c r="G1293" s="17"/>
      <c r="H1293" s="64"/>
      <c r="I1293" s="64"/>
      <c r="J1293" s="64"/>
      <c r="K1293" s="64"/>
      <c r="L1293" s="43"/>
      <c r="M1293" s="17"/>
      <c r="N1293" s="17"/>
      <c r="O1293" s="43"/>
      <c r="S1293" s="89"/>
    </row>
    <row r="1294" spans="1:19" ht="15.75" customHeight="1" x14ac:dyDescent="0.3">
      <c r="A1294" s="88"/>
      <c r="D1294" s="17"/>
      <c r="E1294" s="17"/>
      <c r="F1294" s="17"/>
      <c r="G1294" s="17"/>
      <c r="H1294" s="64"/>
      <c r="I1294" s="64"/>
      <c r="J1294" s="64"/>
      <c r="K1294" s="64"/>
      <c r="L1294" s="43"/>
      <c r="M1294" s="17"/>
      <c r="N1294" s="17"/>
      <c r="O1294" s="43"/>
      <c r="S1294" s="89"/>
    </row>
    <row r="1295" spans="1:19" ht="15.75" customHeight="1" x14ac:dyDescent="0.3">
      <c r="A1295" s="88"/>
      <c r="D1295" s="17"/>
      <c r="E1295" s="17"/>
      <c r="F1295" s="17"/>
      <c r="G1295" s="17"/>
      <c r="H1295" s="64"/>
      <c r="I1295" s="64"/>
      <c r="J1295" s="64"/>
      <c r="K1295" s="64"/>
      <c r="L1295" s="43"/>
      <c r="M1295" s="17"/>
      <c r="N1295" s="17"/>
      <c r="O1295" s="43"/>
      <c r="S1295" s="89"/>
    </row>
    <row r="1296" spans="1:19" ht="15.75" customHeight="1" x14ac:dyDescent="0.3">
      <c r="A1296" s="88"/>
      <c r="D1296" s="17"/>
      <c r="E1296" s="17"/>
      <c r="F1296" s="17"/>
      <c r="G1296" s="17"/>
      <c r="H1296" s="64"/>
      <c r="I1296" s="64"/>
      <c r="J1296" s="64"/>
      <c r="K1296" s="64"/>
      <c r="L1296" s="43"/>
      <c r="M1296" s="17"/>
      <c r="N1296" s="17"/>
      <c r="O1296" s="43"/>
      <c r="S1296" s="89"/>
    </row>
    <row r="1297" spans="1:19" ht="15.75" customHeight="1" x14ac:dyDescent="0.3">
      <c r="A1297" s="88"/>
      <c r="D1297" s="17"/>
      <c r="E1297" s="17"/>
      <c r="F1297" s="17"/>
      <c r="G1297" s="17"/>
      <c r="H1297" s="64"/>
      <c r="I1297" s="64"/>
      <c r="J1297" s="64"/>
      <c r="K1297" s="64"/>
      <c r="L1297" s="43"/>
      <c r="M1297" s="17"/>
      <c r="N1297" s="17"/>
      <c r="O1297" s="43"/>
      <c r="S1297" s="89"/>
    </row>
    <row r="1298" spans="1:19" ht="15.75" customHeight="1" x14ac:dyDescent="0.3">
      <c r="A1298" s="88"/>
      <c r="D1298" s="17"/>
      <c r="E1298" s="17"/>
      <c r="F1298" s="17"/>
      <c r="G1298" s="17"/>
      <c r="H1298" s="64"/>
      <c r="I1298" s="64"/>
      <c r="J1298" s="64"/>
      <c r="K1298" s="64"/>
      <c r="L1298" s="43"/>
      <c r="M1298" s="17"/>
      <c r="N1298" s="17"/>
      <c r="O1298" s="43"/>
      <c r="S1298" s="89"/>
    </row>
    <row r="1299" spans="1:19" ht="15.75" customHeight="1" x14ac:dyDescent="0.3">
      <c r="A1299" s="88"/>
      <c r="D1299" s="17"/>
      <c r="E1299" s="17"/>
      <c r="F1299" s="17"/>
      <c r="G1299" s="17"/>
      <c r="H1299" s="64"/>
      <c r="I1299" s="64"/>
      <c r="J1299" s="64"/>
      <c r="K1299" s="64"/>
      <c r="L1299" s="43"/>
      <c r="M1299" s="17"/>
      <c r="N1299" s="17"/>
      <c r="O1299" s="43"/>
      <c r="S1299" s="89"/>
    </row>
    <row r="1300" spans="1:19" ht="15.75" customHeight="1" x14ac:dyDescent="0.3">
      <c r="A1300" s="88"/>
      <c r="D1300" s="17"/>
      <c r="E1300" s="17"/>
      <c r="F1300" s="17"/>
      <c r="G1300" s="17"/>
      <c r="H1300" s="64"/>
      <c r="I1300" s="64"/>
      <c r="J1300" s="64"/>
      <c r="K1300" s="64"/>
      <c r="L1300" s="43"/>
      <c r="M1300" s="17"/>
      <c r="N1300" s="17"/>
      <c r="O1300" s="43"/>
      <c r="S1300" s="89"/>
    </row>
    <row r="1301" spans="1:19" ht="15.75" customHeight="1" x14ac:dyDescent="0.3">
      <c r="A1301" s="88"/>
      <c r="D1301" s="17"/>
      <c r="E1301" s="17"/>
      <c r="F1301" s="17"/>
      <c r="G1301" s="17"/>
      <c r="H1301" s="64"/>
      <c r="I1301" s="64"/>
      <c r="J1301" s="64"/>
      <c r="K1301" s="64"/>
      <c r="L1301" s="43"/>
      <c r="M1301" s="17"/>
      <c r="N1301" s="17"/>
      <c r="O1301" s="43"/>
      <c r="S1301" s="89"/>
    </row>
    <row r="1302" spans="1:19" ht="15.75" customHeight="1" x14ac:dyDescent="0.3">
      <c r="A1302" s="88"/>
      <c r="D1302" s="17"/>
      <c r="E1302" s="17"/>
      <c r="F1302" s="17"/>
      <c r="G1302" s="17"/>
      <c r="H1302" s="64"/>
      <c r="I1302" s="64"/>
      <c r="J1302" s="64"/>
      <c r="K1302" s="64"/>
      <c r="L1302" s="43"/>
      <c r="M1302" s="17"/>
      <c r="N1302" s="17"/>
      <c r="O1302" s="43"/>
      <c r="S1302" s="89"/>
    </row>
    <row r="1303" spans="1:19" ht="15.75" customHeight="1" x14ac:dyDescent="0.3">
      <c r="A1303" s="88"/>
      <c r="D1303" s="17"/>
      <c r="E1303" s="17"/>
      <c r="F1303" s="17"/>
      <c r="G1303" s="17"/>
      <c r="H1303" s="64"/>
      <c r="I1303" s="64"/>
      <c r="J1303" s="64"/>
      <c r="K1303" s="64"/>
      <c r="L1303" s="43"/>
      <c r="M1303" s="17"/>
      <c r="N1303" s="17"/>
      <c r="O1303" s="43"/>
      <c r="S1303" s="89"/>
    </row>
    <row r="1304" spans="1:19" ht="15.75" customHeight="1" x14ac:dyDescent="0.3">
      <c r="A1304" s="88"/>
      <c r="D1304" s="17"/>
      <c r="E1304" s="17"/>
      <c r="F1304" s="17"/>
      <c r="G1304" s="17"/>
      <c r="H1304" s="64"/>
      <c r="I1304" s="64"/>
      <c r="J1304" s="64"/>
      <c r="K1304" s="64"/>
      <c r="L1304" s="43"/>
      <c r="M1304" s="17"/>
      <c r="N1304" s="17"/>
      <c r="O1304" s="43"/>
      <c r="S1304" s="89"/>
    </row>
    <row r="1305" spans="1:19" ht="15.75" customHeight="1" x14ac:dyDescent="0.3">
      <c r="A1305" s="88"/>
      <c r="D1305" s="17"/>
      <c r="E1305" s="17"/>
      <c r="F1305" s="17"/>
      <c r="G1305" s="17"/>
      <c r="H1305" s="64"/>
      <c r="I1305" s="64"/>
      <c r="J1305" s="64"/>
      <c r="K1305" s="64"/>
      <c r="L1305" s="43"/>
      <c r="M1305" s="17"/>
      <c r="N1305" s="17"/>
      <c r="O1305" s="43"/>
      <c r="S1305" s="89"/>
    </row>
    <row r="1306" spans="1:19" ht="15.75" customHeight="1" x14ac:dyDescent="0.3">
      <c r="A1306" s="88"/>
      <c r="D1306" s="17"/>
      <c r="E1306" s="17"/>
      <c r="F1306" s="17"/>
      <c r="G1306" s="17"/>
      <c r="H1306" s="64"/>
      <c r="I1306" s="64"/>
      <c r="J1306" s="64"/>
      <c r="K1306" s="64"/>
      <c r="L1306" s="43"/>
      <c r="M1306" s="17"/>
      <c r="N1306" s="17"/>
      <c r="O1306" s="43"/>
      <c r="S1306" s="89"/>
    </row>
    <row r="1307" spans="1:19" ht="15.75" customHeight="1" x14ac:dyDescent="0.3">
      <c r="A1307" s="88"/>
      <c r="D1307" s="17"/>
      <c r="E1307" s="17"/>
      <c r="F1307" s="17"/>
      <c r="G1307" s="17"/>
      <c r="H1307" s="64"/>
      <c r="I1307" s="64"/>
      <c r="J1307" s="64"/>
      <c r="K1307" s="64"/>
      <c r="L1307" s="43"/>
      <c r="M1307" s="17"/>
      <c r="N1307" s="17"/>
      <c r="O1307" s="43"/>
      <c r="S1307" s="89"/>
    </row>
    <row r="1308" spans="1:19" ht="15.75" customHeight="1" x14ac:dyDescent="0.3">
      <c r="A1308" s="88"/>
      <c r="D1308" s="17"/>
      <c r="E1308" s="17"/>
      <c r="F1308" s="17"/>
      <c r="G1308" s="17"/>
      <c r="H1308" s="64"/>
      <c r="I1308" s="64"/>
      <c r="J1308" s="64"/>
      <c r="K1308" s="64"/>
      <c r="L1308" s="43"/>
      <c r="M1308" s="17"/>
      <c r="N1308" s="17"/>
      <c r="O1308" s="43"/>
      <c r="S1308" s="89"/>
    </row>
    <row r="1309" spans="1:19" ht="15.75" customHeight="1" x14ac:dyDescent="0.3">
      <c r="A1309" s="88"/>
      <c r="D1309" s="17"/>
      <c r="E1309" s="17"/>
      <c r="F1309" s="17"/>
      <c r="G1309" s="17"/>
      <c r="H1309" s="64"/>
      <c r="I1309" s="64"/>
      <c r="J1309" s="64"/>
      <c r="K1309" s="64"/>
      <c r="L1309" s="43"/>
      <c r="M1309" s="17"/>
      <c r="N1309" s="17"/>
      <c r="O1309" s="43"/>
      <c r="S1309" s="89"/>
    </row>
    <row r="1310" spans="1:19" ht="15.75" customHeight="1" x14ac:dyDescent="0.3">
      <c r="A1310" s="88"/>
      <c r="D1310" s="17"/>
      <c r="E1310" s="17"/>
      <c r="F1310" s="17"/>
      <c r="G1310" s="17"/>
      <c r="H1310" s="64"/>
      <c r="I1310" s="64"/>
      <c r="J1310" s="64"/>
      <c r="K1310" s="64"/>
      <c r="L1310" s="43"/>
      <c r="M1310" s="17"/>
      <c r="N1310" s="17"/>
      <c r="O1310" s="43"/>
      <c r="S1310" s="89"/>
    </row>
    <row r="1311" spans="1:19" ht="15.75" customHeight="1" x14ac:dyDescent="0.3">
      <c r="A1311" s="88"/>
      <c r="D1311" s="17"/>
      <c r="E1311" s="17"/>
      <c r="F1311" s="17"/>
      <c r="G1311" s="17"/>
      <c r="H1311" s="64"/>
      <c r="I1311" s="64"/>
      <c r="J1311" s="64"/>
      <c r="K1311" s="64"/>
      <c r="L1311" s="43"/>
      <c r="M1311" s="17"/>
      <c r="N1311" s="17"/>
      <c r="O1311" s="43"/>
      <c r="S1311" s="89"/>
    </row>
    <row r="1312" spans="1:19" ht="15.75" customHeight="1" x14ac:dyDescent="0.3">
      <c r="A1312" s="88"/>
      <c r="D1312" s="17"/>
      <c r="E1312" s="17"/>
      <c r="F1312" s="17"/>
      <c r="G1312" s="17"/>
      <c r="H1312" s="64"/>
      <c r="I1312" s="64"/>
      <c r="J1312" s="64"/>
      <c r="K1312" s="64"/>
      <c r="L1312" s="43"/>
      <c r="M1312" s="17"/>
      <c r="N1312" s="17"/>
      <c r="O1312" s="43"/>
      <c r="S1312" s="89"/>
    </row>
    <row r="1313" spans="1:19" ht="15.75" customHeight="1" x14ac:dyDescent="0.3">
      <c r="A1313" s="88"/>
      <c r="D1313" s="17"/>
      <c r="E1313" s="17"/>
      <c r="F1313" s="17"/>
      <c r="G1313" s="17"/>
      <c r="H1313" s="64"/>
      <c r="I1313" s="64"/>
      <c r="J1313" s="64"/>
      <c r="K1313" s="64"/>
      <c r="L1313" s="43"/>
      <c r="M1313" s="17"/>
      <c r="N1313" s="17"/>
      <c r="O1313" s="43"/>
      <c r="S1313" s="89"/>
    </row>
    <row r="1314" spans="1:19" ht="15.75" customHeight="1" x14ac:dyDescent="0.3">
      <c r="A1314" s="88"/>
      <c r="D1314" s="17"/>
      <c r="E1314" s="17"/>
      <c r="F1314" s="17"/>
      <c r="G1314" s="17"/>
      <c r="H1314" s="64"/>
      <c r="I1314" s="64"/>
      <c r="J1314" s="64"/>
      <c r="K1314" s="64"/>
      <c r="L1314" s="43"/>
      <c r="M1314" s="17"/>
      <c r="N1314" s="17"/>
      <c r="O1314" s="43"/>
      <c r="S1314" s="89"/>
    </row>
    <row r="1315" spans="1:19" ht="15.75" customHeight="1" x14ac:dyDescent="0.3">
      <c r="A1315" s="88"/>
      <c r="D1315" s="17"/>
      <c r="E1315" s="17"/>
      <c r="F1315" s="17"/>
      <c r="G1315" s="17"/>
      <c r="H1315" s="64"/>
      <c r="I1315" s="64"/>
      <c r="J1315" s="64"/>
      <c r="K1315" s="64"/>
      <c r="L1315" s="43"/>
      <c r="M1315" s="17"/>
      <c r="N1315" s="17"/>
      <c r="O1315" s="43"/>
      <c r="S1315" s="89"/>
    </row>
    <row r="1316" spans="1:19" ht="15.75" customHeight="1" x14ac:dyDescent="0.3">
      <c r="A1316" s="88"/>
      <c r="D1316" s="17"/>
      <c r="E1316" s="17"/>
      <c r="F1316" s="17"/>
      <c r="G1316" s="17"/>
      <c r="H1316" s="64"/>
      <c r="I1316" s="64"/>
      <c r="J1316" s="64"/>
      <c r="K1316" s="64"/>
      <c r="L1316" s="43"/>
      <c r="M1316" s="17"/>
      <c r="N1316" s="17"/>
      <c r="O1316" s="43"/>
      <c r="S1316" s="89"/>
    </row>
    <row r="1317" spans="1:19" ht="15.75" customHeight="1" x14ac:dyDescent="0.3">
      <c r="A1317" s="88"/>
      <c r="D1317" s="17"/>
      <c r="E1317" s="17"/>
      <c r="F1317" s="17"/>
      <c r="G1317" s="17"/>
      <c r="H1317" s="64"/>
      <c r="I1317" s="64"/>
      <c r="J1317" s="64"/>
      <c r="K1317" s="64"/>
      <c r="L1317" s="43"/>
      <c r="M1317" s="17"/>
      <c r="N1317" s="17"/>
      <c r="O1317" s="43"/>
      <c r="S1317" s="89"/>
    </row>
    <row r="1318" spans="1:19" ht="15.75" customHeight="1" x14ac:dyDescent="0.3">
      <c r="A1318" s="88"/>
      <c r="D1318" s="17"/>
      <c r="E1318" s="17"/>
      <c r="F1318" s="17"/>
      <c r="G1318" s="17"/>
      <c r="H1318" s="64"/>
      <c r="I1318" s="64"/>
      <c r="J1318" s="64"/>
      <c r="K1318" s="64"/>
      <c r="L1318" s="43"/>
      <c r="M1318" s="17"/>
      <c r="N1318" s="17"/>
      <c r="O1318" s="43"/>
      <c r="S1318" s="89"/>
    </row>
    <row r="1319" spans="1:19" ht="15.75" customHeight="1" x14ac:dyDescent="0.3">
      <c r="A1319" s="88"/>
      <c r="D1319" s="17"/>
      <c r="E1319" s="17"/>
      <c r="F1319" s="17"/>
      <c r="G1319" s="17"/>
      <c r="H1319" s="64"/>
      <c r="I1319" s="64"/>
      <c r="J1319" s="64"/>
      <c r="K1319" s="64"/>
      <c r="L1319" s="43"/>
      <c r="M1319" s="17"/>
      <c r="N1319" s="17"/>
      <c r="O1319" s="43"/>
      <c r="S1319" s="89"/>
    </row>
    <row r="1320" spans="1:19" ht="15.75" customHeight="1" x14ac:dyDescent="0.3">
      <c r="A1320" s="88"/>
      <c r="D1320" s="17"/>
      <c r="E1320" s="17"/>
      <c r="F1320" s="17"/>
      <c r="G1320" s="17"/>
      <c r="H1320" s="64"/>
      <c r="I1320" s="64"/>
      <c r="J1320" s="64"/>
      <c r="K1320" s="64"/>
      <c r="L1320" s="43"/>
      <c r="M1320" s="17"/>
      <c r="N1320" s="17"/>
      <c r="O1320" s="43"/>
      <c r="S1320" s="89"/>
    </row>
    <row r="1321" spans="1:19" ht="15.75" customHeight="1" x14ac:dyDescent="0.3">
      <c r="A1321" s="88"/>
      <c r="D1321" s="17"/>
      <c r="E1321" s="17"/>
      <c r="F1321" s="17"/>
      <c r="G1321" s="17"/>
      <c r="H1321" s="64"/>
      <c r="I1321" s="64"/>
      <c r="J1321" s="64"/>
      <c r="K1321" s="64"/>
      <c r="L1321" s="43"/>
      <c r="M1321" s="17"/>
      <c r="N1321" s="17"/>
      <c r="O1321" s="43"/>
      <c r="S1321" s="89"/>
    </row>
    <row r="1322" spans="1:19" ht="15.75" customHeight="1" x14ac:dyDescent="0.3">
      <c r="A1322" s="88"/>
      <c r="D1322" s="17"/>
      <c r="E1322" s="17"/>
      <c r="F1322" s="17"/>
      <c r="G1322" s="17"/>
      <c r="H1322" s="64"/>
      <c r="I1322" s="64"/>
      <c r="J1322" s="64"/>
      <c r="K1322" s="64"/>
      <c r="L1322" s="43"/>
      <c r="M1322" s="17"/>
      <c r="N1322" s="17"/>
      <c r="O1322" s="43"/>
      <c r="S1322" s="89"/>
    </row>
    <row r="1323" spans="1:19" ht="15.75" customHeight="1" x14ac:dyDescent="0.3">
      <c r="A1323" s="88"/>
      <c r="D1323" s="17"/>
      <c r="E1323" s="17"/>
      <c r="F1323" s="17"/>
      <c r="G1323" s="17"/>
      <c r="H1323" s="64"/>
      <c r="I1323" s="64"/>
      <c r="J1323" s="64"/>
      <c r="K1323" s="64"/>
      <c r="L1323" s="43"/>
      <c r="M1323" s="17"/>
      <c r="N1323" s="17"/>
      <c r="O1323" s="43"/>
      <c r="S1323" s="89"/>
    </row>
    <row r="1324" spans="1:19" ht="15.75" customHeight="1" x14ac:dyDescent="0.3">
      <c r="A1324" s="88"/>
      <c r="D1324" s="17"/>
      <c r="E1324" s="17"/>
      <c r="F1324" s="17"/>
      <c r="G1324" s="17"/>
      <c r="H1324" s="64"/>
      <c r="I1324" s="64"/>
      <c r="J1324" s="64"/>
      <c r="K1324" s="64"/>
      <c r="L1324" s="43"/>
      <c r="M1324" s="17"/>
      <c r="N1324" s="17"/>
      <c r="O1324" s="43"/>
      <c r="S1324" s="89"/>
    </row>
    <row r="1325" spans="1:19" ht="15.75" customHeight="1" x14ac:dyDescent="0.3">
      <c r="A1325" s="88"/>
      <c r="D1325" s="17"/>
      <c r="E1325" s="17"/>
      <c r="F1325" s="17"/>
      <c r="G1325" s="17"/>
      <c r="H1325" s="64"/>
      <c r="I1325" s="64"/>
      <c r="J1325" s="64"/>
      <c r="K1325" s="64"/>
      <c r="L1325" s="43"/>
      <c r="M1325" s="17"/>
      <c r="N1325" s="17"/>
      <c r="O1325" s="43"/>
      <c r="S1325" s="89"/>
    </row>
    <row r="1326" spans="1:19" ht="15.75" customHeight="1" x14ac:dyDescent="0.3">
      <c r="A1326" s="88"/>
      <c r="D1326" s="17"/>
      <c r="E1326" s="17"/>
      <c r="F1326" s="17"/>
      <c r="G1326" s="17"/>
      <c r="H1326" s="64"/>
      <c r="I1326" s="64"/>
      <c r="J1326" s="64"/>
      <c r="K1326" s="64"/>
      <c r="L1326" s="43"/>
      <c r="M1326" s="17"/>
      <c r="N1326" s="17"/>
      <c r="O1326" s="43"/>
      <c r="S1326" s="89"/>
    </row>
    <row r="1327" spans="1:19" ht="15.75" customHeight="1" x14ac:dyDescent="0.3">
      <c r="A1327" s="88"/>
      <c r="D1327" s="17"/>
      <c r="E1327" s="17"/>
      <c r="F1327" s="17"/>
      <c r="G1327" s="17"/>
      <c r="H1327" s="64"/>
      <c r="I1327" s="64"/>
      <c r="J1327" s="64"/>
      <c r="K1327" s="64"/>
      <c r="L1327" s="43"/>
      <c r="M1327" s="17"/>
      <c r="N1327" s="17"/>
      <c r="O1327" s="43"/>
      <c r="S1327" s="89"/>
    </row>
    <row r="1328" spans="1:19" ht="15.75" customHeight="1" x14ac:dyDescent="0.3">
      <c r="A1328" s="88"/>
      <c r="D1328" s="17"/>
      <c r="E1328" s="17"/>
      <c r="F1328" s="17"/>
      <c r="G1328" s="17"/>
      <c r="H1328" s="64"/>
      <c r="I1328" s="64"/>
      <c r="J1328" s="64"/>
      <c r="K1328" s="64"/>
      <c r="L1328" s="43"/>
      <c r="M1328" s="17"/>
      <c r="N1328" s="17"/>
      <c r="O1328" s="43"/>
      <c r="S1328" s="89"/>
    </row>
    <row r="1329" spans="1:19" ht="15.75" customHeight="1" x14ac:dyDescent="0.3">
      <c r="A1329" s="88"/>
      <c r="D1329" s="17"/>
      <c r="E1329" s="17"/>
      <c r="F1329" s="17"/>
      <c r="G1329" s="17"/>
      <c r="H1329" s="64"/>
      <c r="I1329" s="64"/>
      <c r="J1329" s="64"/>
      <c r="K1329" s="64"/>
      <c r="L1329" s="43"/>
      <c r="M1329" s="17"/>
      <c r="N1329" s="17"/>
      <c r="O1329" s="43"/>
      <c r="S1329" s="89"/>
    </row>
    <row r="1330" spans="1:19" ht="15.75" customHeight="1" x14ac:dyDescent="0.3">
      <c r="A1330" s="88"/>
      <c r="D1330" s="17"/>
      <c r="E1330" s="17"/>
      <c r="F1330" s="17"/>
      <c r="G1330" s="17"/>
      <c r="H1330" s="64"/>
      <c r="I1330" s="64"/>
      <c r="J1330" s="64"/>
      <c r="K1330" s="64"/>
      <c r="L1330" s="43"/>
      <c r="M1330" s="17"/>
      <c r="N1330" s="17"/>
      <c r="O1330" s="43"/>
      <c r="S1330" s="89"/>
    </row>
    <row r="1331" spans="1:19" ht="15.75" customHeight="1" x14ac:dyDescent="0.3">
      <c r="A1331" s="88"/>
      <c r="D1331" s="17"/>
      <c r="E1331" s="17"/>
      <c r="F1331" s="17"/>
      <c r="G1331" s="17"/>
      <c r="H1331" s="64"/>
      <c r="I1331" s="64"/>
      <c r="J1331" s="64"/>
      <c r="K1331" s="64"/>
      <c r="L1331" s="43"/>
      <c r="M1331" s="17"/>
      <c r="N1331" s="17"/>
      <c r="O1331" s="43"/>
      <c r="S1331" s="89"/>
    </row>
    <row r="1332" spans="1:19" ht="15.75" customHeight="1" x14ac:dyDescent="0.3">
      <c r="A1332" s="88"/>
      <c r="D1332" s="17"/>
      <c r="E1332" s="17"/>
      <c r="F1332" s="17"/>
      <c r="G1332" s="17"/>
      <c r="H1332" s="64"/>
      <c r="I1332" s="64"/>
      <c r="J1332" s="64"/>
      <c r="K1332" s="64"/>
      <c r="L1332" s="43"/>
      <c r="M1332" s="17"/>
      <c r="N1332" s="17"/>
      <c r="O1332" s="43"/>
      <c r="S1332" s="89"/>
    </row>
    <row r="1333" spans="1:19" ht="15.75" customHeight="1" x14ac:dyDescent="0.3">
      <c r="A1333" s="88"/>
      <c r="D1333" s="17"/>
      <c r="E1333" s="17"/>
      <c r="F1333" s="17"/>
      <c r="G1333" s="17"/>
      <c r="H1333" s="64"/>
      <c r="I1333" s="64"/>
      <c r="J1333" s="64"/>
      <c r="K1333" s="64"/>
      <c r="L1333" s="43"/>
      <c r="M1333" s="17"/>
      <c r="N1333" s="17"/>
      <c r="O1333" s="43"/>
      <c r="S1333" s="89"/>
    </row>
    <row r="1334" spans="1:19" ht="15.75" customHeight="1" x14ac:dyDescent="0.3">
      <c r="A1334" s="88"/>
      <c r="D1334" s="17"/>
      <c r="E1334" s="17"/>
      <c r="F1334" s="17"/>
      <c r="G1334" s="17"/>
      <c r="H1334" s="64"/>
      <c r="I1334" s="64"/>
      <c r="J1334" s="64"/>
      <c r="K1334" s="64"/>
      <c r="L1334" s="43"/>
      <c r="M1334" s="17"/>
      <c r="N1334" s="17"/>
      <c r="O1334" s="43"/>
      <c r="S1334" s="89"/>
    </row>
    <row r="1335" spans="1:19" ht="15.75" customHeight="1" x14ac:dyDescent="0.3">
      <c r="A1335" s="88"/>
      <c r="D1335" s="17"/>
      <c r="E1335" s="17"/>
      <c r="F1335" s="17"/>
      <c r="G1335" s="17"/>
      <c r="H1335" s="64"/>
      <c r="I1335" s="64"/>
      <c r="J1335" s="64"/>
      <c r="K1335" s="64"/>
      <c r="L1335" s="43"/>
      <c r="M1335" s="17"/>
      <c r="N1335" s="17"/>
      <c r="O1335" s="43"/>
      <c r="S1335" s="89"/>
    </row>
    <row r="1336" spans="1:19" ht="15.75" customHeight="1" x14ac:dyDescent="0.3">
      <c r="A1336" s="88"/>
      <c r="D1336" s="17"/>
      <c r="E1336" s="17"/>
      <c r="F1336" s="17"/>
      <c r="G1336" s="17"/>
      <c r="H1336" s="64"/>
      <c r="I1336" s="64"/>
      <c r="J1336" s="64"/>
      <c r="K1336" s="64"/>
      <c r="L1336" s="43"/>
      <c r="M1336" s="17"/>
      <c r="N1336" s="17"/>
      <c r="O1336" s="43"/>
      <c r="S1336" s="89"/>
    </row>
    <row r="1337" spans="1:19" ht="15.75" customHeight="1" x14ac:dyDescent="0.3">
      <c r="A1337" s="88"/>
      <c r="D1337" s="17"/>
      <c r="E1337" s="17"/>
      <c r="F1337" s="17"/>
      <c r="G1337" s="17"/>
      <c r="H1337" s="64"/>
      <c r="I1337" s="64"/>
      <c r="J1337" s="64"/>
      <c r="K1337" s="64"/>
      <c r="L1337" s="43"/>
      <c r="M1337" s="17"/>
      <c r="N1337" s="17"/>
      <c r="O1337" s="43"/>
      <c r="S1337" s="89"/>
    </row>
    <row r="1338" spans="1:19" ht="15.75" customHeight="1" x14ac:dyDescent="0.3">
      <c r="A1338" s="88"/>
      <c r="D1338" s="17"/>
      <c r="E1338" s="17"/>
      <c r="F1338" s="17"/>
      <c r="G1338" s="17"/>
      <c r="H1338" s="64"/>
      <c r="I1338" s="64"/>
      <c r="J1338" s="64"/>
      <c r="K1338" s="64"/>
      <c r="L1338" s="43"/>
      <c r="M1338" s="17"/>
      <c r="N1338" s="17"/>
      <c r="O1338" s="43"/>
      <c r="S1338" s="89"/>
    </row>
    <row r="1339" spans="1:19" ht="15.75" customHeight="1" x14ac:dyDescent="0.3">
      <c r="A1339" s="88"/>
      <c r="D1339" s="17"/>
      <c r="E1339" s="17"/>
      <c r="F1339" s="17"/>
      <c r="G1339" s="17"/>
      <c r="H1339" s="64"/>
      <c r="I1339" s="64"/>
      <c r="J1339" s="64"/>
      <c r="K1339" s="64"/>
      <c r="L1339" s="43"/>
      <c r="M1339" s="17"/>
      <c r="N1339" s="17"/>
      <c r="O1339" s="43"/>
      <c r="S1339" s="89"/>
    </row>
    <row r="1340" spans="1:19" ht="15.75" customHeight="1" x14ac:dyDescent="0.3">
      <c r="A1340" s="88"/>
      <c r="D1340" s="17"/>
      <c r="E1340" s="17"/>
      <c r="F1340" s="17"/>
      <c r="G1340" s="17"/>
      <c r="H1340" s="64"/>
      <c r="I1340" s="64"/>
      <c r="J1340" s="64"/>
      <c r="K1340" s="64"/>
      <c r="L1340" s="43"/>
      <c r="M1340" s="17"/>
      <c r="N1340" s="17"/>
      <c r="O1340" s="43"/>
      <c r="S1340" s="89"/>
    </row>
    <row r="1341" spans="1:19" ht="15.75" customHeight="1" x14ac:dyDescent="0.3">
      <c r="A1341" s="88"/>
      <c r="D1341" s="17"/>
      <c r="E1341" s="17"/>
      <c r="F1341" s="17"/>
      <c r="G1341" s="17"/>
      <c r="H1341" s="64"/>
      <c r="I1341" s="64"/>
      <c r="J1341" s="64"/>
      <c r="K1341" s="64"/>
      <c r="L1341" s="43"/>
      <c r="M1341" s="17"/>
      <c r="N1341" s="17"/>
      <c r="O1341" s="43"/>
      <c r="S1341" s="89"/>
    </row>
    <row r="1342" spans="1:19" ht="15.75" customHeight="1" x14ac:dyDescent="0.3">
      <c r="A1342" s="88"/>
      <c r="D1342" s="17"/>
      <c r="E1342" s="17"/>
      <c r="F1342" s="17"/>
      <c r="G1342" s="17"/>
      <c r="H1342" s="64"/>
      <c r="I1342" s="64"/>
      <c r="J1342" s="64"/>
      <c r="K1342" s="64"/>
      <c r="L1342" s="43"/>
      <c r="M1342" s="17"/>
      <c r="N1342" s="17"/>
      <c r="O1342" s="43"/>
      <c r="S1342" s="89"/>
    </row>
    <row r="1343" spans="1:19" ht="15.75" customHeight="1" x14ac:dyDescent="0.3">
      <c r="A1343" s="88"/>
      <c r="D1343" s="17"/>
      <c r="E1343" s="17"/>
      <c r="F1343" s="17"/>
      <c r="G1343" s="17"/>
      <c r="H1343" s="64"/>
      <c r="I1343" s="64"/>
      <c r="J1343" s="64"/>
      <c r="K1343" s="64"/>
      <c r="L1343" s="43"/>
      <c r="M1343" s="17"/>
      <c r="N1343" s="17"/>
      <c r="O1343" s="43"/>
      <c r="S1343" s="89"/>
    </row>
    <row r="1344" spans="1:19" ht="15.75" customHeight="1" x14ac:dyDescent="0.3">
      <c r="A1344" s="88"/>
      <c r="D1344" s="17"/>
      <c r="E1344" s="17"/>
      <c r="F1344" s="17"/>
      <c r="G1344" s="17"/>
      <c r="H1344" s="64"/>
      <c r="I1344" s="64"/>
      <c r="J1344" s="64"/>
      <c r="K1344" s="64"/>
      <c r="L1344" s="43"/>
      <c r="M1344" s="17"/>
      <c r="N1344" s="17"/>
      <c r="O1344" s="43"/>
      <c r="S1344" s="89"/>
    </row>
    <row r="1345" spans="1:19" ht="15.75" customHeight="1" x14ac:dyDescent="0.3">
      <c r="A1345" s="88"/>
      <c r="D1345" s="17"/>
      <c r="E1345" s="17"/>
      <c r="F1345" s="17"/>
      <c r="G1345" s="17"/>
      <c r="H1345" s="64"/>
      <c r="I1345" s="64"/>
      <c r="J1345" s="64"/>
      <c r="K1345" s="64"/>
      <c r="L1345" s="43"/>
      <c r="M1345" s="17"/>
      <c r="N1345" s="17"/>
      <c r="O1345" s="43"/>
      <c r="S1345" s="89"/>
    </row>
    <row r="1346" spans="1:19" ht="15.75" customHeight="1" x14ac:dyDescent="0.3">
      <c r="A1346" s="88"/>
      <c r="D1346" s="17"/>
      <c r="E1346" s="17"/>
      <c r="F1346" s="17"/>
      <c r="G1346" s="17"/>
      <c r="H1346" s="64"/>
      <c r="I1346" s="64"/>
      <c r="J1346" s="64"/>
      <c r="K1346" s="64"/>
      <c r="L1346" s="43"/>
      <c r="M1346" s="17"/>
      <c r="N1346" s="17"/>
      <c r="O1346" s="43"/>
      <c r="S1346" s="89"/>
    </row>
    <row r="1347" spans="1:19" ht="15.75" customHeight="1" x14ac:dyDescent="0.3">
      <c r="A1347" s="88"/>
      <c r="D1347" s="17"/>
      <c r="E1347" s="17"/>
      <c r="F1347" s="17"/>
      <c r="G1347" s="17"/>
      <c r="H1347" s="64"/>
      <c r="I1347" s="64"/>
      <c r="J1347" s="64"/>
      <c r="K1347" s="64"/>
      <c r="L1347" s="43"/>
      <c r="M1347" s="17"/>
      <c r="N1347" s="17"/>
      <c r="O1347" s="43"/>
      <c r="S1347" s="89"/>
    </row>
    <row r="1348" spans="1:19" ht="15.75" customHeight="1" x14ac:dyDescent="0.3">
      <c r="A1348" s="88"/>
      <c r="D1348" s="17"/>
      <c r="E1348" s="17"/>
      <c r="F1348" s="17"/>
      <c r="G1348" s="17"/>
      <c r="H1348" s="64"/>
      <c r="I1348" s="64"/>
      <c r="J1348" s="64"/>
      <c r="K1348" s="64"/>
      <c r="L1348" s="43"/>
      <c r="M1348" s="17"/>
      <c r="N1348" s="17"/>
      <c r="O1348" s="43"/>
      <c r="S1348" s="89"/>
    </row>
    <row r="1349" spans="1:19" ht="15.75" customHeight="1" x14ac:dyDescent="0.3">
      <c r="A1349" s="88"/>
      <c r="D1349" s="17"/>
      <c r="E1349" s="17"/>
      <c r="F1349" s="17"/>
      <c r="G1349" s="17"/>
      <c r="H1349" s="64"/>
      <c r="I1349" s="64"/>
      <c r="J1349" s="64"/>
      <c r="K1349" s="64"/>
      <c r="L1349" s="43"/>
      <c r="M1349" s="17"/>
      <c r="N1349" s="17"/>
      <c r="O1349" s="43"/>
      <c r="S1349" s="89"/>
    </row>
    <row r="1350" spans="1:19" ht="15.75" customHeight="1" x14ac:dyDescent="0.3">
      <c r="A1350" s="88"/>
      <c r="D1350" s="17"/>
      <c r="E1350" s="17"/>
      <c r="F1350" s="17"/>
      <c r="G1350" s="17"/>
      <c r="H1350" s="64"/>
      <c r="I1350" s="64"/>
      <c r="J1350" s="64"/>
      <c r="K1350" s="64"/>
      <c r="L1350" s="43"/>
      <c r="M1350" s="17"/>
      <c r="N1350" s="17"/>
      <c r="O1350" s="43"/>
      <c r="S1350" s="89"/>
    </row>
    <row r="1351" spans="1:19" ht="15.75" customHeight="1" x14ac:dyDescent="0.3">
      <c r="A1351" s="88"/>
      <c r="D1351" s="17"/>
      <c r="E1351" s="17"/>
      <c r="F1351" s="17"/>
      <c r="G1351" s="17"/>
      <c r="H1351" s="64"/>
      <c r="I1351" s="64"/>
      <c r="J1351" s="64"/>
      <c r="K1351" s="64"/>
      <c r="L1351" s="43"/>
      <c r="M1351" s="17"/>
      <c r="N1351" s="17"/>
      <c r="O1351" s="43"/>
      <c r="S1351" s="89"/>
    </row>
    <row r="1352" spans="1:19" ht="15.75" customHeight="1" x14ac:dyDescent="0.3">
      <c r="A1352" s="88"/>
      <c r="D1352" s="17"/>
      <c r="E1352" s="17"/>
      <c r="F1352" s="17"/>
      <c r="G1352" s="17"/>
      <c r="H1352" s="64"/>
      <c r="I1352" s="64"/>
      <c r="J1352" s="64"/>
      <c r="K1352" s="64"/>
      <c r="L1352" s="43"/>
      <c r="M1352" s="17"/>
      <c r="N1352" s="17"/>
      <c r="O1352" s="43"/>
      <c r="S1352" s="89"/>
    </row>
    <row r="1353" spans="1:19" ht="15.75" customHeight="1" x14ac:dyDescent="0.3">
      <c r="A1353" s="88"/>
      <c r="D1353" s="17"/>
      <c r="E1353" s="17"/>
      <c r="F1353" s="17"/>
      <c r="G1353" s="17"/>
      <c r="H1353" s="64"/>
      <c r="I1353" s="64"/>
      <c r="J1353" s="64"/>
      <c r="K1353" s="64"/>
      <c r="L1353" s="43"/>
      <c r="M1353" s="17"/>
      <c r="N1353" s="17"/>
      <c r="O1353" s="43"/>
      <c r="S1353" s="89"/>
    </row>
    <row r="1354" spans="1:19" ht="15.75" customHeight="1" x14ac:dyDescent="0.3">
      <c r="A1354" s="88"/>
      <c r="D1354" s="17"/>
      <c r="E1354" s="17"/>
      <c r="F1354" s="17"/>
      <c r="G1354" s="17"/>
      <c r="H1354" s="64"/>
      <c r="I1354" s="64"/>
      <c r="J1354" s="64"/>
      <c r="K1354" s="64"/>
      <c r="L1354" s="43"/>
      <c r="M1354" s="17"/>
      <c r="N1354" s="17"/>
      <c r="O1354" s="43"/>
      <c r="S1354" s="89"/>
    </row>
    <row r="1355" spans="1:19" ht="15.75" customHeight="1" x14ac:dyDescent="0.3">
      <c r="A1355" s="88"/>
      <c r="D1355" s="17"/>
      <c r="E1355" s="17"/>
      <c r="F1355" s="17"/>
      <c r="G1355" s="17"/>
      <c r="H1355" s="64"/>
      <c r="I1355" s="64"/>
      <c r="J1355" s="64"/>
      <c r="K1355" s="64"/>
      <c r="L1355" s="43"/>
      <c r="M1355" s="17"/>
      <c r="N1355" s="17"/>
      <c r="O1355" s="43"/>
      <c r="S1355" s="89"/>
    </row>
    <row r="1356" spans="1:19" ht="15.75" customHeight="1" x14ac:dyDescent="0.3">
      <c r="A1356" s="88"/>
      <c r="D1356" s="17"/>
      <c r="E1356" s="17"/>
      <c r="F1356" s="17"/>
      <c r="G1356" s="17"/>
      <c r="H1356" s="64"/>
      <c r="I1356" s="64"/>
      <c r="J1356" s="64"/>
      <c r="K1356" s="64"/>
      <c r="L1356" s="43"/>
      <c r="M1356" s="17"/>
      <c r="N1356" s="17"/>
      <c r="O1356" s="43"/>
      <c r="S1356" s="89"/>
    </row>
    <row r="1357" spans="1:19" ht="15.75" customHeight="1" x14ac:dyDescent="0.3">
      <c r="A1357" s="88"/>
      <c r="D1357" s="17"/>
      <c r="E1357" s="17"/>
      <c r="F1357" s="17"/>
      <c r="G1357" s="17"/>
      <c r="H1357" s="64"/>
      <c r="I1357" s="64"/>
      <c r="J1357" s="64"/>
      <c r="K1357" s="64"/>
      <c r="L1357" s="43"/>
      <c r="M1357" s="17"/>
      <c r="N1357" s="17"/>
      <c r="O1357" s="43"/>
      <c r="S1357" s="89"/>
    </row>
    <row r="1358" spans="1:19" ht="15.75" customHeight="1" x14ac:dyDescent="0.3">
      <c r="A1358" s="88"/>
      <c r="D1358" s="17"/>
      <c r="E1358" s="17"/>
      <c r="F1358" s="17"/>
      <c r="G1358" s="17"/>
      <c r="H1358" s="64"/>
      <c r="I1358" s="64"/>
      <c r="J1358" s="64"/>
      <c r="K1358" s="64"/>
      <c r="L1358" s="43"/>
      <c r="M1358" s="17"/>
      <c r="N1358" s="17"/>
      <c r="O1358" s="43"/>
      <c r="S1358" s="89"/>
    </row>
    <row r="1359" spans="1:19" ht="15.75" customHeight="1" x14ac:dyDescent="0.3">
      <c r="A1359" s="88"/>
      <c r="D1359" s="17"/>
      <c r="E1359" s="17"/>
      <c r="F1359" s="17"/>
      <c r="G1359" s="17"/>
      <c r="H1359" s="64"/>
      <c r="I1359" s="64"/>
      <c r="J1359" s="64"/>
      <c r="K1359" s="64"/>
      <c r="L1359" s="43"/>
      <c r="M1359" s="17"/>
      <c r="N1359" s="17"/>
      <c r="O1359" s="43"/>
      <c r="S1359" s="89"/>
    </row>
    <row r="1360" spans="1:19" ht="15.75" customHeight="1" x14ac:dyDescent="0.3">
      <c r="A1360" s="88"/>
      <c r="D1360" s="17"/>
      <c r="E1360" s="17"/>
      <c r="F1360" s="17"/>
      <c r="G1360" s="17"/>
      <c r="H1360" s="64"/>
      <c r="I1360" s="64"/>
      <c r="J1360" s="64"/>
      <c r="K1360" s="64"/>
      <c r="L1360" s="43"/>
      <c r="M1360" s="17"/>
      <c r="N1360" s="17"/>
      <c r="O1360" s="43"/>
      <c r="S1360" s="89"/>
    </row>
    <row r="1361" spans="1:19" ht="15.75" customHeight="1" x14ac:dyDescent="0.3">
      <c r="A1361" s="88"/>
      <c r="D1361" s="17"/>
      <c r="E1361" s="17"/>
      <c r="F1361" s="17"/>
      <c r="G1361" s="17"/>
      <c r="H1361" s="64"/>
      <c r="I1361" s="64"/>
      <c r="J1361" s="64"/>
      <c r="K1361" s="64"/>
      <c r="L1361" s="43"/>
      <c r="M1361" s="17"/>
      <c r="N1361" s="17"/>
      <c r="O1361" s="43"/>
      <c r="S1361" s="89"/>
    </row>
    <row r="1362" spans="1:19" ht="15.75" customHeight="1" x14ac:dyDescent="0.3">
      <c r="A1362" s="88"/>
      <c r="D1362" s="17"/>
      <c r="E1362" s="17"/>
      <c r="F1362" s="17"/>
      <c r="G1362" s="17"/>
      <c r="H1362" s="64"/>
      <c r="I1362" s="64"/>
      <c r="J1362" s="64"/>
      <c r="K1362" s="64"/>
      <c r="L1362" s="43"/>
      <c r="M1362" s="17"/>
      <c r="N1362" s="17"/>
      <c r="O1362" s="43"/>
      <c r="S1362" s="89"/>
    </row>
    <row r="1363" spans="1:19" ht="15.75" customHeight="1" x14ac:dyDescent="0.3">
      <c r="A1363" s="88"/>
      <c r="D1363" s="17"/>
      <c r="E1363" s="17"/>
      <c r="F1363" s="17"/>
      <c r="G1363" s="17"/>
      <c r="H1363" s="64"/>
      <c r="I1363" s="64"/>
      <c r="J1363" s="64"/>
      <c r="K1363" s="64"/>
      <c r="L1363" s="43"/>
      <c r="M1363" s="17"/>
      <c r="N1363" s="17"/>
      <c r="O1363" s="43"/>
      <c r="S1363" s="89"/>
    </row>
    <row r="1364" spans="1:19" ht="15.75" customHeight="1" x14ac:dyDescent="0.3">
      <c r="A1364" s="88"/>
      <c r="D1364" s="17"/>
      <c r="E1364" s="17"/>
      <c r="F1364" s="17"/>
      <c r="G1364" s="17"/>
      <c r="H1364" s="64"/>
      <c r="I1364" s="64"/>
      <c r="J1364" s="64"/>
      <c r="K1364" s="64"/>
      <c r="L1364" s="43"/>
      <c r="M1364" s="17"/>
      <c r="N1364" s="17"/>
      <c r="O1364" s="43"/>
      <c r="S1364" s="89"/>
    </row>
    <row r="1365" spans="1:19" ht="15.75" customHeight="1" x14ac:dyDescent="0.3">
      <c r="A1365" s="88"/>
      <c r="D1365" s="17"/>
      <c r="E1365" s="17"/>
      <c r="F1365" s="17"/>
      <c r="G1365" s="17"/>
      <c r="H1365" s="64"/>
      <c r="I1365" s="64"/>
      <c r="J1365" s="64"/>
      <c r="K1365" s="64"/>
      <c r="L1365" s="43"/>
      <c r="M1365" s="17"/>
      <c r="N1365" s="17"/>
      <c r="O1365" s="43"/>
      <c r="S1365" s="89"/>
    </row>
    <row r="1366" spans="1:19" ht="15.75" customHeight="1" x14ac:dyDescent="0.3">
      <c r="A1366" s="88"/>
      <c r="D1366" s="17"/>
      <c r="E1366" s="17"/>
      <c r="F1366" s="17"/>
      <c r="G1366" s="17"/>
      <c r="H1366" s="64"/>
      <c r="I1366" s="64"/>
      <c r="J1366" s="64"/>
      <c r="K1366" s="64"/>
      <c r="L1366" s="43"/>
      <c r="M1366" s="17"/>
      <c r="N1366" s="17"/>
      <c r="O1366" s="43"/>
      <c r="S1366" s="89"/>
    </row>
    <row r="1367" spans="1:19" ht="15.75" customHeight="1" x14ac:dyDescent="0.3">
      <c r="A1367" s="88"/>
      <c r="D1367" s="17"/>
      <c r="E1367" s="17"/>
      <c r="F1367" s="17"/>
      <c r="G1367" s="17"/>
      <c r="H1367" s="64"/>
      <c r="I1367" s="64"/>
      <c r="J1367" s="64"/>
      <c r="K1367" s="64"/>
      <c r="L1367" s="43"/>
      <c r="M1367" s="17"/>
      <c r="N1367" s="17"/>
      <c r="O1367" s="43"/>
      <c r="S1367" s="89"/>
    </row>
    <row r="1368" spans="1:19" ht="15.75" customHeight="1" x14ac:dyDescent="0.3">
      <c r="A1368" s="88"/>
      <c r="D1368" s="17"/>
      <c r="E1368" s="17"/>
      <c r="F1368" s="17"/>
      <c r="G1368" s="17"/>
      <c r="H1368" s="64"/>
      <c r="I1368" s="64"/>
      <c r="J1368" s="64"/>
      <c r="K1368" s="64"/>
      <c r="L1368" s="43"/>
      <c r="M1368" s="17"/>
      <c r="N1368" s="17"/>
      <c r="O1368" s="43"/>
      <c r="S1368" s="89"/>
    </row>
    <row r="1369" spans="1:19" ht="15.75" customHeight="1" x14ac:dyDescent="0.3">
      <c r="A1369" s="88"/>
      <c r="D1369" s="17"/>
      <c r="E1369" s="17"/>
      <c r="F1369" s="17"/>
      <c r="G1369" s="17"/>
      <c r="H1369" s="64"/>
      <c r="I1369" s="64"/>
      <c r="J1369" s="64"/>
      <c r="K1369" s="64"/>
      <c r="L1369" s="43"/>
      <c r="M1369" s="17"/>
      <c r="N1369" s="17"/>
      <c r="O1369" s="43"/>
      <c r="S1369" s="89"/>
    </row>
    <row r="1370" spans="1:19" ht="15.75" customHeight="1" x14ac:dyDescent="0.3">
      <c r="A1370" s="88"/>
      <c r="D1370" s="17"/>
      <c r="E1370" s="17"/>
      <c r="F1370" s="17"/>
      <c r="G1370" s="17"/>
      <c r="H1370" s="64"/>
      <c r="I1370" s="64"/>
      <c r="J1370" s="64"/>
      <c r="K1370" s="64"/>
      <c r="L1370" s="43"/>
      <c r="M1370" s="17"/>
      <c r="N1370" s="17"/>
      <c r="O1370" s="43"/>
      <c r="S1370" s="89"/>
    </row>
    <row r="1371" spans="1:19" ht="15.75" customHeight="1" x14ac:dyDescent="0.3">
      <c r="A1371" s="88"/>
      <c r="D1371" s="17"/>
      <c r="E1371" s="17"/>
      <c r="F1371" s="17"/>
      <c r="G1371" s="17"/>
      <c r="H1371" s="64"/>
      <c r="I1371" s="64"/>
      <c r="J1371" s="64"/>
      <c r="K1371" s="64"/>
      <c r="L1371" s="43"/>
      <c r="M1371" s="17"/>
      <c r="N1371" s="17"/>
      <c r="O1371" s="43"/>
      <c r="S1371" s="89"/>
    </row>
    <row r="1372" spans="1:19" ht="15.75" customHeight="1" x14ac:dyDescent="0.3">
      <c r="A1372" s="88"/>
      <c r="D1372" s="17"/>
      <c r="E1372" s="17"/>
      <c r="F1372" s="17"/>
      <c r="G1372" s="17"/>
      <c r="H1372" s="64"/>
      <c r="I1372" s="64"/>
      <c r="J1372" s="64"/>
      <c r="K1372" s="64"/>
      <c r="L1372" s="43"/>
      <c r="M1372" s="17"/>
      <c r="N1372" s="17"/>
      <c r="O1372" s="43"/>
      <c r="S1372" s="89"/>
    </row>
    <row r="1373" spans="1:19" ht="15.75" customHeight="1" x14ac:dyDescent="0.3">
      <c r="A1373" s="88"/>
      <c r="D1373" s="17"/>
      <c r="E1373" s="17"/>
      <c r="F1373" s="17"/>
      <c r="G1373" s="17"/>
      <c r="H1373" s="64"/>
      <c r="I1373" s="64"/>
      <c r="J1373" s="64"/>
      <c r="K1373" s="64"/>
      <c r="L1373" s="43"/>
      <c r="M1373" s="17"/>
      <c r="N1373" s="17"/>
      <c r="O1373" s="43"/>
      <c r="S1373" s="89"/>
    </row>
    <row r="1374" spans="1:19" ht="15.75" customHeight="1" x14ac:dyDescent="0.3">
      <c r="A1374" s="88"/>
      <c r="D1374" s="17"/>
      <c r="E1374" s="17"/>
      <c r="F1374" s="17"/>
      <c r="G1374" s="17"/>
      <c r="H1374" s="64"/>
      <c r="I1374" s="64"/>
      <c r="J1374" s="64"/>
      <c r="K1374" s="64"/>
      <c r="L1374" s="43"/>
      <c r="M1374" s="17"/>
      <c r="N1374" s="17"/>
      <c r="O1374" s="43"/>
      <c r="S1374" s="89"/>
    </row>
    <row r="1375" spans="1:19" ht="15.75" customHeight="1" x14ac:dyDescent="0.3">
      <c r="A1375" s="88"/>
      <c r="D1375" s="17"/>
      <c r="E1375" s="17"/>
      <c r="F1375" s="17"/>
      <c r="G1375" s="17"/>
      <c r="H1375" s="64"/>
      <c r="I1375" s="64"/>
      <c r="J1375" s="64"/>
      <c r="K1375" s="64"/>
      <c r="L1375" s="43"/>
      <c r="M1375" s="17"/>
      <c r="N1375" s="17"/>
      <c r="O1375" s="43"/>
      <c r="S1375" s="89"/>
    </row>
    <row r="1376" spans="1:19" ht="15.75" customHeight="1" x14ac:dyDescent="0.3">
      <c r="A1376" s="88"/>
      <c r="D1376" s="17"/>
      <c r="E1376" s="17"/>
      <c r="F1376" s="17"/>
      <c r="G1376" s="17"/>
      <c r="H1376" s="64"/>
      <c r="I1376" s="64"/>
      <c r="J1376" s="64"/>
      <c r="K1376" s="64"/>
      <c r="L1376" s="43"/>
      <c r="M1376" s="17"/>
      <c r="N1376" s="17"/>
      <c r="O1376" s="43"/>
      <c r="S1376" s="89"/>
    </row>
    <row r="1377" spans="1:19" ht="15.75" customHeight="1" x14ac:dyDescent="0.3">
      <c r="A1377" s="88"/>
      <c r="D1377" s="17"/>
      <c r="E1377" s="17"/>
      <c r="F1377" s="17"/>
      <c r="G1377" s="17"/>
      <c r="H1377" s="64"/>
      <c r="I1377" s="64"/>
      <c r="J1377" s="64"/>
      <c r="K1377" s="64"/>
      <c r="L1377" s="43"/>
      <c r="M1377" s="17"/>
      <c r="N1377" s="17"/>
      <c r="O1377" s="43"/>
      <c r="S1377" s="89"/>
    </row>
    <row r="1378" spans="1:19" ht="15.75" customHeight="1" x14ac:dyDescent="0.3">
      <c r="A1378" s="88"/>
      <c r="D1378" s="17"/>
      <c r="E1378" s="17"/>
      <c r="F1378" s="17"/>
      <c r="G1378" s="17"/>
      <c r="H1378" s="64"/>
      <c r="I1378" s="64"/>
      <c r="J1378" s="64"/>
      <c r="K1378" s="64"/>
      <c r="L1378" s="43"/>
      <c r="M1378" s="17"/>
      <c r="N1378" s="17"/>
      <c r="O1378" s="43"/>
      <c r="S1378" s="89"/>
    </row>
    <row r="1379" spans="1:19" ht="15.75" customHeight="1" x14ac:dyDescent="0.3">
      <c r="A1379" s="88"/>
      <c r="D1379" s="17"/>
      <c r="E1379" s="17"/>
      <c r="F1379" s="17"/>
      <c r="G1379" s="17"/>
      <c r="H1379" s="64"/>
      <c r="I1379" s="64"/>
      <c r="J1379" s="64"/>
      <c r="K1379" s="64"/>
      <c r="L1379" s="43"/>
      <c r="M1379" s="17"/>
      <c r="N1379" s="17"/>
      <c r="O1379" s="43"/>
      <c r="S1379" s="89"/>
    </row>
    <row r="1380" spans="1:19" ht="15.75" customHeight="1" x14ac:dyDescent="0.3">
      <c r="A1380" s="88"/>
      <c r="D1380" s="17"/>
      <c r="E1380" s="17"/>
      <c r="F1380" s="17"/>
      <c r="G1380" s="17"/>
      <c r="H1380" s="64"/>
      <c r="I1380" s="64"/>
      <c r="J1380" s="64"/>
      <c r="K1380" s="64"/>
      <c r="L1380" s="43"/>
      <c r="M1380" s="17"/>
      <c r="N1380" s="17"/>
      <c r="O1380" s="43"/>
      <c r="S1380" s="89"/>
    </row>
    <row r="1381" spans="1:19" ht="15.75" customHeight="1" x14ac:dyDescent="0.3">
      <c r="A1381" s="88"/>
      <c r="D1381" s="17"/>
      <c r="E1381" s="17"/>
      <c r="F1381" s="17"/>
      <c r="G1381" s="17"/>
      <c r="H1381" s="64"/>
      <c r="I1381" s="64"/>
      <c r="J1381" s="64"/>
      <c r="K1381" s="64"/>
      <c r="L1381" s="43"/>
      <c r="M1381" s="17"/>
      <c r="N1381" s="17"/>
      <c r="O1381" s="43"/>
      <c r="S1381" s="89"/>
    </row>
    <row r="1382" spans="1:19" ht="15.75" customHeight="1" x14ac:dyDescent="0.3">
      <c r="A1382" s="88"/>
      <c r="D1382" s="17"/>
      <c r="E1382" s="17"/>
      <c r="F1382" s="17"/>
      <c r="G1382" s="17"/>
      <c r="H1382" s="64"/>
      <c r="I1382" s="64"/>
      <c r="J1382" s="64"/>
      <c r="K1382" s="64"/>
      <c r="L1382" s="43"/>
      <c r="M1382" s="17"/>
      <c r="N1382" s="17"/>
      <c r="O1382" s="43"/>
      <c r="S1382" s="89"/>
    </row>
    <row r="1383" spans="1:19" ht="15.75" customHeight="1" x14ac:dyDescent="0.3">
      <c r="A1383" s="88"/>
      <c r="D1383" s="17"/>
      <c r="E1383" s="17"/>
      <c r="F1383" s="17"/>
      <c r="G1383" s="17"/>
      <c r="H1383" s="64"/>
      <c r="I1383" s="64"/>
      <c r="J1383" s="64"/>
      <c r="K1383" s="64"/>
      <c r="L1383" s="43"/>
      <c r="M1383" s="17"/>
      <c r="N1383" s="17"/>
      <c r="O1383" s="43"/>
      <c r="S1383" s="89"/>
    </row>
    <row r="1384" spans="1:19" ht="15.75" customHeight="1" x14ac:dyDescent="0.3">
      <c r="A1384" s="88"/>
      <c r="D1384" s="17"/>
      <c r="E1384" s="17"/>
      <c r="F1384" s="17"/>
      <c r="G1384" s="17"/>
      <c r="H1384" s="64"/>
      <c r="I1384" s="64"/>
      <c r="J1384" s="64"/>
      <c r="K1384" s="64"/>
      <c r="L1384" s="43"/>
      <c r="M1384" s="17"/>
      <c r="N1384" s="17"/>
      <c r="O1384" s="43"/>
      <c r="S1384" s="89"/>
    </row>
    <row r="1385" spans="1:19" ht="15.75" customHeight="1" x14ac:dyDescent="0.3">
      <c r="A1385" s="88"/>
      <c r="D1385" s="17"/>
      <c r="E1385" s="17"/>
      <c r="F1385" s="17"/>
      <c r="G1385" s="17"/>
      <c r="H1385" s="64"/>
      <c r="I1385" s="64"/>
      <c r="J1385" s="64"/>
      <c r="K1385" s="64"/>
      <c r="L1385" s="43"/>
      <c r="M1385" s="17"/>
      <c r="N1385" s="17"/>
      <c r="O1385" s="43"/>
      <c r="S1385" s="89"/>
    </row>
    <row r="1386" spans="1:19" ht="15.75" customHeight="1" x14ac:dyDescent="0.3">
      <c r="A1386" s="88"/>
      <c r="D1386" s="17"/>
      <c r="E1386" s="17"/>
      <c r="F1386" s="17"/>
      <c r="G1386" s="17"/>
      <c r="H1386" s="64"/>
      <c r="I1386" s="64"/>
      <c r="J1386" s="64"/>
      <c r="K1386" s="64"/>
      <c r="L1386" s="43"/>
      <c r="M1386" s="17"/>
      <c r="N1386" s="17"/>
      <c r="O1386" s="43"/>
      <c r="S1386" s="89"/>
    </row>
    <row r="1387" spans="1:19" ht="15.75" customHeight="1" x14ac:dyDescent="0.3">
      <c r="A1387" s="88"/>
      <c r="D1387" s="17"/>
      <c r="E1387" s="17"/>
      <c r="F1387" s="17"/>
      <c r="G1387" s="17"/>
      <c r="H1387" s="64"/>
      <c r="I1387" s="64"/>
      <c r="J1387" s="64"/>
      <c r="K1387" s="64"/>
      <c r="L1387" s="43"/>
      <c r="M1387" s="17"/>
      <c r="N1387" s="17"/>
      <c r="O1387" s="43"/>
      <c r="S1387" s="89"/>
    </row>
    <row r="1388" spans="1:19" ht="15.75" customHeight="1" x14ac:dyDescent="0.3">
      <c r="A1388" s="88"/>
      <c r="D1388" s="17"/>
      <c r="E1388" s="17"/>
      <c r="F1388" s="17"/>
      <c r="G1388" s="17"/>
      <c r="H1388" s="64"/>
      <c r="I1388" s="64"/>
      <c r="J1388" s="64"/>
      <c r="K1388" s="64"/>
      <c r="L1388" s="43"/>
      <c r="M1388" s="17"/>
      <c r="N1388" s="17"/>
      <c r="O1388" s="43"/>
      <c r="S1388" s="89"/>
    </row>
    <row r="1389" spans="1:19" ht="15.75" customHeight="1" x14ac:dyDescent="0.3">
      <c r="A1389" s="88"/>
      <c r="D1389" s="17"/>
      <c r="E1389" s="17"/>
      <c r="F1389" s="17"/>
      <c r="G1389" s="17"/>
      <c r="H1389" s="64"/>
      <c r="I1389" s="64"/>
      <c r="J1389" s="64"/>
      <c r="K1389" s="64"/>
      <c r="L1389" s="43"/>
      <c r="M1389" s="17"/>
      <c r="N1389" s="17"/>
      <c r="O1389" s="43"/>
      <c r="S1389" s="89"/>
    </row>
    <row r="1390" spans="1:19" ht="15.75" customHeight="1" x14ac:dyDescent="0.3">
      <c r="A1390" s="88"/>
      <c r="D1390" s="17"/>
      <c r="E1390" s="17"/>
      <c r="F1390" s="17"/>
      <c r="G1390" s="17"/>
      <c r="H1390" s="64"/>
      <c r="I1390" s="64"/>
      <c r="J1390" s="64"/>
      <c r="K1390" s="64"/>
      <c r="L1390" s="43"/>
      <c r="M1390" s="17"/>
      <c r="N1390" s="17"/>
      <c r="O1390" s="43"/>
      <c r="S1390" s="89"/>
    </row>
    <row r="1391" spans="1:19" ht="15.75" customHeight="1" x14ac:dyDescent="0.3">
      <c r="A1391" s="88"/>
      <c r="D1391" s="17"/>
      <c r="E1391" s="17"/>
      <c r="F1391" s="17"/>
      <c r="G1391" s="17"/>
      <c r="H1391" s="64"/>
      <c r="I1391" s="64"/>
      <c r="J1391" s="64"/>
      <c r="K1391" s="64"/>
      <c r="L1391" s="43"/>
      <c r="M1391" s="17"/>
      <c r="N1391" s="17"/>
      <c r="O1391" s="43"/>
      <c r="S1391" s="89"/>
    </row>
    <row r="1392" spans="1:19" ht="15.75" customHeight="1" x14ac:dyDescent="0.3">
      <c r="A1392" s="88"/>
      <c r="D1392" s="17"/>
      <c r="E1392" s="17"/>
      <c r="F1392" s="17"/>
      <c r="G1392" s="17"/>
      <c r="H1392" s="64"/>
      <c r="I1392" s="64"/>
      <c r="J1392" s="64"/>
      <c r="K1392" s="64"/>
      <c r="L1392" s="43"/>
      <c r="M1392" s="17"/>
      <c r="N1392" s="17"/>
      <c r="O1392" s="43"/>
      <c r="S1392" s="89"/>
    </row>
    <row r="1393" spans="1:19" ht="15.75" customHeight="1" x14ac:dyDescent="0.3">
      <c r="A1393" s="88"/>
      <c r="D1393" s="17"/>
      <c r="E1393" s="17"/>
      <c r="F1393" s="17"/>
      <c r="G1393" s="17"/>
      <c r="H1393" s="64"/>
      <c r="I1393" s="64"/>
      <c r="J1393" s="64"/>
      <c r="K1393" s="64"/>
      <c r="L1393" s="43"/>
      <c r="M1393" s="17"/>
      <c r="N1393" s="17"/>
      <c r="O1393" s="43"/>
      <c r="S1393" s="89"/>
    </row>
    <row r="1394" spans="1:19" ht="15.75" customHeight="1" x14ac:dyDescent="0.3">
      <c r="A1394" s="88"/>
      <c r="D1394" s="17"/>
      <c r="E1394" s="17"/>
      <c r="F1394" s="17"/>
      <c r="G1394" s="17"/>
      <c r="H1394" s="64"/>
      <c r="I1394" s="64"/>
      <c r="J1394" s="64"/>
      <c r="K1394" s="64"/>
      <c r="L1394" s="43"/>
      <c r="M1394" s="17"/>
      <c r="N1394" s="17"/>
      <c r="O1394" s="43"/>
      <c r="S1394" s="89"/>
    </row>
    <row r="1395" spans="1:19" ht="15.75" customHeight="1" x14ac:dyDescent="0.3">
      <c r="A1395" s="88"/>
      <c r="D1395" s="17"/>
      <c r="E1395" s="17"/>
      <c r="F1395" s="17"/>
      <c r="G1395" s="17"/>
      <c r="H1395" s="64"/>
      <c r="I1395" s="64"/>
      <c r="J1395" s="64"/>
      <c r="K1395" s="64"/>
      <c r="L1395" s="43"/>
      <c r="M1395" s="17"/>
      <c r="N1395" s="17"/>
      <c r="O1395" s="43"/>
      <c r="S1395" s="89"/>
    </row>
    <row r="1396" spans="1:19" ht="15.75" customHeight="1" x14ac:dyDescent="0.3">
      <c r="A1396" s="88"/>
      <c r="D1396" s="17"/>
      <c r="E1396" s="17"/>
      <c r="F1396" s="17"/>
      <c r="G1396" s="17"/>
      <c r="H1396" s="64"/>
      <c r="I1396" s="64"/>
      <c r="J1396" s="64"/>
      <c r="K1396" s="64"/>
      <c r="L1396" s="43"/>
      <c r="M1396" s="17"/>
      <c r="N1396" s="17"/>
      <c r="O1396" s="43"/>
      <c r="S1396" s="89"/>
    </row>
    <row r="1397" spans="1:19" ht="15.75" customHeight="1" x14ac:dyDescent="0.3">
      <c r="A1397" s="88"/>
      <c r="D1397" s="17"/>
      <c r="E1397" s="17"/>
      <c r="F1397" s="17"/>
      <c r="G1397" s="17"/>
      <c r="H1397" s="64"/>
      <c r="I1397" s="64"/>
      <c r="J1397" s="64"/>
      <c r="K1397" s="64"/>
      <c r="L1397" s="43"/>
      <c r="M1397" s="17"/>
      <c r="N1397" s="17"/>
      <c r="O1397" s="43"/>
      <c r="S1397" s="89"/>
    </row>
    <row r="1398" spans="1:19" ht="15.75" customHeight="1" x14ac:dyDescent="0.3">
      <c r="A1398" s="88"/>
      <c r="D1398" s="17"/>
      <c r="E1398" s="17"/>
      <c r="F1398" s="17"/>
      <c r="G1398" s="17"/>
      <c r="H1398" s="64"/>
      <c r="I1398" s="64"/>
      <c r="J1398" s="64"/>
      <c r="K1398" s="64"/>
      <c r="L1398" s="43"/>
      <c r="M1398" s="17"/>
      <c r="N1398" s="17"/>
      <c r="O1398" s="43"/>
      <c r="S1398" s="89"/>
    </row>
    <row r="1399" spans="1:19" ht="15.75" customHeight="1" x14ac:dyDescent="0.3">
      <c r="A1399" s="88"/>
      <c r="D1399" s="17"/>
      <c r="E1399" s="17"/>
      <c r="F1399" s="17"/>
      <c r="G1399" s="17"/>
      <c r="H1399" s="64"/>
      <c r="I1399" s="64"/>
      <c r="J1399" s="64"/>
      <c r="K1399" s="64"/>
      <c r="L1399" s="43"/>
      <c r="M1399" s="17"/>
      <c r="N1399" s="17"/>
      <c r="O1399" s="43"/>
      <c r="S1399" s="89"/>
    </row>
    <row r="1400" spans="1:19" ht="15.75" customHeight="1" x14ac:dyDescent="0.3">
      <c r="A1400" s="88"/>
      <c r="D1400" s="17"/>
      <c r="E1400" s="17"/>
      <c r="F1400" s="17"/>
      <c r="G1400" s="17"/>
      <c r="H1400" s="64"/>
      <c r="I1400" s="64"/>
      <c r="J1400" s="64"/>
      <c r="K1400" s="64"/>
      <c r="L1400" s="43"/>
      <c r="M1400" s="17"/>
      <c r="N1400" s="17"/>
      <c r="O1400" s="43"/>
      <c r="S1400" s="89"/>
    </row>
    <row r="1401" spans="1:19" ht="15.75" customHeight="1" x14ac:dyDescent="0.3">
      <c r="A1401" s="88"/>
      <c r="D1401" s="17"/>
      <c r="E1401" s="17"/>
      <c r="F1401" s="17"/>
      <c r="G1401" s="17"/>
      <c r="H1401" s="64"/>
      <c r="I1401" s="64"/>
      <c r="J1401" s="64"/>
      <c r="K1401" s="64"/>
      <c r="L1401" s="43"/>
      <c r="M1401" s="17"/>
      <c r="N1401" s="17"/>
      <c r="O1401" s="43"/>
      <c r="S1401" s="89"/>
    </row>
    <row r="1402" spans="1:19" ht="15.75" customHeight="1" x14ac:dyDescent="0.3">
      <c r="A1402" s="88"/>
      <c r="D1402" s="17"/>
      <c r="E1402" s="17"/>
      <c r="F1402" s="17"/>
      <c r="G1402" s="17"/>
      <c r="H1402" s="64"/>
      <c r="I1402" s="64"/>
      <c r="J1402" s="64"/>
      <c r="K1402" s="64"/>
      <c r="L1402" s="43"/>
      <c r="M1402" s="17"/>
      <c r="N1402" s="17"/>
      <c r="O1402" s="43"/>
      <c r="S1402" s="89"/>
    </row>
    <row r="1403" spans="1:19" ht="15.75" customHeight="1" x14ac:dyDescent="0.3">
      <c r="A1403" s="88"/>
      <c r="D1403" s="17"/>
      <c r="E1403" s="17"/>
      <c r="F1403" s="17"/>
      <c r="G1403" s="17"/>
      <c r="H1403" s="64"/>
      <c r="I1403" s="64"/>
      <c r="J1403" s="64"/>
      <c r="K1403" s="64"/>
      <c r="L1403" s="43"/>
      <c r="M1403" s="17"/>
      <c r="N1403" s="17"/>
      <c r="O1403" s="43"/>
      <c r="S1403" s="89"/>
    </row>
    <row r="1404" spans="1:19" ht="15.75" customHeight="1" x14ac:dyDescent="0.3">
      <c r="A1404" s="88"/>
      <c r="D1404" s="17"/>
      <c r="E1404" s="17"/>
      <c r="F1404" s="17"/>
      <c r="G1404" s="17"/>
      <c r="H1404" s="64"/>
      <c r="I1404" s="64"/>
      <c r="J1404" s="64"/>
      <c r="K1404" s="64"/>
      <c r="L1404" s="43"/>
      <c r="M1404" s="17"/>
      <c r="N1404" s="17"/>
      <c r="O1404" s="43"/>
      <c r="S1404" s="89"/>
    </row>
    <row r="1405" spans="1:19" ht="15.75" customHeight="1" x14ac:dyDescent="0.3">
      <c r="A1405" s="88"/>
      <c r="D1405" s="17"/>
      <c r="E1405" s="17"/>
      <c r="F1405" s="17"/>
      <c r="G1405" s="17"/>
      <c r="H1405" s="64"/>
      <c r="I1405" s="64"/>
      <c r="J1405" s="64"/>
      <c r="K1405" s="64"/>
      <c r="L1405" s="43"/>
      <c r="M1405" s="17"/>
      <c r="N1405" s="17"/>
      <c r="O1405" s="43"/>
      <c r="S1405" s="89"/>
    </row>
    <row r="1406" spans="1:19" ht="15.75" customHeight="1" x14ac:dyDescent="0.3">
      <c r="A1406" s="88"/>
      <c r="D1406" s="17"/>
      <c r="E1406" s="17"/>
      <c r="F1406" s="17"/>
      <c r="G1406" s="17"/>
      <c r="H1406" s="64"/>
      <c r="I1406" s="64"/>
      <c r="J1406" s="64"/>
      <c r="K1406" s="64"/>
      <c r="L1406" s="43"/>
      <c r="M1406" s="17"/>
      <c r="N1406" s="17"/>
      <c r="O1406" s="43"/>
      <c r="S1406" s="89"/>
    </row>
    <row r="1407" spans="1:19" ht="15.75" customHeight="1" x14ac:dyDescent="0.3">
      <c r="A1407" s="88"/>
      <c r="D1407" s="17"/>
      <c r="E1407" s="17"/>
      <c r="F1407" s="17"/>
      <c r="G1407" s="17"/>
      <c r="H1407" s="64"/>
      <c r="I1407" s="64"/>
      <c r="J1407" s="64"/>
      <c r="K1407" s="64"/>
      <c r="L1407" s="43"/>
      <c r="M1407" s="17"/>
      <c r="N1407" s="17"/>
      <c r="O1407" s="43"/>
      <c r="S1407" s="89"/>
    </row>
    <row r="1408" spans="1:19" ht="15.75" customHeight="1" x14ac:dyDescent="0.3">
      <c r="A1408" s="88"/>
      <c r="D1408" s="17"/>
      <c r="E1408" s="17"/>
      <c r="F1408" s="17"/>
      <c r="G1408" s="17"/>
      <c r="H1408" s="64"/>
      <c r="I1408" s="64"/>
      <c r="J1408" s="64"/>
      <c r="K1408" s="64"/>
      <c r="L1408" s="43"/>
      <c r="M1408" s="17"/>
      <c r="N1408" s="17"/>
      <c r="O1408" s="43"/>
      <c r="S1408" s="89"/>
    </row>
    <row r="1409" spans="1:19" ht="15.75" customHeight="1" x14ac:dyDescent="0.3">
      <c r="A1409" s="88"/>
      <c r="D1409" s="17"/>
      <c r="E1409" s="17"/>
      <c r="F1409" s="17"/>
      <c r="G1409" s="17"/>
      <c r="H1409" s="64"/>
      <c r="I1409" s="64"/>
      <c r="J1409" s="64"/>
      <c r="K1409" s="64"/>
      <c r="L1409" s="43"/>
      <c r="M1409" s="17"/>
      <c r="N1409" s="17"/>
      <c r="O1409" s="43"/>
      <c r="S1409" s="89"/>
    </row>
    <row r="1410" spans="1:19" ht="15.75" customHeight="1" x14ac:dyDescent="0.3">
      <c r="A1410" s="88"/>
      <c r="D1410" s="17"/>
      <c r="E1410" s="17"/>
      <c r="F1410" s="17"/>
      <c r="G1410" s="17"/>
      <c r="H1410" s="64"/>
      <c r="I1410" s="64"/>
      <c r="J1410" s="64"/>
      <c r="K1410" s="64"/>
      <c r="L1410" s="43"/>
      <c r="M1410" s="17"/>
      <c r="N1410" s="17"/>
      <c r="O1410" s="43"/>
      <c r="S1410" s="89"/>
    </row>
    <row r="1411" spans="1:19" ht="15.75" customHeight="1" x14ac:dyDescent="0.3">
      <c r="A1411" s="88"/>
      <c r="D1411" s="17"/>
      <c r="E1411" s="17"/>
      <c r="F1411" s="17"/>
      <c r="G1411" s="17"/>
      <c r="H1411" s="64"/>
      <c r="I1411" s="64"/>
      <c r="J1411" s="64"/>
      <c r="K1411" s="64"/>
      <c r="L1411" s="43"/>
      <c r="M1411" s="17"/>
      <c r="N1411" s="17"/>
      <c r="O1411" s="43"/>
      <c r="S1411" s="89"/>
    </row>
    <row r="1412" spans="1:19" ht="15.75" customHeight="1" x14ac:dyDescent="0.3">
      <c r="A1412" s="88"/>
      <c r="D1412" s="17"/>
      <c r="E1412" s="17"/>
      <c r="F1412" s="17"/>
      <c r="G1412" s="17"/>
      <c r="H1412" s="64"/>
      <c r="I1412" s="64"/>
      <c r="J1412" s="64"/>
      <c r="K1412" s="64"/>
      <c r="L1412" s="43"/>
      <c r="M1412" s="17"/>
      <c r="N1412" s="17"/>
      <c r="O1412" s="43"/>
      <c r="S1412" s="89"/>
    </row>
    <row r="1413" spans="1:19" ht="15.75" customHeight="1" x14ac:dyDescent="0.3">
      <c r="A1413" s="88"/>
      <c r="D1413" s="17"/>
      <c r="E1413" s="17"/>
      <c r="F1413" s="17"/>
      <c r="G1413" s="17"/>
      <c r="H1413" s="64"/>
      <c r="I1413" s="64"/>
      <c r="J1413" s="64"/>
      <c r="K1413" s="64"/>
      <c r="L1413" s="43"/>
      <c r="M1413" s="17"/>
      <c r="N1413" s="17"/>
      <c r="O1413" s="43"/>
      <c r="S1413" s="89"/>
    </row>
    <row r="1414" spans="1:19" ht="15.75" customHeight="1" x14ac:dyDescent="0.3">
      <c r="A1414" s="88"/>
      <c r="D1414" s="17"/>
      <c r="E1414" s="17"/>
      <c r="F1414" s="17"/>
      <c r="G1414" s="17"/>
      <c r="H1414" s="64"/>
      <c r="I1414" s="64"/>
      <c r="J1414" s="64"/>
      <c r="K1414" s="64"/>
      <c r="L1414" s="43"/>
      <c r="M1414" s="17"/>
      <c r="N1414" s="17"/>
      <c r="O1414" s="43"/>
      <c r="S1414" s="89"/>
    </row>
    <row r="1415" spans="1:19" ht="15.75" customHeight="1" x14ac:dyDescent="0.3">
      <c r="A1415" s="88"/>
      <c r="D1415" s="17"/>
      <c r="E1415" s="17"/>
      <c r="F1415" s="17"/>
      <c r="G1415" s="17"/>
      <c r="H1415" s="64"/>
      <c r="I1415" s="64"/>
      <c r="J1415" s="64"/>
      <c r="K1415" s="64"/>
      <c r="L1415" s="43"/>
      <c r="M1415" s="17"/>
      <c r="N1415" s="17"/>
      <c r="O1415" s="43"/>
      <c r="S1415" s="89"/>
    </row>
    <row r="1416" spans="1:19" ht="15.75" customHeight="1" x14ac:dyDescent="0.3">
      <c r="A1416" s="88"/>
      <c r="D1416" s="17"/>
      <c r="E1416" s="17"/>
      <c r="F1416" s="17"/>
      <c r="G1416" s="17"/>
      <c r="H1416" s="64"/>
      <c r="I1416" s="64"/>
      <c r="J1416" s="64"/>
      <c r="K1416" s="64"/>
      <c r="L1416" s="43"/>
      <c r="M1416" s="17"/>
      <c r="N1416" s="17"/>
      <c r="O1416" s="43"/>
      <c r="S1416" s="89"/>
    </row>
    <row r="1417" spans="1:19" ht="15.75" customHeight="1" x14ac:dyDescent="0.3">
      <c r="A1417" s="88"/>
      <c r="D1417" s="17"/>
      <c r="E1417" s="17"/>
      <c r="F1417" s="17"/>
      <c r="G1417" s="17"/>
      <c r="H1417" s="64"/>
      <c r="I1417" s="64"/>
      <c r="J1417" s="64"/>
      <c r="K1417" s="64"/>
      <c r="L1417" s="43"/>
      <c r="M1417" s="17"/>
      <c r="N1417" s="17"/>
      <c r="O1417" s="43"/>
      <c r="S1417" s="89"/>
    </row>
    <row r="1418" spans="1:19" ht="15.75" customHeight="1" x14ac:dyDescent="0.3">
      <c r="A1418" s="88"/>
      <c r="D1418" s="17"/>
      <c r="E1418" s="17"/>
      <c r="F1418" s="17"/>
      <c r="G1418" s="17"/>
      <c r="H1418" s="64"/>
      <c r="I1418" s="64"/>
      <c r="J1418" s="64"/>
      <c r="K1418" s="64"/>
      <c r="L1418" s="43"/>
      <c r="M1418" s="17"/>
      <c r="N1418" s="17"/>
      <c r="O1418" s="43"/>
      <c r="S1418" s="89"/>
    </row>
    <row r="1419" spans="1:19" ht="15.75" customHeight="1" x14ac:dyDescent="0.3">
      <c r="A1419" s="88"/>
      <c r="D1419" s="17"/>
      <c r="E1419" s="17"/>
      <c r="F1419" s="17"/>
      <c r="G1419" s="17"/>
      <c r="H1419" s="64"/>
      <c r="I1419" s="64"/>
      <c r="J1419" s="64"/>
      <c r="K1419" s="64"/>
      <c r="L1419" s="43"/>
      <c r="M1419" s="17"/>
      <c r="N1419" s="17"/>
      <c r="O1419" s="43"/>
      <c r="S1419" s="89"/>
    </row>
    <row r="1420" spans="1:19" ht="15.75" customHeight="1" x14ac:dyDescent="0.3">
      <c r="A1420" s="88"/>
      <c r="D1420" s="17"/>
      <c r="E1420" s="17"/>
      <c r="F1420" s="17"/>
      <c r="G1420" s="17"/>
      <c r="H1420" s="64"/>
      <c r="I1420" s="64"/>
      <c r="J1420" s="64"/>
      <c r="K1420" s="64"/>
      <c r="L1420" s="43"/>
      <c r="M1420" s="17"/>
      <c r="N1420" s="17"/>
      <c r="O1420" s="43"/>
      <c r="S1420" s="89"/>
    </row>
    <row r="1421" spans="1:19" ht="15.75" customHeight="1" x14ac:dyDescent="0.3">
      <c r="A1421" s="88"/>
      <c r="D1421" s="17"/>
      <c r="E1421" s="17"/>
      <c r="F1421" s="17"/>
      <c r="G1421" s="17"/>
      <c r="H1421" s="64"/>
      <c r="I1421" s="64"/>
      <c r="J1421" s="64"/>
      <c r="K1421" s="64"/>
      <c r="L1421" s="43"/>
      <c r="M1421" s="17"/>
      <c r="N1421" s="17"/>
      <c r="O1421" s="43"/>
      <c r="S1421" s="89"/>
    </row>
    <row r="1422" spans="1:19" ht="15.75" customHeight="1" x14ac:dyDescent="0.3">
      <c r="A1422" s="88"/>
      <c r="D1422" s="17"/>
      <c r="E1422" s="17"/>
      <c r="F1422" s="17"/>
      <c r="G1422" s="17"/>
      <c r="H1422" s="64"/>
      <c r="I1422" s="64"/>
      <c r="J1422" s="64"/>
      <c r="K1422" s="64"/>
      <c r="L1422" s="43"/>
      <c r="M1422" s="17"/>
      <c r="N1422" s="17"/>
      <c r="O1422" s="43"/>
      <c r="S1422" s="89"/>
    </row>
    <row r="1423" spans="1:19" ht="15.75" customHeight="1" x14ac:dyDescent="0.3">
      <c r="A1423" s="88"/>
      <c r="D1423" s="17"/>
      <c r="E1423" s="17"/>
      <c r="F1423" s="17"/>
      <c r="G1423" s="17"/>
      <c r="H1423" s="64"/>
      <c r="I1423" s="64"/>
      <c r="J1423" s="64"/>
      <c r="K1423" s="64"/>
      <c r="L1423" s="43"/>
      <c r="M1423" s="17"/>
      <c r="N1423" s="17"/>
      <c r="O1423" s="43"/>
      <c r="S1423" s="89"/>
    </row>
    <row r="1424" spans="1:19" ht="15.75" customHeight="1" x14ac:dyDescent="0.3">
      <c r="A1424" s="88"/>
      <c r="D1424" s="17"/>
      <c r="E1424" s="17"/>
      <c r="F1424" s="17"/>
      <c r="G1424" s="17"/>
      <c r="H1424" s="64"/>
      <c r="I1424" s="64"/>
      <c r="J1424" s="64"/>
      <c r="K1424" s="64"/>
      <c r="L1424" s="43"/>
      <c r="M1424" s="17"/>
      <c r="N1424" s="17"/>
      <c r="O1424" s="43"/>
      <c r="S1424" s="89"/>
    </row>
    <row r="1425" spans="1:19" ht="15.75" customHeight="1" x14ac:dyDescent="0.3">
      <c r="A1425" s="88"/>
      <c r="D1425" s="17"/>
      <c r="E1425" s="17"/>
      <c r="F1425" s="17"/>
      <c r="G1425" s="17"/>
      <c r="H1425" s="64"/>
      <c r="I1425" s="64"/>
      <c r="J1425" s="64"/>
      <c r="K1425" s="64"/>
      <c r="L1425" s="43"/>
      <c r="M1425" s="17"/>
      <c r="N1425" s="17"/>
      <c r="O1425" s="43"/>
      <c r="S1425" s="89"/>
    </row>
    <row r="1426" spans="1:19" ht="15.75" customHeight="1" x14ac:dyDescent="0.3">
      <c r="A1426" s="88"/>
      <c r="D1426" s="17"/>
      <c r="E1426" s="17"/>
      <c r="F1426" s="17"/>
      <c r="G1426" s="17"/>
      <c r="H1426" s="64"/>
      <c r="I1426" s="64"/>
      <c r="J1426" s="64"/>
      <c r="K1426" s="64"/>
      <c r="L1426" s="43"/>
      <c r="M1426" s="17"/>
      <c r="N1426" s="17"/>
      <c r="O1426" s="43"/>
      <c r="S1426" s="89"/>
    </row>
    <row r="1427" spans="1:19" ht="15.75" customHeight="1" x14ac:dyDescent="0.3">
      <c r="A1427" s="88"/>
      <c r="D1427" s="17"/>
      <c r="E1427" s="17"/>
      <c r="F1427" s="17"/>
      <c r="G1427" s="17"/>
      <c r="H1427" s="64"/>
      <c r="I1427" s="64"/>
      <c r="J1427" s="64"/>
      <c r="K1427" s="64"/>
      <c r="L1427" s="43"/>
      <c r="M1427" s="17"/>
      <c r="N1427" s="17"/>
      <c r="O1427" s="43"/>
      <c r="S1427" s="89"/>
    </row>
    <row r="1428" spans="1:19" ht="15.75" customHeight="1" x14ac:dyDescent="0.3">
      <c r="A1428" s="88"/>
      <c r="D1428" s="17"/>
      <c r="E1428" s="17"/>
      <c r="F1428" s="17"/>
      <c r="G1428" s="17"/>
      <c r="H1428" s="64"/>
      <c r="I1428" s="64"/>
      <c r="J1428" s="64"/>
      <c r="K1428" s="64"/>
      <c r="L1428" s="43"/>
      <c r="M1428" s="17"/>
      <c r="N1428" s="17"/>
      <c r="O1428" s="43"/>
      <c r="S1428" s="89"/>
    </row>
    <row r="1429" spans="1:19" ht="15.75" customHeight="1" x14ac:dyDescent="0.3">
      <c r="A1429" s="88"/>
      <c r="D1429" s="17"/>
      <c r="E1429" s="17"/>
      <c r="F1429" s="17"/>
      <c r="G1429" s="17"/>
      <c r="H1429" s="64"/>
      <c r="I1429" s="64"/>
      <c r="J1429" s="64"/>
      <c r="K1429" s="64"/>
      <c r="L1429" s="43"/>
      <c r="M1429" s="17"/>
      <c r="N1429" s="17"/>
      <c r="O1429" s="43"/>
      <c r="S1429" s="89"/>
    </row>
    <row r="1430" spans="1:19" ht="15.75" customHeight="1" x14ac:dyDescent="0.3">
      <c r="A1430" s="88"/>
      <c r="D1430" s="17"/>
      <c r="E1430" s="17"/>
      <c r="F1430" s="17"/>
      <c r="G1430" s="17"/>
      <c r="H1430" s="64"/>
      <c r="I1430" s="64"/>
      <c r="J1430" s="64"/>
      <c r="K1430" s="64"/>
      <c r="L1430" s="43"/>
      <c r="M1430" s="17"/>
      <c r="N1430" s="17"/>
      <c r="O1430" s="43"/>
      <c r="S1430" s="89"/>
    </row>
    <row r="1431" spans="1:19" ht="15.75" customHeight="1" x14ac:dyDescent="0.3">
      <c r="A1431" s="88"/>
      <c r="D1431" s="17"/>
      <c r="E1431" s="17"/>
      <c r="F1431" s="17"/>
      <c r="G1431" s="17"/>
      <c r="H1431" s="64"/>
      <c r="I1431" s="64"/>
      <c r="J1431" s="64"/>
      <c r="K1431" s="64"/>
      <c r="L1431" s="43"/>
      <c r="M1431" s="17"/>
      <c r="N1431" s="17"/>
      <c r="O1431" s="43"/>
      <c r="S1431" s="89"/>
    </row>
    <row r="1432" spans="1:19" ht="15.75" customHeight="1" x14ac:dyDescent="0.3">
      <c r="A1432" s="88"/>
      <c r="D1432" s="17"/>
      <c r="E1432" s="17"/>
      <c r="F1432" s="17"/>
      <c r="G1432" s="17"/>
      <c r="H1432" s="64"/>
      <c r="I1432" s="64"/>
      <c r="J1432" s="64"/>
      <c r="K1432" s="64"/>
      <c r="L1432" s="43"/>
      <c r="M1432" s="17"/>
      <c r="N1432" s="17"/>
      <c r="O1432" s="43"/>
      <c r="S1432" s="89"/>
    </row>
    <row r="1433" spans="1:19" ht="15.75" customHeight="1" x14ac:dyDescent="0.3">
      <c r="A1433" s="88"/>
      <c r="D1433" s="17"/>
      <c r="E1433" s="17"/>
      <c r="F1433" s="17"/>
      <c r="G1433" s="17"/>
      <c r="H1433" s="64"/>
      <c r="I1433" s="64"/>
      <c r="J1433" s="64"/>
      <c r="K1433" s="64"/>
      <c r="L1433" s="43"/>
      <c r="M1433" s="17"/>
      <c r="N1433" s="17"/>
      <c r="O1433" s="43"/>
      <c r="S1433" s="89"/>
    </row>
    <row r="1434" spans="1:19" ht="15.75" customHeight="1" x14ac:dyDescent="0.3">
      <c r="A1434" s="88"/>
      <c r="D1434" s="17"/>
      <c r="E1434" s="17"/>
      <c r="F1434" s="17"/>
      <c r="G1434" s="17"/>
      <c r="H1434" s="64"/>
      <c r="I1434" s="64"/>
      <c r="J1434" s="64"/>
      <c r="K1434" s="64"/>
      <c r="L1434" s="43"/>
      <c r="M1434" s="17"/>
      <c r="N1434" s="17"/>
      <c r="O1434" s="43"/>
      <c r="S1434" s="89"/>
    </row>
    <row r="1435" spans="1:19" ht="15.75" customHeight="1" x14ac:dyDescent="0.3">
      <c r="A1435" s="88"/>
      <c r="D1435" s="17"/>
      <c r="E1435" s="17"/>
      <c r="F1435" s="17"/>
      <c r="G1435" s="17"/>
      <c r="H1435" s="64"/>
      <c r="I1435" s="64"/>
      <c r="J1435" s="64"/>
      <c r="K1435" s="64"/>
      <c r="L1435" s="43"/>
      <c r="M1435" s="17"/>
      <c r="N1435" s="17"/>
      <c r="O1435" s="43"/>
      <c r="S1435" s="89"/>
    </row>
    <row r="1436" spans="1:19" ht="15.75" customHeight="1" x14ac:dyDescent="0.3">
      <c r="A1436" s="88"/>
      <c r="D1436" s="17"/>
      <c r="E1436" s="17"/>
      <c r="F1436" s="17"/>
      <c r="G1436" s="17"/>
      <c r="H1436" s="64"/>
      <c r="I1436" s="64"/>
      <c r="J1436" s="64"/>
      <c r="K1436" s="64"/>
      <c r="L1436" s="43"/>
      <c r="M1436" s="17"/>
      <c r="N1436" s="17"/>
      <c r="O1436" s="43"/>
      <c r="S1436" s="89"/>
    </row>
    <row r="1437" spans="1:19" ht="15.75" customHeight="1" x14ac:dyDescent="0.3">
      <c r="A1437" s="88"/>
      <c r="D1437" s="17"/>
      <c r="E1437" s="17"/>
      <c r="F1437" s="17"/>
      <c r="G1437" s="17"/>
      <c r="H1437" s="64"/>
      <c r="I1437" s="64"/>
      <c r="J1437" s="64"/>
      <c r="K1437" s="64"/>
      <c r="L1437" s="43"/>
      <c r="M1437" s="17"/>
      <c r="N1437" s="17"/>
      <c r="O1437" s="43"/>
      <c r="S1437" s="89"/>
    </row>
    <row r="1438" spans="1:19" ht="15.75" customHeight="1" x14ac:dyDescent="0.3">
      <c r="A1438" s="88"/>
      <c r="D1438" s="17"/>
      <c r="E1438" s="17"/>
      <c r="F1438" s="17"/>
      <c r="G1438" s="17"/>
      <c r="H1438" s="64"/>
      <c r="I1438" s="64"/>
      <c r="J1438" s="64"/>
      <c r="K1438" s="64"/>
      <c r="L1438" s="43"/>
      <c r="M1438" s="17"/>
      <c r="N1438" s="17"/>
      <c r="O1438" s="43"/>
      <c r="S1438" s="89"/>
    </row>
    <row r="1439" spans="1:19" ht="15.75" customHeight="1" x14ac:dyDescent="0.3">
      <c r="A1439" s="88"/>
      <c r="D1439" s="17"/>
      <c r="E1439" s="17"/>
      <c r="F1439" s="17"/>
      <c r="G1439" s="17"/>
      <c r="H1439" s="64"/>
      <c r="I1439" s="64"/>
      <c r="J1439" s="64"/>
      <c r="K1439" s="64"/>
      <c r="L1439" s="43"/>
      <c r="M1439" s="17"/>
      <c r="N1439" s="17"/>
      <c r="O1439" s="43"/>
      <c r="S1439" s="89"/>
    </row>
    <row r="1440" spans="1:19" ht="15.75" customHeight="1" x14ac:dyDescent="0.3">
      <c r="A1440" s="88"/>
      <c r="D1440" s="17"/>
      <c r="E1440" s="17"/>
      <c r="F1440" s="17"/>
      <c r="G1440" s="17"/>
      <c r="H1440" s="64"/>
      <c r="I1440" s="64"/>
      <c r="J1440" s="64"/>
      <c r="K1440" s="64"/>
      <c r="L1440" s="43"/>
      <c r="M1440" s="17"/>
      <c r="N1440" s="17"/>
      <c r="O1440" s="43"/>
      <c r="S1440" s="89"/>
    </row>
    <row r="1441" spans="1:19" ht="15.75" customHeight="1" x14ac:dyDescent="0.3">
      <c r="A1441" s="88"/>
      <c r="D1441" s="17"/>
      <c r="E1441" s="17"/>
      <c r="F1441" s="17"/>
      <c r="G1441" s="17"/>
      <c r="H1441" s="64"/>
      <c r="I1441" s="64"/>
      <c r="J1441" s="64"/>
      <c r="K1441" s="64"/>
      <c r="L1441" s="43"/>
      <c r="M1441" s="17"/>
      <c r="N1441" s="17"/>
      <c r="O1441" s="43"/>
      <c r="S1441" s="89"/>
    </row>
    <row r="1442" spans="1:19" ht="15.75" customHeight="1" x14ac:dyDescent="0.3">
      <c r="A1442" s="88"/>
      <c r="D1442" s="17"/>
      <c r="E1442" s="17"/>
      <c r="F1442" s="17"/>
      <c r="G1442" s="17"/>
      <c r="H1442" s="64"/>
      <c r="I1442" s="64"/>
      <c r="J1442" s="64"/>
      <c r="K1442" s="64"/>
      <c r="L1442" s="43"/>
      <c r="M1442" s="17"/>
      <c r="N1442" s="17"/>
      <c r="O1442" s="43"/>
      <c r="S1442" s="89"/>
    </row>
    <row r="1443" spans="1:19" ht="15.75" customHeight="1" x14ac:dyDescent="0.3">
      <c r="A1443" s="88"/>
      <c r="D1443" s="17"/>
      <c r="E1443" s="17"/>
      <c r="F1443" s="17"/>
      <c r="G1443" s="17"/>
      <c r="H1443" s="64"/>
      <c r="I1443" s="64"/>
      <c r="J1443" s="64"/>
      <c r="K1443" s="64"/>
      <c r="L1443" s="43"/>
      <c r="M1443" s="17"/>
      <c r="N1443" s="17"/>
      <c r="O1443" s="43"/>
      <c r="S1443" s="89"/>
    </row>
    <row r="1444" spans="1:19" ht="15.75" customHeight="1" x14ac:dyDescent="0.3">
      <c r="A1444" s="88"/>
      <c r="D1444" s="17"/>
      <c r="E1444" s="17"/>
      <c r="F1444" s="17"/>
      <c r="G1444" s="17"/>
      <c r="H1444" s="64"/>
      <c r="I1444" s="64"/>
      <c r="J1444" s="64"/>
      <c r="K1444" s="64"/>
      <c r="L1444" s="43"/>
      <c r="M1444" s="17"/>
      <c r="N1444" s="17"/>
      <c r="O1444" s="43"/>
      <c r="S1444" s="89"/>
    </row>
    <row r="1445" spans="1:19" ht="15.75" customHeight="1" x14ac:dyDescent="0.3">
      <c r="A1445" s="88"/>
      <c r="D1445" s="17"/>
      <c r="E1445" s="17"/>
      <c r="F1445" s="17"/>
      <c r="G1445" s="17"/>
      <c r="H1445" s="64"/>
      <c r="I1445" s="64"/>
      <c r="J1445" s="64"/>
      <c r="K1445" s="64"/>
      <c r="L1445" s="43"/>
      <c r="M1445" s="17"/>
      <c r="N1445" s="17"/>
      <c r="O1445" s="43"/>
      <c r="S1445" s="89"/>
    </row>
    <row r="1446" spans="1:19" ht="15.75" customHeight="1" x14ac:dyDescent="0.3">
      <c r="A1446" s="88"/>
      <c r="D1446" s="17"/>
      <c r="E1446" s="17"/>
      <c r="F1446" s="17"/>
      <c r="G1446" s="17"/>
      <c r="H1446" s="64"/>
      <c r="I1446" s="64"/>
      <c r="J1446" s="64"/>
      <c r="K1446" s="64"/>
      <c r="L1446" s="43"/>
      <c r="M1446" s="17"/>
      <c r="N1446" s="17"/>
      <c r="O1446" s="43"/>
      <c r="S1446" s="89"/>
    </row>
    <row r="1447" spans="1:19" ht="15.75" customHeight="1" x14ac:dyDescent="0.3">
      <c r="A1447" s="88"/>
      <c r="D1447" s="17"/>
      <c r="E1447" s="17"/>
      <c r="F1447" s="17"/>
      <c r="G1447" s="17"/>
      <c r="H1447" s="64"/>
      <c r="I1447" s="64"/>
      <c r="J1447" s="64"/>
      <c r="K1447" s="64"/>
      <c r="L1447" s="43"/>
      <c r="M1447" s="17"/>
      <c r="N1447" s="17"/>
      <c r="O1447" s="43"/>
      <c r="S1447" s="89"/>
    </row>
    <row r="1448" spans="1:19" ht="15.75" customHeight="1" x14ac:dyDescent="0.3">
      <c r="A1448" s="88"/>
      <c r="D1448" s="17"/>
      <c r="E1448" s="17"/>
      <c r="F1448" s="17"/>
      <c r="G1448" s="17"/>
      <c r="H1448" s="64"/>
      <c r="I1448" s="64"/>
      <c r="J1448" s="64"/>
      <c r="K1448" s="64"/>
      <c r="L1448" s="43"/>
      <c r="M1448" s="17"/>
      <c r="N1448" s="17"/>
      <c r="O1448" s="43"/>
      <c r="S1448" s="89"/>
    </row>
    <row r="1449" spans="1:19" ht="15.75" customHeight="1" x14ac:dyDescent="0.3">
      <c r="A1449" s="88"/>
      <c r="D1449" s="17"/>
      <c r="E1449" s="17"/>
      <c r="F1449" s="17"/>
      <c r="G1449" s="17"/>
      <c r="H1449" s="64"/>
      <c r="I1449" s="64"/>
      <c r="J1449" s="64"/>
      <c r="K1449" s="64"/>
      <c r="L1449" s="43"/>
      <c r="M1449" s="17"/>
      <c r="N1449" s="17"/>
      <c r="O1449" s="43"/>
      <c r="S1449" s="89"/>
    </row>
    <row r="1450" spans="1:19" ht="15.75" customHeight="1" x14ac:dyDescent="0.3">
      <c r="A1450" s="88"/>
      <c r="D1450" s="17"/>
      <c r="E1450" s="17"/>
      <c r="F1450" s="17"/>
      <c r="G1450" s="17"/>
      <c r="H1450" s="64"/>
      <c r="I1450" s="64"/>
      <c r="J1450" s="64"/>
      <c r="K1450" s="64"/>
      <c r="L1450" s="43"/>
      <c r="M1450" s="17"/>
      <c r="N1450" s="17"/>
      <c r="O1450" s="43"/>
      <c r="S1450" s="89"/>
    </row>
    <row r="1451" spans="1:19" ht="15.75" customHeight="1" x14ac:dyDescent="0.3">
      <c r="A1451" s="88"/>
      <c r="D1451" s="17"/>
      <c r="E1451" s="17"/>
      <c r="F1451" s="17"/>
      <c r="G1451" s="17"/>
      <c r="H1451" s="64"/>
      <c r="I1451" s="64"/>
      <c r="J1451" s="64"/>
      <c r="K1451" s="64"/>
      <c r="L1451" s="43"/>
      <c r="M1451" s="17"/>
      <c r="N1451" s="17"/>
      <c r="O1451" s="43"/>
      <c r="S1451" s="89"/>
    </row>
    <row r="1452" spans="1:19" ht="15.75" customHeight="1" x14ac:dyDescent="0.3">
      <c r="A1452" s="88"/>
      <c r="D1452" s="17"/>
      <c r="E1452" s="17"/>
      <c r="F1452" s="17"/>
      <c r="G1452" s="17"/>
      <c r="H1452" s="64"/>
      <c r="I1452" s="64"/>
      <c r="J1452" s="64"/>
      <c r="K1452" s="64"/>
      <c r="L1452" s="43"/>
      <c r="M1452" s="17"/>
      <c r="N1452" s="17"/>
      <c r="O1452" s="43"/>
      <c r="S1452" s="89"/>
    </row>
    <row r="1453" spans="1:19" ht="15.75" customHeight="1" x14ac:dyDescent="0.3">
      <c r="A1453" s="88"/>
      <c r="D1453" s="17"/>
      <c r="E1453" s="17"/>
      <c r="F1453" s="17"/>
      <c r="G1453" s="17"/>
      <c r="H1453" s="64"/>
      <c r="I1453" s="64"/>
      <c r="J1453" s="64"/>
      <c r="K1453" s="64"/>
      <c r="L1453" s="43"/>
      <c r="M1453" s="17"/>
      <c r="N1453" s="17"/>
      <c r="O1453" s="43"/>
      <c r="S1453" s="89"/>
    </row>
    <row r="1454" spans="1:19" ht="15.75" customHeight="1" x14ac:dyDescent="0.3">
      <c r="A1454" s="88"/>
      <c r="D1454" s="17"/>
      <c r="E1454" s="17"/>
      <c r="F1454" s="17"/>
      <c r="G1454" s="17"/>
      <c r="H1454" s="64"/>
      <c r="I1454" s="64"/>
      <c r="J1454" s="64"/>
      <c r="K1454" s="64"/>
      <c r="L1454" s="43"/>
      <c r="M1454" s="17"/>
      <c r="N1454" s="17"/>
      <c r="O1454" s="43"/>
      <c r="S1454" s="89"/>
    </row>
    <row r="1455" spans="1:19" ht="15.75" customHeight="1" x14ac:dyDescent="0.3">
      <c r="A1455" s="88"/>
      <c r="D1455" s="17"/>
      <c r="E1455" s="17"/>
      <c r="F1455" s="17"/>
      <c r="G1455" s="17"/>
      <c r="H1455" s="64"/>
      <c r="I1455" s="64"/>
      <c r="J1455" s="64"/>
      <c r="K1455" s="64"/>
      <c r="L1455" s="43"/>
      <c r="M1455" s="17"/>
      <c r="N1455" s="17"/>
      <c r="O1455" s="43"/>
      <c r="S1455" s="89"/>
    </row>
    <row r="1456" spans="1:19" ht="15.75" customHeight="1" x14ac:dyDescent="0.3">
      <c r="A1456" s="88"/>
      <c r="D1456" s="17"/>
      <c r="E1456" s="17"/>
      <c r="F1456" s="17"/>
      <c r="G1456" s="17"/>
      <c r="H1456" s="64"/>
      <c r="I1456" s="64"/>
      <c r="J1456" s="64"/>
      <c r="K1456" s="64"/>
      <c r="L1456" s="43"/>
      <c r="M1456" s="17"/>
      <c r="N1456" s="17"/>
      <c r="O1456" s="43"/>
      <c r="S1456" s="89"/>
    </row>
    <row r="1457" spans="1:19" ht="15.75" customHeight="1" x14ac:dyDescent="0.3">
      <c r="A1457" s="88"/>
      <c r="D1457" s="17"/>
      <c r="E1457" s="17"/>
      <c r="F1457" s="17"/>
      <c r="G1457" s="17"/>
      <c r="H1457" s="64"/>
      <c r="I1457" s="64"/>
      <c r="J1457" s="64"/>
      <c r="K1457" s="64"/>
      <c r="L1457" s="43"/>
      <c r="M1457" s="17"/>
      <c r="N1457" s="17"/>
      <c r="O1457" s="43"/>
      <c r="S1457" s="89"/>
    </row>
    <row r="1458" spans="1:19" ht="15.75" customHeight="1" x14ac:dyDescent="0.3">
      <c r="A1458" s="88"/>
      <c r="D1458" s="17"/>
      <c r="E1458" s="17"/>
      <c r="F1458" s="17"/>
      <c r="G1458" s="17"/>
      <c r="H1458" s="64"/>
      <c r="I1458" s="64"/>
      <c r="J1458" s="64"/>
      <c r="K1458" s="64"/>
      <c r="L1458" s="43"/>
      <c r="M1458" s="17"/>
      <c r="N1458" s="17"/>
      <c r="O1458" s="43"/>
      <c r="S1458" s="89"/>
    </row>
    <row r="1459" spans="1:19" ht="15.75" customHeight="1" x14ac:dyDescent="0.3">
      <c r="A1459" s="88"/>
      <c r="D1459" s="17"/>
      <c r="E1459" s="17"/>
      <c r="F1459" s="17"/>
      <c r="G1459" s="17"/>
      <c r="H1459" s="64"/>
      <c r="I1459" s="64"/>
      <c r="J1459" s="64"/>
      <c r="K1459" s="64"/>
      <c r="L1459" s="43"/>
      <c r="M1459" s="17"/>
      <c r="N1459" s="17"/>
      <c r="O1459" s="43"/>
      <c r="S1459" s="89"/>
    </row>
    <row r="1460" spans="1:19" ht="15.75" customHeight="1" x14ac:dyDescent="0.3">
      <c r="A1460" s="88"/>
      <c r="D1460" s="17"/>
      <c r="E1460" s="17"/>
      <c r="F1460" s="17"/>
      <c r="G1460" s="17"/>
      <c r="H1460" s="64"/>
      <c r="I1460" s="64"/>
      <c r="J1460" s="64"/>
      <c r="K1460" s="64"/>
      <c r="L1460" s="43"/>
      <c r="M1460" s="17"/>
      <c r="N1460" s="17"/>
      <c r="O1460" s="43"/>
      <c r="S1460" s="89"/>
    </row>
    <row r="1461" spans="1:19" ht="15.75" customHeight="1" x14ac:dyDescent="0.3">
      <c r="A1461" s="88"/>
      <c r="D1461" s="17"/>
      <c r="E1461" s="17"/>
      <c r="F1461" s="17"/>
      <c r="G1461" s="17"/>
      <c r="H1461" s="64"/>
      <c r="I1461" s="64"/>
      <c r="J1461" s="64"/>
      <c r="K1461" s="64"/>
      <c r="L1461" s="43"/>
      <c r="M1461" s="17"/>
      <c r="N1461" s="17"/>
      <c r="O1461" s="43"/>
      <c r="S1461" s="89"/>
    </row>
    <row r="1462" spans="1:19" ht="15.75" customHeight="1" x14ac:dyDescent="0.3">
      <c r="A1462" s="88"/>
      <c r="D1462" s="17"/>
      <c r="E1462" s="17"/>
      <c r="F1462" s="17"/>
      <c r="G1462" s="17"/>
      <c r="H1462" s="64"/>
      <c r="I1462" s="64"/>
      <c r="J1462" s="64"/>
      <c r="K1462" s="64"/>
      <c r="L1462" s="43"/>
      <c r="M1462" s="17"/>
      <c r="N1462" s="17"/>
      <c r="O1462" s="43"/>
      <c r="S1462" s="89"/>
    </row>
    <row r="1463" spans="1:19" ht="15.75" customHeight="1" x14ac:dyDescent="0.3">
      <c r="A1463" s="88"/>
      <c r="D1463" s="17"/>
      <c r="E1463" s="17"/>
      <c r="F1463" s="17"/>
      <c r="G1463" s="17"/>
      <c r="H1463" s="64"/>
      <c r="I1463" s="64"/>
      <c r="J1463" s="64"/>
      <c r="K1463" s="64"/>
      <c r="L1463" s="43"/>
      <c r="M1463" s="17"/>
      <c r="N1463" s="17"/>
      <c r="O1463" s="43"/>
      <c r="S1463" s="89"/>
    </row>
    <row r="1464" spans="1:19" ht="15.75" customHeight="1" x14ac:dyDescent="0.3">
      <c r="A1464" s="88"/>
      <c r="D1464" s="17"/>
      <c r="E1464" s="17"/>
      <c r="F1464" s="17"/>
      <c r="G1464" s="17"/>
      <c r="H1464" s="64"/>
      <c r="I1464" s="64"/>
      <c r="J1464" s="64"/>
      <c r="K1464" s="64"/>
      <c r="L1464" s="43"/>
      <c r="M1464" s="17"/>
      <c r="N1464" s="17"/>
      <c r="O1464" s="43"/>
      <c r="S1464" s="89"/>
    </row>
    <row r="1465" spans="1:19" ht="15.75" customHeight="1" x14ac:dyDescent="0.3">
      <c r="A1465" s="88"/>
      <c r="D1465" s="17"/>
      <c r="E1465" s="17"/>
      <c r="F1465" s="17"/>
      <c r="G1465" s="17"/>
      <c r="H1465" s="64"/>
      <c r="I1465" s="64"/>
      <c r="J1465" s="64"/>
      <c r="K1465" s="64"/>
      <c r="L1465" s="43"/>
      <c r="M1465" s="17"/>
      <c r="N1465" s="17"/>
      <c r="O1465" s="43"/>
      <c r="S1465" s="89"/>
    </row>
    <row r="1466" spans="1:19" ht="15.75" customHeight="1" x14ac:dyDescent="0.3">
      <c r="A1466" s="88"/>
      <c r="D1466" s="17"/>
      <c r="E1466" s="17"/>
      <c r="F1466" s="17"/>
      <c r="G1466" s="17"/>
      <c r="H1466" s="64"/>
      <c r="I1466" s="64"/>
      <c r="J1466" s="64"/>
      <c r="K1466" s="64"/>
      <c r="L1466" s="43"/>
      <c r="M1466" s="17"/>
      <c r="N1466" s="17"/>
      <c r="O1466" s="43"/>
      <c r="S1466" s="89"/>
    </row>
    <row r="1467" spans="1:19" ht="15.75" customHeight="1" x14ac:dyDescent="0.3">
      <c r="A1467" s="88"/>
      <c r="D1467" s="17"/>
      <c r="E1467" s="17"/>
      <c r="F1467" s="17"/>
      <c r="G1467" s="17"/>
      <c r="H1467" s="64"/>
      <c r="I1467" s="64"/>
      <c r="J1467" s="64"/>
      <c r="K1467" s="64"/>
      <c r="L1467" s="43"/>
      <c r="M1467" s="17"/>
      <c r="N1467" s="17"/>
      <c r="O1467" s="43"/>
      <c r="S1467" s="89"/>
    </row>
    <row r="1468" spans="1:19" ht="15.75" customHeight="1" x14ac:dyDescent="0.3">
      <c r="A1468" s="88"/>
      <c r="D1468" s="17"/>
      <c r="E1468" s="17"/>
      <c r="F1468" s="17"/>
      <c r="G1468" s="17"/>
      <c r="H1468" s="64"/>
      <c r="I1468" s="64"/>
      <c r="J1468" s="64"/>
      <c r="K1468" s="64"/>
      <c r="L1468" s="43"/>
      <c r="M1468" s="17"/>
      <c r="N1468" s="17"/>
      <c r="O1468" s="43"/>
      <c r="S1468" s="89"/>
    </row>
    <row r="1469" spans="1:19" ht="15.75" customHeight="1" x14ac:dyDescent="0.3">
      <c r="A1469" s="88"/>
      <c r="D1469" s="17"/>
      <c r="E1469" s="17"/>
      <c r="F1469" s="17"/>
      <c r="G1469" s="17"/>
      <c r="H1469" s="64"/>
      <c r="I1469" s="64"/>
      <c r="J1469" s="64"/>
      <c r="K1469" s="64"/>
      <c r="L1469" s="43"/>
      <c r="M1469" s="17"/>
      <c r="N1469" s="17"/>
      <c r="O1469" s="43"/>
      <c r="S1469" s="89"/>
    </row>
    <row r="1470" spans="1:19" ht="15.75" customHeight="1" x14ac:dyDescent="0.3">
      <c r="A1470" s="88"/>
      <c r="D1470" s="17"/>
      <c r="E1470" s="17"/>
      <c r="F1470" s="17"/>
      <c r="G1470" s="17"/>
      <c r="H1470" s="64"/>
      <c r="I1470" s="64"/>
      <c r="J1470" s="64"/>
      <c r="K1470" s="64"/>
      <c r="L1470" s="43"/>
      <c r="M1470" s="17"/>
      <c r="N1470" s="17"/>
      <c r="O1470" s="43"/>
      <c r="S1470" s="89"/>
    </row>
    <row r="1471" spans="1:19" ht="15.75" customHeight="1" x14ac:dyDescent="0.3">
      <c r="A1471" s="88"/>
      <c r="D1471" s="17"/>
      <c r="E1471" s="17"/>
      <c r="F1471" s="17"/>
      <c r="G1471" s="17"/>
      <c r="H1471" s="64"/>
      <c r="I1471" s="64"/>
      <c r="J1471" s="64"/>
      <c r="K1471" s="64"/>
      <c r="L1471" s="43"/>
      <c r="M1471" s="17"/>
      <c r="N1471" s="17"/>
      <c r="O1471" s="43"/>
      <c r="S1471" s="89"/>
    </row>
    <row r="1472" spans="1:19" ht="15.75" customHeight="1" x14ac:dyDescent="0.3">
      <c r="A1472" s="88"/>
      <c r="D1472" s="17"/>
      <c r="E1472" s="17"/>
      <c r="F1472" s="17"/>
      <c r="G1472" s="17"/>
      <c r="H1472" s="64"/>
      <c r="I1472" s="64"/>
      <c r="J1472" s="64"/>
      <c r="K1472" s="64"/>
      <c r="L1472" s="43"/>
      <c r="M1472" s="17"/>
      <c r="N1472" s="17"/>
      <c r="O1472" s="43"/>
      <c r="S1472" s="89"/>
    </row>
    <row r="1473" spans="1:19" ht="15.75" customHeight="1" x14ac:dyDescent="0.3">
      <c r="A1473" s="88"/>
      <c r="D1473" s="17"/>
      <c r="E1473" s="17"/>
      <c r="F1473" s="17"/>
      <c r="G1473" s="17"/>
      <c r="H1473" s="64"/>
      <c r="I1473" s="64"/>
      <c r="J1473" s="64"/>
      <c r="K1473" s="64"/>
      <c r="L1473" s="43"/>
      <c r="M1473" s="17"/>
      <c r="N1473" s="17"/>
      <c r="O1473" s="43"/>
      <c r="S1473" s="89"/>
    </row>
    <row r="1474" spans="1:19" ht="15.75" customHeight="1" x14ac:dyDescent="0.3">
      <c r="A1474" s="88"/>
      <c r="D1474" s="17"/>
      <c r="E1474" s="17"/>
      <c r="F1474" s="17"/>
      <c r="G1474" s="17"/>
      <c r="H1474" s="64"/>
      <c r="I1474" s="64"/>
      <c r="J1474" s="64"/>
      <c r="K1474" s="64"/>
      <c r="L1474" s="43"/>
      <c r="M1474" s="17"/>
      <c r="N1474" s="17"/>
      <c r="O1474" s="43"/>
      <c r="S1474" s="89"/>
    </row>
    <row r="1475" spans="1:19" ht="15.75" customHeight="1" x14ac:dyDescent="0.3">
      <c r="A1475" s="88"/>
      <c r="D1475" s="17"/>
      <c r="E1475" s="17"/>
      <c r="F1475" s="17"/>
      <c r="G1475" s="17"/>
      <c r="H1475" s="64"/>
      <c r="I1475" s="64"/>
      <c r="J1475" s="64"/>
      <c r="K1475" s="64"/>
      <c r="L1475" s="43"/>
      <c r="M1475" s="17"/>
      <c r="N1475" s="17"/>
      <c r="O1475" s="43"/>
      <c r="S1475" s="89"/>
    </row>
    <row r="1476" spans="1:19" ht="15.75" customHeight="1" x14ac:dyDescent="0.3">
      <c r="A1476" s="88"/>
      <c r="D1476" s="17"/>
      <c r="E1476" s="17"/>
      <c r="F1476" s="17"/>
      <c r="G1476" s="17"/>
      <c r="H1476" s="64"/>
      <c r="I1476" s="64"/>
      <c r="J1476" s="64"/>
      <c r="K1476" s="64"/>
      <c r="L1476" s="43"/>
      <c r="M1476" s="17"/>
      <c r="N1476" s="17"/>
      <c r="O1476" s="43"/>
      <c r="S1476" s="89"/>
    </row>
    <row r="1477" spans="1:19" ht="15.75" customHeight="1" x14ac:dyDescent="0.3">
      <c r="A1477" s="88"/>
      <c r="D1477" s="17"/>
      <c r="E1477" s="17"/>
      <c r="F1477" s="17"/>
      <c r="G1477" s="17"/>
      <c r="H1477" s="64"/>
      <c r="I1477" s="64"/>
      <c r="J1477" s="64"/>
      <c r="K1477" s="64"/>
      <c r="L1477" s="43"/>
      <c r="M1477" s="17"/>
      <c r="N1477" s="17"/>
      <c r="O1477" s="43"/>
      <c r="S1477" s="89"/>
    </row>
    <row r="1478" spans="1:19" ht="15.75" customHeight="1" x14ac:dyDescent="0.3">
      <c r="A1478" s="88"/>
      <c r="D1478" s="17"/>
      <c r="E1478" s="17"/>
      <c r="F1478" s="17"/>
      <c r="G1478" s="17"/>
      <c r="H1478" s="64"/>
      <c r="I1478" s="64"/>
      <c r="J1478" s="64"/>
      <c r="K1478" s="64"/>
      <c r="L1478" s="43"/>
      <c r="M1478" s="17"/>
      <c r="N1478" s="17"/>
      <c r="O1478" s="43"/>
      <c r="S1478" s="89"/>
    </row>
    <row r="1479" spans="1:19" ht="15.75" customHeight="1" x14ac:dyDescent="0.3">
      <c r="A1479" s="88"/>
      <c r="D1479" s="17"/>
      <c r="E1479" s="17"/>
      <c r="F1479" s="17"/>
      <c r="G1479" s="17"/>
      <c r="H1479" s="64"/>
      <c r="I1479" s="64"/>
      <c r="J1479" s="64"/>
      <c r="K1479" s="64"/>
      <c r="L1479" s="43"/>
      <c r="M1479" s="17"/>
      <c r="N1479" s="17"/>
      <c r="O1479" s="43"/>
      <c r="S1479" s="89"/>
    </row>
    <row r="1480" spans="1:19" ht="15.75" customHeight="1" x14ac:dyDescent="0.3">
      <c r="A1480" s="88"/>
      <c r="D1480" s="17"/>
      <c r="E1480" s="17"/>
      <c r="F1480" s="17"/>
      <c r="G1480" s="17"/>
      <c r="H1480" s="64"/>
      <c r="I1480" s="64"/>
      <c r="J1480" s="64"/>
      <c r="K1480" s="64"/>
      <c r="L1480" s="43"/>
      <c r="M1480" s="17"/>
      <c r="N1480" s="17"/>
      <c r="O1480" s="43"/>
      <c r="S1480" s="89"/>
    </row>
    <row r="1481" spans="1:19" ht="15.75" customHeight="1" x14ac:dyDescent="0.3">
      <c r="A1481" s="88"/>
      <c r="D1481" s="17"/>
      <c r="E1481" s="17"/>
      <c r="F1481" s="17"/>
      <c r="G1481" s="17"/>
      <c r="H1481" s="64"/>
      <c r="I1481" s="64"/>
      <c r="J1481" s="64"/>
      <c r="K1481" s="64"/>
      <c r="L1481" s="43"/>
      <c r="M1481" s="17"/>
      <c r="N1481" s="17"/>
      <c r="O1481" s="43"/>
      <c r="S1481" s="89"/>
    </row>
    <row r="1482" spans="1:19" ht="15.75" customHeight="1" x14ac:dyDescent="0.3">
      <c r="A1482" s="88"/>
      <c r="D1482" s="17"/>
      <c r="E1482" s="17"/>
      <c r="F1482" s="17"/>
      <c r="G1482" s="17"/>
      <c r="H1482" s="64"/>
      <c r="I1482" s="64"/>
      <c r="J1482" s="64"/>
      <c r="K1482" s="64"/>
      <c r="L1482" s="43"/>
      <c r="M1482" s="17"/>
      <c r="N1482" s="17"/>
      <c r="O1482" s="43"/>
      <c r="S1482" s="89"/>
    </row>
    <row r="1483" spans="1:19" ht="15.75" customHeight="1" x14ac:dyDescent="0.3">
      <c r="A1483" s="88"/>
      <c r="D1483" s="17"/>
      <c r="E1483" s="17"/>
      <c r="F1483" s="17"/>
      <c r="G1483" s="17"/>
      <c r="H1483" s="64"/>
      <c r="I1483" s="64"/>
      <c r="J1483" s="64"/>
      <c r="K1483" s="64"/>
      <c r="L1483" s="43"/>
      <c r="M1483" s="17"/>
      <c r="N1483" s="17"/>
      <c r="O1483" s="43"/>
      <c r="S1483" s="89"/>
    </row>
    <row r="1484" spans="1:19" ht="15.75" customHeight="1" x14ac:dyDescent="0.3">
      <c r="A1484" s="88"/>
      <c r="D1484" s="17"/>
      <c r="E1484" s="17"/>
      <c r="F1484" s="17"/>
      <c r="G1484" s="17"/>
      <c r="H1484" s="64"/>
      <c r="I1484" s="64"/>
      <c r="J1484" s="64"/>
      <c r="K1484" s="64"/>
      <c r="L1484" s="43"/>
      <c r="M1484" s="17"/>
      <c r="N1484" s="17"/>
      <c r="O1484" s="43"/>
      <c r="S1484" s="89"/>
    </row>
    <row r="1485" spans="1:19" ht="15.75" customHeight="1" x14ac:dyDescent="0.3">
      <c r="A1485" s="88"/>
      <c r="D1485" s="17"/>
      <c r="E1485" s="17"/>
      <c r="F1485" s="17"/>
      <c r="G1485" s="17"/>
      <c r="H1485" s="64"/>
      <c r="I1485" s="64"/>
      <c r="J1485" s="64"/>
      <c r="K1485" s="64"/>
      <c r="L1485" s="43"/>
      <c r="M1485" s="17"/>
      <c r="N1485" s="17"/>
      <c r="O1485" s="43"/>
      <c r="S1485" s="89"/>
    </row>
    <row r="1486" spans="1:19" ht="15.75" customHeight="1" x14ac:dyDescent="0.3">
      <c r="A1486" s="88"/>
      <c r="D1486" s="17"/>
      <c r="E1486" s="17"/>
      <c r="F1486" s="17"/>
      <c r="G1486" s="17"/>
      <c r="H1486" s="64"/>
      <c r="I1486" s="64"/>
      <c r="J1486" s="64"/>
      <c r="K1486" s="64"/>
      <c r="L1486" s="43"/>
      <c r="M1486" s="17"/>
      <c r="N1486" s="17"/>
      <c r="O1486" s="43"/>
      <c r="S1486" s="89"/>
    </row>
    <row r="1487" spans="1:19" ht="15.75" customHeight="1" x14ac:dyDescent="0.3">
      <c r="A1487" s="88"/>
      <c r="D1487" s="17"/>
      <c r="E1487" s="17"/>
      <c r="F1487" s="17"/>
      <c r="G1487" s="17"/>
      <c r="H1487" s="64"/>
      <c r="I1487" s="64"/>
      <c r="J1487" s="64"/>
      <c r="K1487" s="64"/>
      <c r="L1487" s="43"/>
      <c r="M1487" s="17"/>
      <c r="N1487" s="17"/>
      <c r="O1487" s="43"/>
      <c r="S1487" s="89"/>
    </row>
    <row r="1488" spans="1:19" ht="15.75" customHeight="1" x14ac:dyDescent="0.3">
      <c r="A1488" s="88"/>
      <c r="D1488" s="17"/>
      <c r="E1488" s="17"/>
      <c r="F1488" s="17"/>
      <c r="G1488" s="17"/>
      <c r="H1488" s="64"/>
      <c r="I1488" s="64"/>
      <c r="J1488" s="64"/>
      <c r="K1488" s="64"/>
      <c r="L1488" s="43"/>
      <c r="M1488" s="17"/>
      <c r="N1488" s="17"/>
      <c r="O1488" s="43"/>
      <c r="S1488" s="89"/>
    </row>
    <row r="1489" spans="1:19" ht="15.75" customHeight="1" x14ac:dyDescent="0.3">
      <c r="A1489" s="88"/>
      <c r="D1489" s="17"/>
      <c r="E1489" s="17"/>
      <c r="F1489" s="17"/>
      <c r="G1489" s="17"/>
      <c r="H1489" s="64"/>
      <c r="I1489" s="64"/>
      <c r="J1489" s="64"/>
      <c r="K1489" s="64"/>
      <c r="L1489" s="43"/>
      <c r="M1489" s="17"/>
      <c r="N1489" s="17"/>
      <c r="O1489" s="43"/>
      <c r="S1489" s="89"/>
    </row>
    <row r="1490" spans="1:19" ht="15.75" customHeight="1" x14ac:dyDescent="0.3">
      <c r="A1490" s="88"/>
      <c r="D1490" s="17"/>
      <c r="E1490" s="17"/>
      <c r="F1490" s="17"/>
      <c r="G1490" s="17"/>
      <c r="H1490" s="64"/>
      <c r="I1490" s="64"/>
      <c r="J1490" s="64"/>
      <c r="K1490" s="64"/>
      <c r="L1490" s="43"/>
      <c r="M1490" s="17"/>
      <c r="N1490" s="17"/>
      <c r="O1490" s="43"/>
      <c r="S1490" s="89"/>
    </row>
    <row r="1491" spans="1:19" ht="15.75" customHeight="1" x14ac:dyDescent="0.3">
      <c r="A1491" s="88"/>
      <c r="D1491" s="17"/>
      <c r="E1491" s="17"/>
      <c r="F1491" s="17"/>
      <c r="G1491" s="17"/>
      <c r="H1491" s="64"/>
      <c r="I1491" s="64"/>
      <c r="J1491" s="64"/>
      <c r="K1491" s="64"/>
      <c r="L1491" s="43"/>
      <c r="M1491" s="17"/>
      <c r="N1491" s="17"/>
      <c r="O1491" s="43"/>
      <c r="S1491" s="89"/>
    </row>
    <row r="1492" spans="1:19" ht="15.75" customHeight="1" x14ac:dyDescent="0.3">
      <c r="A1492" s="88"/>
      <c r="D1492" s="17"/>
      <c r="E1492" s="17"/>
      <c r="F1492" s="17"/>
      <c r="G1492" s="17"/>
      <c r="H1492" s="64"/>
      <c r="I1492" s="64"/>
      <c r="J1492" s="64"/>
      <c r="K1492" s="64"/>
      <c r="L1492" s="43"/>
      <c r="M1492" s="17"/>
      <c r="N1492" s="17"/>
      <c r="O1492" s="43"/>
      <c r="S1492" s="89"/>
    </row>
    <row r="1493" spans="1:19" ht="15.75" customHeight="1" x14ac:dyDescent="0.3">
      <c r="A1493" s="88"/>
      <c r="D1493" s="17"/>
      <c r="E1493" s="17"/>
      <c r="F1493" s="17"/>
      <c r="G1493" s="17"/>
      <c r="H1493" s="64"/>
      <c r="I1493" s="64"/>
      <c r="J1493" s="64"/>
      <c r="K1493" s="64"/>
      <c r="L1493" s="43"/>
      <c r="M1493" s="17"/>
      <c r="N1493" s="17"/>
      <c r="O1493" s="43"/>
      <c r="S1493" s="89"/>
    </row>
    <row r="1494" spans="1:19" ht="15.75" customHeight="1" x14ac:dyDescent="0.3">
      <c r="A1494" s="88"/>
      <c r="D1494" s="17"/>
      <c r="E1494" s="17"/>
      <c r="F1494" s="17"/>
      <c r="G1494" s="17"/>
      <c r="H1494" s="64"/>
      <c r="I1494" s="64"/>
      <c r="J1494" s="64"/>
      <c r="K1494" s="64"/>
      <c r="L1494" s="43"/>
      <c r="M1494" s="17"/>
      <c r="N1494" s="17"/>
      <c r="O1494" s="43"/>
      <c r="S1494" s="89"/>
    </row>
    <row r="1495" spans="1:19" ht="15.75" customHeight="1" x14ac:dyDescent="0.3">
      <c r="A1495" s="88"/>
      <c r="D1495" s="17"/>
      <c r="E1495" s="17"/>
      <c r="F1495" s="17"/>
      <c r="G1495" s="17"/>
      <c r="H1495" s="64"/>
      <c r="I1495" s="64"/>
      <c r="J1495" s="64"/>
      <c r="K1495" s="64"/>
      <c r="L1495" s="43"/>
      <c r="M1495" s="17"/>
      <c r="N1495" s="17"/>
      <c r="O1495" s="43"/>
      <c r="S1495" s="89"/>
    </row>
    <row r="1496" spans="1:19" ht="15.75" customHeight="1" x14ac:dyDescent="0.3">
      <c r="A1496" s="88"/>
      <c r="D1496" s="17"/>
      <c r="E1496" s="17"/>
      <c r="F1496" s="17"/>
      <c r="G1496" s="17"/>
      <c r="H1496" s="64"/>
      <c r="I1496" s="64"/>
      <c r="J1496" s="64"/>
      <c r="K1496" s="64"/>
      <c r="L1496" s="43"/>
      <c r="M1496" s="17"/>
      <c r="N1496" s="17"/>
      <c r="O1496" s="43"/>
      <c r="S1496" s="89"/>
    </row>
    <row r="1497" spans="1:19" ht="15.75" customHeight="1" x14ac:dyDescent="0.3">
      <c r="A1497" s="88"/>
      <c r="D1497" s="17"/>
      <c r="E1497" s="17"/>
      <c r="F1497" s="17"/>
      <c r="G1497" s="17"/>
      <c r="H1497" s="64"/>
      <c r="I1497" s="64"/>
      <c r="J1497" s="64"/>
      <c r="K1497" s="64"/>
      <c r="L1497" s="43"/>
      <c r="M1497" s="17"/>
      <c r="N1497" s="17"/>
      <c r="O1497" s="43"/>
      <c r="S1497" s="89"/>
    </row>
    <row r="1498" spans="1:19" ht="15.75" customHeight="1" x14ac:dyDescent="0.3">
      <c r="A1498" s="88"/>
      <c r="D1498" s="17"/>
      <c r="E1498" s="17"/>
      <c r="F1498" s="17"/>
      <c r="G1498" s="17"/>
      <c r="H1498" s="64"/>
      <c r="I1498" s="64"/>
      <c r="J1498" s="64"/>
      <c r="K1498" s="64"/>
      <c r="L1498" s="43"/>
      <c r="M1498" s="17"/>
      <c r="N1498" s="17"/>
      <c r="O1498" s="43"/>
      <c r="S1498" s="89"/>
    </row>
    <row r="1499" spans="1:19" ht="15.75" customHeight="1" x14ac:dyDescent="0.3">
      <c r="A1499" s="88"/>
      <c r="D1499" s="17"/>
      <c r="E1499" s="17"/>
      <c r="F1499" s="17"/>
      <c r="G1499" s="17"/>
      <c r="H1499" s="64"/>
      <c r="I1499" s="64"/>
      <c r="J1499" s="64"/>
      <c r="K1499" s="64"/>
      <c r="L1499" s="43"/>
      <c r="M1499" s="17"/>
      <c r="N1499" s="17"/>
      <c r="O1499" s="43"/>
      <c r="S1499" s="89"/>
    </row>
    <row r="1500" spans="1:19" ht="15.75" customHeight="1" x14ac:dyDescent="0.3">
      <c r="A1500" s="88"/>
      <c r="D1500" s="17"/>
      <c r="E1500" s="17"/>
      <c r="F1500" s="17"/>
      <c r="G1500" s="17"/>
      <c r="H1500" s="64"/>
      <c r="I1500" s="64"/>
      <c r="J1500" s="64"/>
      <c r="K1500" s="64"/>
      <c r="L1500" s="43"/>
      <c r="M1500" s="17"/>
      <c r="N1500" s="17"/>
      <c r="O1500" s="43"/>
      <c r="S1500" s="89"/>
    </row>
    <row r="1501" spans="1:19" ht="15.75" customHeight="1" x14ac:dyDescent="0.3">
      <c r="A1501" s="88"/>
      <c r="D1501" s="17"/>
      <c r="E1501" s="17"/>
      <c r="F1501" s="17"/>
      <c r="G1501" s="17"/>
      <c r="H1501" s="64"/>
      <c r="I1501" s="64"/>
      <c r="J1501" s="64"/>
      <c r="K1501" s="64"/>
      <c r="L1501" s="43"/>
      <c r="M1501" s="17"/>
      <c r="N1501" s="17"/>
      <c r="O1501" s="43"/>
      <c r="S1501" s="89"/>
    </row>
    <row r="1502" spans="1:19" ht="15.75" customHeight="1" x14ac:dyDescent="0.3">
      <c r="A1502" s="88"/>
      <c r="D1502" s="17"/>
      <c r="E1502" s="17"/>
      <c r="F1502" s="17"/>
      <c r="G1502" s="17"/>
      <c r="H1502" s="64"/>
      <c r="I1502" s="64"/>
      <c r="J1502" s="64"/>
      <c r="K1502" s="64"/>
      <c r="L1502" s="43"/>
      <c r="M1502" s="17"/>
      <c r="N1502" s="17"/>
      <c r="O1502" s="43"/>
      <c r="S1502" s="89"/>
    </row>
    <row r="1503" spans="1:19" ht="15.75" customHeight="1" x14ac:dyDescent="0.3">
      <c r="A1503" s="88"/>
      <c r="D1503" s="17"/>
      <c r="E1503" s="17"/>
      <c r="F1503" s="17"/>
      <c r="G1503" s="17"/>
      <c r="H1503" s="64"/>
      <c r="I1503" s="64"/>
      <c r="J1503" s="64"/>
      <c r="K1503" s="64"/>
      <c r="L1503" s="43"/>
      <c r="M1503" s="17"/>
      <c r="N1503" s="17"/>
      <c r="O1503" s="43"/>
      <c r="S1503" s="89"/>
    </row>
    <row r="1504" spans="1:19" ht="15.75" customHeight="1" x14ac:dyDescent="0.3">
      <c r="A1504" s="88"/>
      <c r="D1504" s="17"/>
      <c r="E1504" s="17"/>
      <c r="F1504" s="17"/>
      <c r="G1504" s="17"/>
      <c r="H1504" s="64"/>
      <c r="I1504" s="64"/>
      <c r="J1504" s="64"/>
      <c r="K1504" s="64"/>
      <c r="L1504" s="43"/>
      <c r="M1504" s="17"/>
      <c r="N1504" s="17"/>
      <c r="O1504" s="43"/>
      <c r="S1504" s="89"/>
    </row>
    <row r="1505" spans="1:19" ht="15.75" customHeight="1" x14ac:dyDescent="0.3">
      <c r="A1505" s="88"/>
      <c r="D1505" s="17"/>
      <c r="E1505" s="17"/>
      <c r="F1505" s="17"/>
      <c r="G1505" s="17"/>
      <c r="H1505" s="64"/>
      <c r="I1505" s="64"/>
      <c r="J1505" s="64"/>
      <c r="K1505" s="64"/>
      <c r="L1505" s="43"/>
      <c r="M1505" s="17"/>
      <c r="N1505" s="17"/>
      <c r="O1505" s="43"/>
      <c r="S1505" s="89"/>
    </row>
    <row r="1506" spans="1:19" ht="15.75" customHeight="1" x14ac:dyDescent="0.3">
      <c r="A1506" s="88"/>
      <c r="D1506" s="17"/>
      <c r="E1506" s="17"/>
      <c r="F1506" s="17"/>
      <c r="G1506" s="17"/>
      <c r="H1506" s="64"/>
      <c r="I1506" s="64"/>
      <c r="J1506" s="64"/>
      <c r="K1506" s="64"/>
      <c r="L1506" s="43"/>
      <c r="M1506" s="17"/>
      <c r="N1506" s="17"/>
      <c r="O1506" s="43"/>
      <c r="S1506" s="89"/>
    </row>
    <row r="1507" spans="1:19" ht="15.75" customHeight="1" x14ac:dyDescent="0.3">
      <c r="A1507" s="88"/>
      <c r="D1507" s="17"/>
      <c r="E1507" s="17"/>
      <c r="F1507" s="17"/>
      <c r="G1507" s="17"/>
      <c r="H1507" s="64"/>
      <c r="I1507" s="64"/>
      <c r="J1507" s="64"/>
      <c r="K1507" s="64"/>
      <c r="L1507" s="43"/>
      <c r="M1507" s="17"/>
      <c r="N1507" s="17"/>
      <c r="O1507" s="43"/>
      <c r="S1507" s="89"/>
    </row>
    <row r="1508" spans="1:19" ht="15.75" customHeight="1" x14ac:dyDescent="0.3">
      <c r="A1508" s="88"/>
      <c r="D1508" s="17"/>
      <c r="E1508" s="17"/>
      <c r="F1508" s="17"/>
      <c r="G1508" s="17"/>
      <c r="H1508" s="64"/>
      <c r="I1508" s="64"/>
      <c r="J1508" s="64"/>
      <c r="K1508" s="64"/>
      <c r="L1508" s="43"/>
      <c r="M1508" s="17"/>
      <c r="N1508" s="17"/>
      <c r="O1508" s="43"/>
      <c r="S1508" s="89"/>
    </row>
    <row r="1509" spans="1:19" ht="15.75" customHeight="1" x14ac:dyDescent="0.3">
      <c r="A1509" s="88"/>
      <c r="D1509" s="17"/>
      <c r="E1509" s="17"/>
      <c r="F1509" s="17"/>
      <c r="G1509" s="17"/>
      <c r="H1509" s="64"/>
      <c r="I1509" s="64"/>
      <c r="J1509" s="64"/>
      <c r="K1509" s="64"/>
      <c r="L1509" s="43"/>
      <c r="M1509" s="17"/>
      <c r="N1509" s="17"/>
      <c r="O1509" s="43"/>
      <c r="S1509" s="89"/>
    </row>
    <row r="1510" spans="1:19" ht="15.75" customHeight="1" x14ac:dyDescent="0.3">
      <c r="A1510" s="88"/>
      <c r="D1510" s="17"/>
      <c r="E1510" s="17"/>
      <c r="F1510" s="17"/>
      <c r="G1510" s="17"/>
      <c r="H1510" s="64"/>
      <c r="I1510" s="64"/>
      <c r="J1510" s="64"/>
      <c r="K1510" s="64"/>
      <c r="L1510" s="43"/>
      <c r="M1510" s="17"/>
      <c r="N1510" s="17"/>
      <c r="O1510" s="43"/>
      <c r="S1510" s="89"/>
    </row>
    <row r="1511" spans="1:19" ht="15.75" customHeight="1" x14ac:dyDescent="0.3">
      <c r="A1511" s="88"/>
      <c r="D1511" s="17"/>
      <c r="E1511" s="17"/>
      <c r="F1511" s="17"/>
      <c r="G1511" s="17"/>
      <c r="H1511" s="64"/>
      <c r="I1511" s="64"/>
      <c r="J1511" s="64"/>
      <c r="K1511" s="64"/>
      <c r="L1511" s="43"/>
      <c r="M1511" s="17"/>
      <c r="N1511" s="17"/>
      <c r="O1511" s="43"/>
      <c r="S1511" s="89"/>
    </row>
    <row r="1512" spans="1:19" ht="15.75" customHeight="1" x14ac:dyDescent="0.3">
      <c r="A1512" s="88"/>
      <c r="D1512" s="17"/>
      <c r="E1512" s="17"/>
      <c r="F1512" s="17"/>
      <c r="G1512" s="17"/>
      <c r="H1512" s="64"/>
      <c r="I1512" s="64"/>
      <c r="J1512" s="64"/>
      <c r="K1512" s="64"/>
      <c r="L1512" s="43"/>
      <c r="M1512" s="17"/>
      <c r="N1512" s="17"/>
      <c r="O1512" s="43"/>
      <c r="S1512" s="89"/>
    </row>
    <row r="1513" spans="1:19" ht="15.75" customHeight="1" x14ac:dyDescent="0.3">
      <c r="A1513" s="88"/>
      <c r="D1513" s="17"/>
      <c r="E1513" s="17"/>
      <c r="F1513" s="17"/>
      <c r="G1513" s="17"/>
      <c r="H1513" s="64"/>
      <c r="I1513" s="64"/>
      <c r="J1513" s="64"/>
      <c r="K1513" s="64"/>
      <c r="L1513" s="43"/>
      <c r="M1513" s="17"/>
      <c r="N1513" s="17"/>
      <c r="O1513" s="43"/>
      <c r="S1513" s="89"/>
    </row>
    <row r="1514" spans="1:19" ht="15.75" customHeight="1" x14ac:dyDescent="0.3">
      <c r="A1514" s="88"/>
      <c r="D1514" s="17"/>
      <c r="E1514" s="17"/>
      <c r="F1514" s="17"/>
      <c r="G1514" s="17"/>
      <c r="H1514" s="64"/>
      <c r="I1514" s="64"/>
      <c r="J1514" s="64"/>
      <c r="K1514" s="64"/>
      <c r="L1514" s="43"/>
      <c r="M1514" s="17"/>
      <c r="N1514" s="17"/>
      <c r="O1514" s="43"/>
      <c r="S1514" s="89"/>
    </row>
    <row r="1515" spans="1:19" ht="15.75" customHeight="1" x14ac:dyDescent="0.3">
      <c r="A1515" s="88"/>
      <c r="D1515" s="17"/>
      <c r="E1515" s="17"/>
      <c r="F1515" s="17"/>
      <c r="G1515" s="17"/>
      <c r="H1515" s="64"/>
      <c r="I1515" s="64"/>
      <c r="J1515" s="64"/>
      <c r="K1515" s="64"/>
      <c r="L1515" s="43"/>
      <c r="M1515" s="17"/>
      <c r="N1515" s="17"/>
      <c r="O1515" s="43"/>
      <c r="S1515" s="89"/>
    </row>
    <row r="1516" spans="1:19" ht="15.75" customHeight="1" x14ac:dyDescent="0.3">
      <c r="A1516" s="88"/>
      <c r="D1516" s="17"/>
      <c r="E1516" s="17"/>
      <c r="F1516" s="17"/>
      <c r="G1516" s="17"/>
      <c r="H1516" s="64"/>
      <c r="I1516" s="64"/>
      <c r="J1516" s="64"/>
      <c r="K1516" s="64"/>
      <c r="L1516" s="43"/>
      <c r="M1516" s="17"/>
      <c r="N1516" s="17"/>
      <c r="O1516" s="43"/>
      <c r="S1516" s="89"/>
    </row>
    <row r="1517" spans="1:19" ht="15.75" customHeight="1" x14ac:dyDescent="0.3">
      <c r="A1517" s="88"/>
      <c r="D1517" s="17"/>
      <c r="E1517" s="17"/>
      <c r="F1517" s="17"/>
      <c r="G1517" s="17"/>
      <c r="H1517" s="64"/>
      <c r="I1517" s="64"/>
      <c r="J1517" s="64"/>
      <c r="K1517" s="64"/>
      <c r="L1517" s="43"/>
      <c r="M1517" s="17"/>
      <c r="N1517" s="17"/>
      <c r="O1517" s="43"/>
      <c r="S1517" s="89"/>
    </row>
    <row r="1518" spans="1:19" ht="15.75" customHeight="1" x14ac:dyDescent="0.3">
      <c r="A1518" s="88"/>
      <c r="D1518" s="17"/>
      <c r="E1518" s="17"/>
      <c r="F1518" s="17"/>
      <c r="G1518" s="17"/>
      <c r="H1518" s="64"/>
      <c r="I1518" s="64"/>
      <c r="J1518" s="64"/>
      <c r="K1518" s="64"/>
      <c r="L1518" s="43"/>
      <c r="M1518" s="17"/>
      <c r="N1518" s="17"/>
      <c r="O1518" s="43"/>
      <c r="S1518" s="89"/>
    </row>
    <row r="1519" spans="1:19" ht="15.75" customHeight="1" x14ac:dyDescent="0.3">
      <c r="A1519" s="88"/>
      <c r="D1519" s="17"/>
      <c r="E1519" s="17"/>
      <c r="F1519" s="17"/>
      <c r="G1519" s="17"/>
      <c r="H1519" s="64"/>
      <c r="I1519" s="64"/>
      <c r="J1519" s="64"/>
      <c r="K1519" s="64"/>
      <c r="L1519" s="43"/>
      <c r="M1519" s="17"/>
      <c r="N1519" s="17"/>
      <c r="O1519" s="43"/>
      <c r="S1519" s="89"/>
    </row>
    <row r="1520" spans="1:19" ht="15.75" customHeight="1" x14ac:dyDescent="0.3">
      <c r="A1520" s="88"/>
      <c r="D1520" s="17"/>
      <c r="E1520" s="17"/>
      <c r="F1520" s="17"/>
      <c r="G1520" s="17"/>
      <c r="H1520" s="64"/>
      <c r="I1520" s="64"/>
      <c r="J1520" s="64"/>
      <c r="K1520" s="64"/>
      <c r="L1520" s="43"/>
      <c r="M1520" s="17"/>
      <c r="N1520" s="17"/>
      <c r="O1520" s="43"/>
      <c r="S1520" s="89"/>
    </row>
    <row r="1521" spans="1:19" ht="15.75" customHeight="1" x14ac:dyDescent="0.3">
      <c r="A1521" s="88"/>
      <c r="D1521" s="17"/>
      <c r="E1521" s="17"/>
      <c r="F1521" s="17"/>
      <c r="G1521" s="17"/>
      <c r="H1521" s="64"/>
      <c r="I1521" s="64"/>
      <c r="J1521" s="64"/>
      <c r="K1521" s="64"/>
      <c r="L1521" s="43"/>
      <c r="M1521" s="17"/>
      <c r="N1521" s="17"/>
      <c r="O1521" s="43"/>
      <c r="S1521" s="89"/>
    </row>
    <row r="1522" spans="1:19" ht="15.75" customHeight="1" x14ac:dyDescent="0.3">
      <c r="A1522" s="88"/>
      <c r="D1522" s="17"/>
      <c r="E1522" s="17"/>
      <c r="F1522" s="17"/>
      <c r="G1522" s="17"/>
      <c r="H1522" s="64"/>
      <c r="I1522" s="64"/>
      <c r="J1522" s="64"/>
      <c r="K1522" s="64"/>
      <c r="L1522" s="43"/>
      <c r="M1522" s="17"/>
      <c r="N1522" s="17"/>
      <c r="O1522" s="43"/>
      <c r="S1522" s="89"/>
    </row>
    <row r="1523" spans="1:19" ht="15.75" customHeight="1" x14ac:dyDescent="0.3">
      <c r="A1523" s="88"/>
      <c r="D1523" s="17"/>
      <c r="E1523" s="17"/>
      <c r="F1523" s="17"/>
      <c r="G1523" s="17"/>
      <c r="H1523" s="64"/>
      <c r="I1523" s="64"/>
      <c r="J1523" s="64"/>
      <c r="K1523" s="64"/>
      <c r="L1523" s="43"/>
      <c r="M1523" s="17"/>
      <c r="N1523" s="17"/>
      <c r="O1523" s="43"/>
      <c r="S1523" s="89"/>
    </row>
    <row r="1524" spans="1:19" ht="15.75" customHeight="1" x14ac:dyDescent="0.3">
      <c r="A1524" s="88"/>
      <c r="D1524" s="17"/>
      <c r="E1524" s="17"/>
      <c r="F1524" s="17"/>
      <c r="G1524" s="17"/>
      <c r="H1524" s="64"/>
      <c r="I1524" s="64"/>
      <c r="J1524" s="64"/>
      <c r="K1524" s="64"/>
      <c r="L1524" s="43"/>
      <c r="M1524" s="17"/>
      <c r="N1524" s="17"/>
      <c r="O1524" s="43"/>
      <c r="S1524" s="89"/>
    </row>
    <row r="1525" spans="1:19" ht="15.75" customHeight="1" x14ac:dyDescent="0.3">
      <c r="A1525" s="88"/>
      <c r="D1525" s="17"/>
      <c r="E1525" s="17"/>
      <c r="F1525" s="17"/>
      <c r="G1525" s="17"/>
      <c r="H1525" s="64"/>
      <c r="I1525" s="64"/>
      <c r="J1525" s="64"/>
      <c r="K1525" s="64"/>
      <c r="L1525" s="43"/>
      <c r="M1525" s="17"/>
      <c r="N1525" s="17"/>
      <c r="O1525" s="43"/>
      <c r="S1525" s="89"/>
    </row>
    <row r="1526" spans="1:19" ht="15.75" customHeight="1" x14ac:dyDescent="0.3">
      <c r="A1526" s="88"/>
      <c r="D1526" s="17"/>
      <c r="E1526" s="17"/>
      <c r="F1526" s="17"/>
      <c r="G1526" s="17"/>
      <c r="H1526" s="64"/>
      <c r="I1526" s="64"/>
      <c r="J1526" s="64"/>
      <c r="K1526" s="64"/>
      <c r="L1526" s="43"/>
      <c r="M1526" s="17"/>
      <c r="N1526" s="17"/>
      <c r="O1526" s="43"/>
      <c r="S1526" s="89"/>
    </row>
    <row r="1527" spans="1:19" ht="15.75" customHeight="1" x14ac:dyDescent="0.3">
      <c r="A1527" s="88"/>
      <c r="D1527" s="17"/>
      <c r="E1527" s="17"/>
      <c r="F1527" s="17"/>
      <c r="G1527" s="17"/>
      <c r="H1527" s="64"/>
      <c r="I1527" s="64"/>
      <c r="J1527" s="64"/>
      <c r="K1527" s="64"/>
      <c r="L1527" s="43"/>
      <c r="M1527" s="17"/>
      <c r="N1527" s="17"/>
      <c r="O1527" s="43"/>
      <c r="S1527" s="89"/>
    </row>
    <row r="1528" spans="1:19" ht="15.75" customHeight="1" x14ac:dyDescent="0.3">
      <c r="A1528" s="88"/>
      <c r="D1528" s="17"/>
      <c r="E1528" s="17"/>
      <c r="F1528" s="17"/>
      <c r="G1528" s="17"/>
      <c r="H1528" s="64"/>
      <c r="I1528" s="64"/>
      <c r="J1528" s="64"/>
      <c r="K1528" s="64"/>
      <c r="L1528" s="43"/>
      <c r="M1528" s="17"/>
      <c r="N1528" s="17"/>
      <c r="O1528" s="43"/>
      <c r="S1528" s="89"/>
    </row>
    <row r="1529" spans="1:19" ht="15.75" customHeight="1" x14ac:dyDescent="0.3">
      <c r="A1529" s="88"/>
      <c r="D1529" s="17"/>
      <c r="E1529" s="17"/>
      <c r="F1529" s="17"/>
      <c r="G1529" s="17"/>
      <c r="H1529" s="64"/>
      <c r="I1529" s="64"/>
      <c r="J1529" s="64"/>
      <c r="K1529" s="64"/>
      <c r="L1529" s="43"/>
      <c r="M1529" s="17"/>
      <c r="N1529" s="17"/>
      <c r="O1529" s="43"/>
      <c r="S1529" s="89"/>
    </row>
    <row r="1530" spans="1:19" ht="15.75" customHeight="1" x14ac:dyDescent="0.3">
      <c r="A1530" s="88"/>
      <c r="D1530" s="17"/>
      <c r="E1530" s="17"/>
      <c r="F1530" s="17"/>
      <c r="G1530" s="17"/>
      <c r="H1530" s="64"/>
      <c r="I1530" s="64"/>
      <c r="J1530" s="64"/>
      <c r="K1530" s="64"/>
      <c r="L1530" s="43"/>
      <c r="M1530" s="17"/>
      <c r="N1530" s="17"/>
      <c r="O1530" s="43"/>
      <c r="S1530" s="89"/>
    </row>
    <row r="1531" spans="1:19" ht="15.75" customHeight="1" x14ac:dyDescent="0.3">
      <c r="A1531" s="88"/>
      <c r="D1531" s="17"/>
      <c r="E1531" s="17"/>
      <c r="F1531" s="17"/>
      <c r="G1531" s="17"/>
      <c r="H1531" s="64"/>
      <c r="I1531" s="64"/>
      <c r="J1531" s="64"/>
      <c r="K1531" s="64"/>
      <c r="L1531" s="43"/>
      <c r="M1531" s="17"/>
      <c r="N1531" s="17"/>
      <c r="O1531" s="43"/>
      <c r="S1531" s="89"/>
    </row>
    <row r="1532" spans="1:19" ht="15.75" customHeight="1" x14ac:dyDescent="0.3">
      <c r="A1532" s="88"/>
      <c r="D1532" s="17"/>
      <c r="E1532" s="17"/>
      <c r="F1532" s="17"/>
      <c r="G1532" s="17"/>
      <c r="H1532" s="64"/>
      <c r="I1532" s="64"/>
      <c r="J1532" s="64"/>
      <c r="K1532" s="64"/>
      <c r="L1532" s="43"/>
      <c r="M1532" s="17"/>
      <c r="N1532" s="17"/>
      <c r="O1532" s="43"/>
      <c r="S1532" s="89"/>
    </row>
    <row r="1533" spans="1:19" ht="15.75" customHeight="1" x14ac:dyDescent="0.3">
      <c r="A1533" s="88"/>
      <c r="D1533" s="17"/>
      <c r="E1533" s="17"/>
      <c r="F1533" s="17"/>
      <c r="G1533" s="17"/>
      <c r="H1533" s="64"/>
      <c r="I1533" s="64"/>
      <c r="J1533" s="64"/>
      <c r="K1533" s="64"/>
      <c r="L1533" s="43"/>
      <c r="M1533" s="17"/>
      <c r="N1533" s="17"/>
      <c r="O1533" s="43"/>
      <c r="S1533" s="89"/>
    </row>
    <row r="1534" spans="1:19" ht="15.75" customHeight="1" x14ac:dyDescent="0.3">
      <c r="A1534" s="88"/>
      <c r="D1534" s="17"/>
      <c r="E1534" s="17"/>
      <c r="F1534" s="17"/>
      <c r="G1534" s="17"/>
      <c r="H1534" s="64"/>
      <c r="I1534" s="64"/>
      <c r="J1534" s="64"/>
      <c r="K1534" s="64"/>
      <c r="L1534" s="43"/>
      <c r="M1534" s="17"/>
      <c r="N1534" s="17"/>
      <c r="O1534" s="43"/>
      <c r="S1534" s="89"/>
    </row>
    <row r="1535" spans="1:19" ht="15.75" customHeight="1" x14ac:dyDescent="0.3">
      <c r="A1535" s="88"/>
      <c r="D1535" s="17"/>
      <c r="E1535" s="17"/>
      <c r="F1535" s="17"/>
      <c r="G1535" s="17"/>
      <c r="H1535" s="64"/>
      <c r="I1535" s="64"/>
      <c r="J1535" s="64"/>
      <c r="K1535" s="64"/>
      <c r="L1535" s="43"/>
      <c r="M1535" s="17"/>
      <c r="N1535" s="17"/>
      <c r="O1535" s="43"/>
      <c r="S1535" s="89"/>
    </row>
    <row r="1536" spans="1:19" ht="15.75" customHeight="1" x14ac:dyDescent="0.3">
      <c r="A1536" s="88"/>
      <c r="D1536" s="17"/>
      <c r="E1536" s="17"/>
      <c r="F1536" s="17"/>
      <c r="G1536" s="17"/>
      <c r="H1536" s="64"/>
      <c r="I1536" s="64"/>
      <c r="J1536" s="64"/>
      <c r="K1536" s="64"/>
      <c r="L1536" s="43"/>
      <c r="M1536" s="17"/>
      <c r="N1536" s="17"/>
      <c r="O1536" s="43"/>
      <c r="S1536" s="89"/>
    </row>
    <row r="1537" spans="1:19" ht="15.75" customHeight="1" x14ac:dyDescent="0.3">
      <c r="A1537" s="88"/>
      <c r="D1537" s="17"/>
      <c r="E1537" s="17"/>
      <c r="F1537" s="17"/>
      <c r="G1537" s="17"/>
      <c r="H1537" s="64"/>
      <c r="I1537" s="64"/>
      <c r="J1537" s="64"/>
      <c r="K1537" s="64"/>
      <c r="L1537" s="43"/>
      <c r="M1537" s="17"/>
      <c r="N1537" s="17"/>
      <c r="O1537" s="43"/>
      <c r="S1537" s="89"/>
    </row>
    <row r="1538" spans="1:19" ht="15.75" customHeight="1" x14ac:dyDescent="0.3">
      <c r="A1538" s="88"/>
      <c r="D1538" s="17"/>
      <c r="E1538" s="17"/>
      <c r="F1538" s="17"/>
      <c r="G1538" s="17"/>
      <c r="H1538" s="64"/>
      <c r="I1538" s="64"/>
      <c r="J1538" s="64"/>
      <c r="K1538" s="64"/>
      <c r="L1538" s="43"/>
      <c r="M1538" s="17"/>
      <c r="N1538" s="17"/>
      <c r="O1538" s="43"/>
      <c r="S1538" s="89"/>
    </row>
    <row r="1539" spans="1:19" ht="15.75" customHeight="1" x14ac:dyDescent="0.3">
      <c r="A1539" s="88"/>
      <c r="D1539" s="17"/>
      <c r="E1539" s="17"/>
      <c r="F1539" s="17"/>
      <c r="G1539" s="17"/>
      <c r="H1539" s="64"/>
      <c r="I1539" s="64"/>
      <c r="J1539" s="64"/>
      <c r="K1539" s="64"/>
      <c r="L1539" s="43"/>
      <c r="M1539" s="17"/>
      <c r="N1539" s="17"/>
      <c r="O1539" s="43"/>
      <c r="S1539" s="89"/>
    </row>
    <row r="1540" spans="1:19" ht="15.75" customHeight="1" x14ac:dyDescent="0.3">
      <c r="A1540" s="88"/>
      <c r="D1540" s="17"/>
      <c r="E1540" s="17"/>
      <c r="F1540" s="17"/>
      <c r="G1540" s="17"/>
      <c r="H1540" s="64"/>
      <c r="I1540" s="64"/>
      <c r="J1540" s="64"/>
      <c r="K1540" s="64"/>
      <c r="L1540" s="43"/>
      <c r="M1540" s="17"/>
      <c r="N1540" s="17"/>
      <c r="O1540" s="43"/>
      <c r="S1540" s="89"/>
    </row>
    <row r="1541" spans="1:19" ht="15.75" customHeight="1" x14ac:dyDescent="0.3">
      <c r="A1541" s="88"/>
      <c r="D1541" s="17"/>
      <c r="E1541" s="17"/>
      <c r="F1541" s="17"/>
      <c r="G1541" s="17"/>
      <c r="H1541" s="64"/>
      <c r="I1541" s="64"/>
      <c r="J1541" s="64"/>
      <c r="K1541" s="64"/>
      <c r="L1541" s="43"/>
      <c r="M1541" s="17"/>
      <c r="N1541" s="17"/>
      <c r="O1541" s="43"/>
      <c r="S1541" s="89"/>
    </row>
    <row r="1542" spans="1:19" ht="15.75" customHeight="1" x14ac:dyDescent="0.3">
      <c r="A1542" s="88"/>
      <c r="D1542" s="17"/>
      <c r="E1542" s="17"/>
      <c r="F1542" s="17"/>
      <c r="G1542" s="17"/>
      <c r="H1542" s="64"/>
      <c r="I1542" s="64"/>
      <c r="J1542" s="64"/>
      <c r="K1542" s="64"/>
      <c r="L1542" s="43"/>
      <c r="M1542" s="17"/>
      <c r="N1542" s="17"/>
      <c r="O1542" s="43"/>
      <c r="S1542" s="89"/>
    </row>
    <row r="1543" spans="1:19" ht="15.75" customHeight="1" x14ac:dyDescent="0.3">
      <c r="A1543" s="88"/>
      <c r="D1543" s="17"/>
      <c r="E1543" s="17"/>
      <c r="F1543" s="17"/>
      <c r="G1543" s="17"/>
      <c r="H1543" s="64"/>
      <c r="I1543" s="64"/>
      <c r="J1543" s="64"/>
      <c r="K1543" s="64"/>
      <c r="L1543" s="43"/>
      <c r="M1543" s="17"/>
      <c r="N1543" s="17"/>
      <c r="O1543" s="43"/>
      <c r="S1543" s="89"/>
    </row>
    <row r="1544" spans="1:19" ht="15.75" customHeight="1" x14ac:dyDescent="0.3">
      <c r="A1544" s="88"/>
      <c r="D1544" s="17"/>
      <c r="E1544" s="17"/>
      <c r="F1544" s="17"/>
      <c r="G1544" s="17"/>
      <c r="H1544" s="64"/>
      <c r="I1544" s="64"/>
      <c r="J1544" s="64"/>
      <c r="K1544" s="64"/>
      <c r="L1544" s="43"/>
      <c r="M1544" s="17"/>
      <c r="N1544" s="17"/>
      <c r="O1544" s="43"/>
      <c r="S1544" s="89"/>
    </row>
    <row r="1545" spans="1:19" ht="15.75" customHeight="1" x14ac:dyDescent="0.3">
      <c r="A1545" s="88"/>
      <c r="D1545" s="17"/>
      <c r="E1545" s="17"/>
      <c r="F1545" s="17"/>
      <c r="G1545" s="17"/>
      <c r="H1545" s="64"/>
      <c r="I1545" s="64"/>
      <c r="J1545" s="64"/>
      <c r="K1545" s="64"/>
      <c r="L1545" s="43"/>
      <c r="M1545" s="17"/>
      <c r="N1545" s="17"/>
      <c r="O1545" s="43"/>
      <c r="S1545" s="89"/>
    </row>
    <row r="1546" spans="1:19" ht="15.75" customHeight="1" x14ac:dyDescent="0.3">
      <c r="A1546" s="88"/>
      <c r="D1546" s="17"/>
      <c r="E1546" s="17"/>
      <c r="F1546" s="17"/>
      <c r="G1546" s="17"/>
      <c r="H1546" s="64"/>
      <c r="I1546" s="64"/>
      <c r="J1546" s="64"/>
      <c r="K1546" s="64"/>
      <c r="L1546" s="43"/>
      <c r="M1546" s="17"/>
      <c r="N1546" s="17"/>
      <c r="O1546" s="43"/>
      <c r="S1546" s="89"/>
    </row>
    <row r="1547" spans="1:19" ht="15.75" customHeight="1" x14ac:dyDescent="0.3">
      <c r="A1547" s="88"/>
      <c r="D1547" s="17"/>
      <c r="E1547" s="17"/>
      <c r="F1547" s="17"/>
      <c r="G1547" s="17"/>
      <c r="H1547" s="64"/>
      <c r="I1547" s="64"/>
      <c r="J1547" s="64"/>
      <c r="K1547" s="64"/>
      <c r="L1547" s="43"/>
      <c r="M1547" s="17"/>
      <c r="N1547" s="17"/>
      <c r="O1547" s="43"/>
      <c r="S1547" s="89"/>
    </row>
    <row r="1548" spans="1:19" ht="15.75" customHeight="1" x14ac:dyDescent="0.3">
      <c r="A1548" s="88"/>
      <c r="D1548" s="17"/>
      <c r="E1548" s="17"/>
      <c r="F1548" s="17"/>
      <c r="G1548" s="17"/>
      <c r="H1548" s="64"/>
      <c r="I1548" s="64"/>
      <c r="J1548" s="64"/>
      <c r="K1548" s="64"/>
      <c r="L1548" s="43"/>
      <c r="M1548" s="17"/>
      <c r="N1548" s="17"/>
      <c r="O1548" s="43"/>
      <c r="S1548" s="89"/>
    </row>
    <row r="1549" spans="1:19" ht="15.75" customHeight="1" x14ac:dyDescent="0.3">
      <c r="A1549" s="88"/>
      <c r="D1549" s="17"/>
      <c r="E1549" s="17"/>
      <c r="F1549" s="17"/>
      <c r="G1549" s="17"/>
      <c r="H1549" s="64"/>
      <c r="I1549" s="64"/>
      <c r="J1549" s="64"/>
      <c r="K1549" s="64"/>
      <c r="L1549" s="43"/>
      <c r="M1549" s="17"/>
      <c r="N1549" s="17"/>
      <c r="O1549" s="43"/>
      <c r="S1549" s="89"/>
    </row>
    <row r="1550" spans="1:19" ht="15.75" customHeight="1" x14ac:dyDescent="0.3">
      <c r="A1550" s="88"/>
      <c r="D1550" s="17"/>
      <c r="E1550" s="17"/>
      <c r="F1550" s="17"/>
      <c r="G1550" s="17"/>
      <c r="H1550" s="64"/>
      <c r="I1550" s="64"/>
      <c r="J1550" s="64"/>
      <c r="K1550" s="64"/>
      <c r="L1550" s="43"/>
      <c r="M1550" s="17"/>
      <c r="N1550" s="17"/>
      <c r="O1550" s="43"/>
      <c r="S1550" s="89"/>
    </row>
    <row r="1551" spans="1:19" ht="15.75" customHeight="1" x14ac:dyDescent="0.3">
      <c r="A1551" s="88"/>
      <c r="D1551" s="17"/>
      <c r="E1551" s="17"/>
      <c r="F1551" s="17"/>
      <c r="G1551" s="17"/>
      <c r="H1551" s="64"/>
      <c r="I1551" s="64"/>
      <c r="J1551" s="64"/>
      <c r="K1551" s="64"/>
      <c r="L1551" s="43"/>
      <c r="M1551" s="17"/>
      <c r="N1551" s="17"/>
      <c r="O1551" s="43"/>
      <c r="S1551" s="89"/>
    </row>
    <row r="1552" spans="1:19" ht="15.75" customHeight="1" x14ac:dyDescent="0.3">
      <c r="A1552" s="88"/>
      <c r="D1552" s="17"/>
      <c r="E1552" s="17"/>
      <c r="F1552" s="17"/>
      <c r="G1552" s="17"/>
      <c r="H1552" s="64"/>
      <c r="I1552" s="64"/>
      <c r="J1552" s="64"/>
      <c r="K1552" s="64"/>
      <c r="L1552" s="43"/>
      <c r="M1552" s="17"/>
      <c r="N1552" s="17"/>
      <c r="O1552" s="43"/>
      <c r="S1552" s="89"/>
    </row>
    <row r="1553" spans="1:19" ht="15.75" customHeight="1" x14ac:dyDescent="0.3">
      <c r="A1553" s="88"/>
      <c r="D1553" s="17"/>
      <c r="E1553" s="17"/>
      <c r="F1553" s="17"/>
      <c r="G1553" s="17"/>
      <c r="H1553" s="64"/>
      <c r="I1553" s="64"/>
      <c r="J1553" s="64"/>
      <c r="K1553" s="64"/>
      <c r="L1553" s="43"/>
      <c r="M1553" s="17"/>
      <c r="N1553" s="17"/>
      <c r="O1553" s="43"/>
      <c r="S1553" s="89"/>
    </row>
    <row r="1554" spans="1:19" ht="15.75" customHeight="1" x14ac:dyDescent="0.3">
      <c r="A1554" s="88"/>
      <c r="D1554" s="17"/>
      <c r="E1554" s="17"/>
      <c r="F1554" s="17"/>
      <c r="G1554" s="17"/>
      <c r="H1554" s="64"/>
      <c r="I1554" s="64"/>
      <c r="J1554" s="64"/>
      <c r="K1554" s="64"/>
      <c r="L1554" s="43"/>
      <c r="M1554" s="17"/>
      <c r="N1554" s="17"/>
      <c r="O1554" s="43"/>
      <c r="S1554" s="89"/>
    </row>
    <row r="1555" spans="1:19" ht="15.75" customHeight="1" x14ac:dyDescent="0.3">
      <c r="A1555" s="88"/>
      <c r="D1555" s="17"/>
      <c r="E1555" s="17"/>
      <c r="F1555" s="17"/>
      <c r="G1555" s="17"/>
      <c r="H1555" s="64"/>
      <c r="I1555" s="64"/>
      <c r="J1555" s="64"/>
      <c r="K1555" s="64"/>
      <c r="L1555" s="43"/>
      <c r="M1555" s="17"/>
      <c r="N1555" s="17"/>
      <c r="O1555" s="43"/>
      <c r="S1555" s="89"/>
    </row>
    <row r="1556" spans="1:19" ht="15.75" customHeight="1" x14ac:dyDescent="0.3">
      <c r="A1556" s="88"/>
      <c r="D1556" s="17"/>
      <c r="E1556" s="17"/>
      <c r="F1556" s="17"/>
      <c r="G1556" s="17"/>
      <c r="H1556" s="64"/>
      <c r="I1556" s="64"/>
      <c r="J1556" s="64"/>
      <c r="K1556" s="64"/>
      <c r="L1556" s="43"/>
      <c r="M1556" s="17"/>
      <c r="N1556" s="17"/>
      <c r="O1556" s="43"/>
      <c r="S1556" s="89"/>
    </row>
    <row r="1557" spans="1:19" ht="15.75" customHeight="1" x14ac:dyDescent="0.3">
      <c r="A1557" s="88"/>
      <c r="D1557" s="17"/>
      <c r="E1557" s="17"/>
      <c r="F1557" s="17"/>
      <c r="G1557" s="17"/>
      <c r="H1557" s="64"/>
      <c r="I1557" s="64"/>
      <c r="J1557" s="64"/>
      <c r="K1557" s="64"/>
      <c r="L1557" s="43"/>
      <c r="M1557" s="17"/>
      <c r="N1557" s="17"/>
      <c r="O1557" s="43"/>
      <c r="S1557" s="89"/>
    </row>
    <row r="1558" spans="1:19" ht="15.75" customHeight="1" x14ac:dyDescent="0.3">
      <c r="A1558" s="88"/>
      <c r="D1558" s="17"/>
      <c r="E1558" s="17"/>
      <c r="F1558" s="17"/>
      <c r="G1558" s="17"/>
      <c r="H1558" s="64"/>
      <c r="I1558" s="64"/>
      <c r="J1558" s="64"/>
      <c r="K1558" s="64"/>
      <c r="L1558" s="43"/>
      <c r="M1558" s="17"/>
      <c r="N1558" s="17"/>
      <c r="O1558" s="43"/>
      <c r="S1558" s="89"/>
    </row>
    <row r="1559" spans="1:19" ht="15.75" customHeight="1" x14ac:dyDescent="0.3">
      <c r="A1559" s="88"/>
      <c r="D1559" s="17"/>
      <c r="E1559" s="17"/>
      <c r="F1559" s="17"/>
      <c r="G1559" s="17"/>
      <c r="H1559" s="64"/>
      <c r="I1559" s="64"/>
      <c r="J1559" s="64"/>
      <c r="K1559" s="64"/>
      <c r="L1559" s="43"/>
      <c r="M1559" s="17"/>
      <c r="N1559" s="17"/>
      <c r="O1559" s="43"/>
      <c r="S1559" s="89"/>
    </row>
    <row r="1560" spans="1:19" ht="15.75" customHeight="1" x14ac:dyDescent="0.3">
      <c r="A1560" s="88"/>
      <c r="D1560" s="17"/>
      <c r="E1560" s="17"/>
      <c r="F1560" s="17"/>
      <c r="G1560" s="17"/>
      <c r="H1560" s="64"/>
      <c r="I1560" s="64"/>
      <c r="J1560" s="64"/>
      <c r="K1560" s="64"/>
      <c r="L1560" s="43"/>
      <c r="M1560" s="17"/>
      <c r="N1560" s="17"/>
      <c r="O1560" s="43"/>
      <c r="S1560" s="89"/>
    </row>
    <row r="1561" spans="1:19" ht="15.75" customHeight="1" x14ac:dyDescent="0.3">
      <c r="A1561" s="88"/>
      <c r="D1561" s="17"/>
      <c r="E1561" s="17"/>
      <c r="F1561" s="17"/>
      <c r="G1561" s="17"/>
      <c r="H1561" s="64"/>
      <c r="I1561" s="64"/>
      <c r="J1561" s="64"/>
      <c r="K1561" s="64"/>
      <c r="L1561" s="43"/>
      <c r="M1561" s="17"/>
      <c r="N1561" s="17"/>
      <c r="O1561" s="43"/>
      <c r="S1561" s="89"/>
    </row>
    <row r="1562" spans="1:19" ht="15.75" customHeight="1" x14ac:dyDescent="0.3">
      <c r="A1562" s="88"/>
      <c r="D1562" s="17"/>
      <c r="E1562" s="17"/>
      <c r="F1562" s="17"/>
      <c r="G1562" s="17"/>
      <c r="H1562" s="64"/>
      <c r="I1562" s="64"/>
      <c r="J1562" s="64"/>
      <c r="K1562" s="64"/>
      <c r="L1562" s="43"/>
      <c r="M1562" s="17"/>
      <c r="N1562" s="17"/>
      <c r="O1562" s="43"/>
      <c r="S1562" s="89"/>
    </row>
    <row r="1563" spans="1:19" ht="15.75" customHeight="1" x14ac:dyDescent="0.3">
      <c r="A1563" s="88"/>
      <c r="D1563" s="17"/>
      <c r="E1563" s="17"/>
      <c r="F1563" s="17"/>
      <c r="G1563" s="17"/>
      <c r="H1563" s="64"/>
      <c r="I1563" s="64"/>
      <c r="J1563" s="64"/>
      <c r="K1563" s="64"/>
      <c r="L1563" s="43"/>
      <c r="M1563" s="17"/>
      <c r="N1563" s="17"/>
      <c r="O1563" s="43"/>
      <c r="S1563" s="89"/>
    </row>
    <row r="1564" spans="1:19" ht="15.75" customHeight="1" x14ac:dyDescent="0.3">
      <c r="A1564" s="88"/>
      <c r="D1564" s="17"/>
      <c r="E1564" s="17"/>
      <c r="F1564" s="17"/>
      <c r="G1564" s="17"/>
      <c r="H1564" s="64"/>
      <c r="I1564" s="64"/>
      <c r="J1564" s="64"/>
      <c r="K1564" s="64"/>
      <c r="L1564" s="43"/>
      <c r="M1564" s="17"/>
      <c r="N1564" s="17"/>
      <c r="O1564" s="43"/>
      <c r="S1564" s="89"/>
    </row>
    <row r="1565" spans="1:19" ht="15.75" customHeight="1" x14ac:dyDescent="0.3">
      <c r="A1565" s="88"/>
      <c r="D1565" s="17"/>
      <c r="E1565" s="17"/>
      <c r="F1565" s="17"/>
      <c r="G1565" s="17"/>
      <c r="H1565" s="64"/>
      <c r="I1565" s="64"/>
      <c r="J1565" s="64"/>
      <c r="K1565" s="64"/>
      <c r="L1565" s="43"/>
      <c r="M1565" s="17"/>
      <c r="N1565" s="17"/>
      <c r="O1565" s="43"/>
      <c r="S1565" s="89"/>
    </row>
    <row r="1566" spans="1:19" ht="15.75" customHeight="1" x14ac:dyDescent="0.3">
      <c r="A1566" s="88"/>
      <c r="D1566" s="17"/>
      <c r="E1566" s="17"/>
      <c r="F1566" s="17"/>
      <c r="G1566" s="17"/>
      <c r="H1566" s="64"/>
      <c r="I1566" s="64"/>
      <c r="J1566" s="64"/>
      <c r="K1566" s="64"/>
      <c r="L1566" s="43"/>
      <c r="M1566" s="17"/>
      <c r="N1566" s="17"/>
      <c r="O1566" s="43"/>
      <c r="S1566" s="89"/>
    </row>
    <row r="1567" spans="1:19" ht="15.75" customHeight="1" x14ac:dyDescent="0.3">
      <c r="A1567" s="88"/>
      <c r="D1567" s="17"/>
      <c r="E1567" s="17"/>
      <c r="F1567" s="17"/>
      <c r="G1567" s="17"/>
      <c r="H1567" s="64"/>
      <c r="I1567" s="64"/>
      <c r="J1567" s="64"/>
      <c r="K1567" s="64"/>
      <c r="L1567" s="43"/>
      <c r="M1567" s="17"/>
      <c r="N1567" s="17"/>
      <c r="O1567" s="43"/>
      <c r="S1567" s="89"/>
    </row>
    <row r="1568" spans="1:19" ht="15.75" customHeight="1" x14ac:dyDescent="0.3">
      <c r="A1568" s="88"/>
      <c r="D1568" s="17"/>
      <c r="E1568" s="17"/>
      <c r="F1568" s="17"/>
      <c r="G1568" s="17"/>
      <c r="H1568" s="64"/>
      <c r="I1568" s="64"/>
      <c r="J1568" s="64"/>
      <c r="K1568" s="64"/>
      <c r="L1568" s="43"/>
      <c r="M1568" s="17"/>
      <c r="N1568" s="17"/>
      <c r="O1568" s="43"/>
      <c r="S1568" s="89"/>
    </row>
    <row r="1569" spans="1:19" ht="15.75" customHeight="1" x14ac:dyDescent="0.3">
      <c r="A1569" s="88"/>
      <c r="D1569" s="17"/>
      <c r="E1569" s="17"/>
      <c r="F1569" s="17"/>
      <c r="G1569" s="17"/>
      <c r="H1569" s="64"/>
      <c r="I1569" s="64"/>
      <c r="J1569" s="64"/>
      <c r="K1569" s="64"/>
      <c r="L1569" s="43"/>
      <c r="M1569" s="17"/>
      <c r="N1569" s="17"/>
      <c r="O1569" s="43"/>
      <c r="S1569" s="89"/>
    </row>
    <row r="1570" spans="1:19" ht="15.75" customHeight="1" x14ac:dyDescent="0.3">
      <c r="A1570" s="88"/>
      <c r="D1570" s="17"/>
      <c r="E1570" s="17"/>
      <c r="F1570" s="17"/>
      <c r="G1570" s="17"/>
      <c r="H1570" s="64"/>
      <c r="I1570" s="64"/>
      <c r="J1570" s="64"/>
      <c r="K1570" s="64"/>
      <c r="L1570" s="43"/>
      <c r="M1570" s="17"/>
      <c r="N1570" s="17"/>
      <c r="O1570" s="43"/>
      <c r="S1570" s="89"/>
    </row>
    <row r="1571" spans="1:19" ht="15.75" customHeight="1" x14ac:dyDescent="0.3">
      <c r="A1571" s="88"/>
      <c r="D1571" s="17"/>
      <c r="E1571" s="17"/>
      <c r="F1571" s="17"/>
      <c r="G1571" s="17"/>
      <c r="H1571" s="64"/>
      <c r="I1571" s="64"/>
      <c r="J1571" s="64"/>
      <c r="K1571" s="64"/>
      <c r="L1571" s="43"/>
      <c r="M1571" s="17"/>
      <c r="N1571" s="17"/>
      <c r="O1571" s="43"/>
      <c r="S1571" s="89"/>
    </row>
    <row r="1572" spans="1:19" ht="15.75" customHeight="1" x14ac:dyDescent="0.3">
      <c r="A1572" s="88"/>
      <c r="D1572" s="17"/>
      <c r="E1572" s="17"/>
      <c r="F1572" s="17"/>
      <c r="G1572" s="17"/>
      <c r="H1572" s="64"/>
      <c r="I1572" s="64"/>
      <c r="J1572" s="64"/>
      <c r="K1572" s="64"/>
      <c r="L1572" s="43"/>
      <c r="M1572" s="17"/>
      <c r="N1572" s="17"/>
      <c r="O1572" s="43"/>
      <c r="S1572" s="89"/>
    </row>
    <row r="1573" spans="1:19" ht="15.75" customHeight="1" x14ac:dyDescent="0.3">
      <c r="A1573" s="88"/>
      <c r="D1573" s="17"/>
      <c r="E1573" s="17"/>
      <c r="F1573" s="17"/>
      <c r="G1573" s="17"/>
      <c r="H1573" s="64"/>
      <c r="I1573" s="64"/>
      <c r="J1573" s="64"/>
      <c r="K1573" s="64"/>
      <c r="L1573" s="43"/>
      <c r="M1573" s="17"/>
      <c r="N1573" s="17"/>
      <c r="O1573" s="43"/>
      <c r="S1573" s="89"/>
    </row>
    <row r="1574" spans="1:19" ht="15.75" customHeight="1" x14ac:dyDescent="0.3">
      <c r="A1574" s="88"/>
      <c r="D1574" s="17"/>
      <c r="E1574" s="17"/>
      <c r="F1574" s="17"/>
      <c r="G1574" s="17"/>
      <c r="H1574" s="64"/>
      <c r="I1574" s="64"/>
      <c r="J1574" s="64"/>
      <c r="K1574" s="64"/>
      <c r="L1574" s="43"/>
      <c r="M1574" s="17"/>
      <c r="N1574" s="17"/>
      <c r="O1574" s="43"/>
      <c r="S1574" s="89"/>
    </row>
    <row r="1575" spans="1:19" ht="15.75" customHeight="1" x14ac:dyDescent="0.3">
      <c r="A1575" s="88"/>
      <c r="D1575" s="17"/>
      <c r="E1575" s="17"/>
      <c r="F1575" s="17"/>
      <c r="G1575" s="17"/>
      <c r="H1575" s="64"/>
      <c r="I1575" s="64"/>
      <c r="J1575" s="64"/>
      <c r="K1575" s="64"/>
      <c r="L1575" s="43"/>
      <c r="M1575" s="17"/>
      <c r="N1575" s="17"/>
      <c r="O1575" s="43"/>
      <c r="S1575" s="89"/>
    </row>
    <row r="1576" spans="1:19" ht="15.75" customHeight="1" x14ac:dyDescent="0.3">
      <c r="A1576" s="88"/>
      <c r="D1576" s="17"/>
      <c r="E1576" s="17"/>
      <c r="F1576" s="17"/>
      <c r="G1576" s="17"/>
      <c r="H1576" s="64"/>
      <c r="I1576" s="64"/>
      <c r="J1576" s="64"/>
      <c r="K1576" s="64"/>
      <c r="L1576" s="43"/>
      <c r="M1576" s="17"/>
      <c r="N1576" s="17"/>
      <c r="O1576" s="43"/>
      <c r="S1576" s="89"/>
    </row>
    <row r="1577" spans="1:19" ht="15.75" customHeight="1" x14ac:dyDescent="0.3">
      <c r="A1577" s="88"/>
      <c r="D1577" s="17"/>
      <c r="E1577" s="17"/>
      <c r="F1577" s="17"/>
      <c r="G1577" s="17"/>
      <c r="H1577" s="64"/>
      <c r="I1577" s="64"/>
      <c r="J1577" s="64"/>
      <c r="K1577" s="64"/>
      <c r="L1577" s="43"/>
      <c r="M1577" s="17"/>
      <c r="N1577" s="17"/>
      <c r="O1577" s="43"/>
      <c r="S1577" s="89"/>
    </row>
    <row r="1578" spans="1:19" ht="15.75" customHeight="1" x14ac:dyDescent="0.3">
      <c r="A1578" s="88"/>
      <c r="D1578" s="17"/>
      <c r="E1578" s="17"/>
      <c r="F1578" s="17"/>
      <c r="G1578" s="17"/>
      <c r="H1578" s="64"/>
      <c r="I1578" s="64"/>
      <c r="J1578" s="64"/>
      <c r="K1578" s="64"/>
      <c r="L1578" s="43"/>
      <c r="M1578" s="17"/>
      <c r="N1578" s="17"/>
      <c r="O1578" s="43"/>
      <c r="S1578" s="89"/>
    </row>
    <row r="1579" spans="1:19" ht="15.75" customHeight="1" x14ac:dyDescent="0.3">
      <c r="A1579" s="88"/>
      <c r="D1579" s="17"/>
      <c r="E1579" s="17"/>
      <c r="F1579" s="17"/>
      <c r="G1579" s="17"/>
      <c r="H1579" s="64"/>
      <c r="I1579" s="64"/>
      <c r="J1579" s="64"/>
      <c r="K1579" s="64"/>
      <c r="L1579" s="43"/>
      <c r="M1579" s="17"/>
      <c r="N1579" s="17"/>
      <c r="O1579" s="43"/>
      <c r="S1579" s="89"/>
    </row>
    <row r="1580" spans="1:19" ht="15.75" customHeight="1" x14ac:dyDescent="0.3">
      <c r="A1580" s="88"/>
      <c r="D1580" s="17"/>
      <c r="E1580" s="17"/>
      <c r="F1580" s="17"/>
      <c r="G1580" s="17"/>
      <c r="H1580" s="64"/>
      <c r="I1580" s="64"/>
      <c r="J1580" s="64"/>
      <c r="K1580" s="64"/>
      <c r="L1580" s="43"/>
      <c r="M1580" s="17"/>
      <c r="N1580" s="17"/>
      <c r="O1580" s="43"/>
      <c r="S1580" s="89"/>
    </row>
    <row r="1581" spans="1:19" ht="15.75" customHeight="1" x14ac:dyDescent="0.3">
      <c r="A1581" s="88"/>
      <c r="D1581" s="17"/>
      <c r="E1581" s="17"/>
      <c r="F1581" s="17"/>
      <c r="G1581" s="17"/>
      <c r="H1581" s="64"/>
      <c r="I1581" s="64"/>
      <c r="J1581" s="64"/>
      <c r="K1581" s="64"/>
      <c r="L1581" s="43"/>
      <c r="M1581" s="17"/>
      <c r="N1581" s="17"/>
      <c r="O1581" s="43"/>
      <c r="S1581" s="89"/>
    </row>
    <row r="1582" spans="1:19" ht="15.75" customHeight="1" x14ac:dyDescent="0.3">
      <c r="A1582" s="88"/>
      <c r="D1582" s="17"/>
      <c r="E1582" s="17"/>
      <c r="F1582" s="17"/>
      <c r="G1582" s="17"/>
      <c r="H1582" s="64"/>
      <c r="I1582" s="64"/>
      <c r="J1582" s="64"/>
      <c r="K1582" s="64"/>
      <c r="L1582" s="43"/>
      <c r="M1582" s="17"/>
      <c r="N1582" s="17"/>
      <c r="O1582" s="43"/>
      <c r="S1582" s="89"/>
    </row>
    <row r="1583" spans="1:19" ht="15.75" customHeight="1" x14ac:dyDescent="0.3">
      <c r="A1583" s="88"/>
      <c r="D1583" s="17"/>
      <c r="E1583" s="17"/>
      <c r="F1583" s="17"/>
      <c r="G1583" s="17"/>
      <c r="H1583" s="64"/>
      <c r="I1583" s="64"/>
      <c r="J1583" s="64"/>
      <c r="K1583" s="64"/>
      <c r="L1583" s="43"/>
      <c r="M1583" s="17"/>
      <c r="N1583" s="17"/>
      <c r="O1583" s="43"/>
      <c r="S1583" s="89"/>
    </row>
    <row r="1584" spans="1:19" ht="15.75" customHeight="1" x14ac:dyDescent="0.3">
      <c r="A1584" s="88"/>
      <c r="D1584" s="17"/>
      <c r="E1584" s="17"/>
      <c r="F1584" s="17"/>
      <c r="G1584" s="17"/>
      <c r="H1584" s="64"/>
      <c r="I1584" s="64"/>
      <c r="J1584" s="64"/>
      <c r="K1584" s="64"/>
      <c r="L1584" s="43"/>
      <c r="M1584" s="17"/>
      <c r="N1584" s="17"/>
      <c r="O1584" s="43"/>
      <c r="S1584" s="89"/>
    </row>
    <row r="1585" spans="1:19" ht="15.75" customHeight="1" x14ac:dyDescent="0.3">
      <c r="A1585" s="88"/>
      <c r="D1585" s="17"/>
      <c r="E1585" s="17"/>
      <c r="F1585" s="17"/>
      <c r="G1585" s="17"/>
      <c r="H1585" s="64"/>
      <c r="I1585" s="64"/>
      <c r="J1585" s="64"/>
      <c r="K1585" s="64"/>
      <c r="L1585" s="43"/>
      <c r="M1585" s="17"/>
      <c r="N1585" s="17"/>
      <c r="O1585" s="43"/>
      <c r="S1585" s="89"/>
    </row>
    <row r="1586" spans="1:19" ht="15.75" customHeight="1" x14ac:dyDescent="0.3">
      <c r="A1586" s="88"/>
      <c r="D1586" s="17"/>
      <c r="E1586" s="17"/>
      <c r="F1586" s="17"/>
      <c r="G1586" s="17"/>
      <c r="H1586" s="64"/>
      <c r="I1586" s="64"/>
      <c r="J1586" s="64"/>
      <c r="K1586" s="64"/>
      <c r="L1586" s="43"/>
      <c r="M1586" s="17"/>
      <c r="N1586" s="17"/>
      <c r="O1586" s="43"/>
      <c r="S1586" s="89"/>
    </row>
    <row r="1587" spans="1:19" ht="15.75" customHeight="1" x14ac:dyDescent="0.3">
      <c r="A1587" s="88"/>
      <c r="D1587" s="17"/>
      <c r="E1587" s="17"/>
      <c r="F1587" s="17"/>
      <c r="G1587" s="17"/>
      <c r="H1587" s="64"/>
      <c r="I1587" s="64"/>
      <c r="J1587" s="64"/>
      <c r="K1587" s="64"/>
      <c r="L1587" s="43"/>
      <c r="M1587" s="17"/>
      <c r="N1587" s="17"/>
      <c r="O1587" s="43"/>
      <c r="S1587" s="89"/>
    </row>
    <row r="1588" spans="1:19" ht="15.75" customHeight="1" x14ac:dyDescent="0.3">
      <c r="A1588" s="88"/>
      <c r="D1588" s="17"/>
      <c r="E1588" s="17"/>
      <c r="F1588" s="17"/>
      <c r="G1588" s="17"/>
      <c r="H1588" s="64"/>
      <c r="I1588" s="64"/>
      <c r="J1588" s="64"/>
      <c r="K1588" s="64"/>
      <c r="L1588" s="43"/>
      <c r="M1588" s="17"/>
      <c r="N1588" s="17"/>
      <c r="O1588" s="43"/>
      <c r="S1588" s="89"/>
    </row>
    <row r="1589" spans="1:19" ht="15.75" customHeight="1" x14ac:dyDescent="0.3">
      <c r="A1589" s="88"/>
      <c r="D1589" s="17"/>
      <c r="E1589" s="17"/>
      <c r="F1589" s="17"/>
      <c r="G1589" s="17"/>
      <c r="H1589" s="64"/>
      <c r="I1589" s="64"/>
      <c r="J1589" s="64"/>
      <c r="K1589" s="64"/>
      <c r="L1589" s="43"/>
      <c r="M1589" s="17"/>
      <c r="N1589" s="17"/>
      <c r="O1589" s="43"/>
      <c r="S1589" s="89"/>
    </row>
    <row r="1590" spans="1:19" ht="15.75" customHeight="1" x14ac:dyDescent="0.3">
      <c r="A1590" s="88"/>
      <c r="D1590" s="17"/>
      <c r="E1590" s="17"/>
      <c r="F1590" s="17"/>
      <c r="G1590" s="17"/>
      <c r="H1590" s="64"/>
      <c r="I1590" s="64"/>
      <c r="J1590" s="64"/>
      <c r="K1590" s="64"/>
      <c r="L1590" s="43"/>
      <c r="M1590" s="17"/>
      <c r="N1590" s="17"/>
      <c r="O1590" s="43"/>
      <c r="S1590" s="89"/>
    </row>
    <row r="1591" spans="1:19" ht="15.75" customHeight="1" x14ac:dyDescent="0.3">
      <c r="A1591" s="88"/>
      <c r="D1591" s="17"/>
      <c r="E1591" s="17"/>
      <c r="F1591" s="17"/>
      <c r="G1591" s="17"/>
      <c r="H1591" s="64"/>
      <c r="I1591" s="64"/>
      <c r="J1591" s="64"/>
      <c r="K1591" s="64"/>
      <c r="L1591" s="43"/>
      <c r="M1591" s="17"/>
      <c r="N1591" s="17"/>
      <c r="O1591" s="43"/>
      <c r="S1591" s="89"/>
    </row>
    <row r="1592" spans="1:19" ht="15.75" customHeight="1" x14ac:dyDescent="0.3">
      <c r="A1592" s="88"/>
      <c r="D1592" s="17"/>
      <c r="E1592" s="17"/>
      <c r="F1592" s="17"/>
      <c r="G1592" s="17"/>
      <c r="H1592" s="64"/>
      <c r="I1592" s="64"/>
      <c r="J1592" s="64"/>
      <c r="K1592" s="64"/>
      <c r="L1592" s="43"/>
      <c r="M1592" s="17"/>
      <c r="N1592" s="17"/>
      <c r="O1592" s="43"/>
      <c r="S1592" s="89"/>
    </row>
    <row r="1593" spans="1:19" ht="15.75" customHeight="1" x14ac:dyDescent="0.3">
      <c r="A1593" s="88"/>
      <c r="D1593" s="17"/>
      <c r="E1593" s="17"/>
      <c r="F1593" s="17"/>
      <c r="G1593" s="17"/>
      <c r="H1593" s="64"/>
      <c r="I1593" s="64"/>
      <c r="J1593" s="64"/>
      <c r="K1593" s="64"/>
      <c r="L1593" s="43"/>
      <c r="M1593" s="17"/>
      <c r="N1593" s="17"/>
      <c r="O1593" s="43"/>
      <c r="S1593" s="89"/>
    </row>
    <row r="1594" spans="1:19" ht="15.75" customHeight="1" x14ac:dyDescent="0.3">
      <c r="A1594" s="88"/>
      <c r="D1594" s="17"/>
      <c r="E1594" s="17"/>
      <c r="F1594" s="17"/>
      <c r="G1594" s="17"/>
      <c r="H1594" s="64"/>
      <c r="I1594" s="64"/>
      <c r="J1594" s="64"/>
      <c r="K1594" s="64"/>
      <c r="L1594" s="43"/>
      <c r="M1594" s="17"/>
      <c r="N1594" s="17"/>
      <c r="O1594" s="43"/>
      <c r="S1594" s="89"/>
    </row>
    <row r="1595" spans="1:19" ht="15.75" customHeight="1" x14ac:dyDescent="0.3">
      <c r="A1595" s="88"/>
      <c r="D1595" s="17"/>
      <c r="E1595" s="17"/>
      <c r="F1595" s="17"/>
      <c r="G1595" s="17"/>
      <c r="H1595" s="64"/>
      <c r="I1595" s="64"/>
      <c r="J1595" s="64"/>
      <c r="K1595" s="64"/>
      <c r="L1595" s="43"/>
      <c r="M1595" s="17"/>
      <c r="N1595" s="17"/>
      <c r="O1595" s="43"/>
      <c r="S1595" s="89"/>
    </row>
    <row r="1596" spans="1:19" ht="15.75" customHeight="1" x14ac:dyDescent="0.3">
      <c r="A1596" s="88"/>
      <c r="D1596" s="17"/>
      <c r="E1596" s="17"/>
      <c r="F1596" s="17"/>
      <c r="G1596" s="17"/>
      <c r="H1596" s="64"/>
      <c r="I1596" s="64"/>
      <c r="J1596" s="64"/>
      <c r="K1596" s="64"/>
      <c r="L1596" s="43"/>
      <c r="M1596" s="17"/>
      <c r="N1596" s="17"/>
      <c r="O1596" s="43"/>
      <c r="S1596" s="89"/>
    </row>
    <row r="1597" spans="1:19" ht="15.75" customHeight="1" x14ac:dyDescent="0.3">
      <c r="A1597" s="88"/>
      <c r="D1597" s="17"/>
      <c r="E1597" s="17"/>
      <c r="F1597" s="17"/>
      <c r="G1597" s="17"/>
      <c r="H1597" s="64"/>
      <c r="I1597" s="64"/>
      <c r="J1597" s="64"/>
      <c r="K1597" s="64"/>
      <c r="L1597" s="43"/>
      <c r="M1597" s="17"/>
      <c r="N1597" s="17"/>
      <c r="O1597" s="43"/>
      <c r="S1597" s="89"/>
    </row>
    <row r="1598" spans="1:19" ht="15.75" customHeight="1" x14ac:dyDescent="0.3">
      <c r="A1598" s="88"/>
      <c r="D1598" s="17"/>
      <c r="E1598" s="17"/>
      <c r="F1598" s="17"/>
      <c r="G1598" s="17"/>
      <c r="H1598" s="64"/>
      <c r="I1598" s="64"/>
      <c r="J1598" s="64"/>
      <c r="K1598" s="64"/>
      <c r="L1598" s="43"/>
      <c r="M1598" s="17"/>
      <c r="N1598" s="17"/>
      <c r="O1598" s="43"/>
      <c r="S1598" s="89"/>
    </row>
    <row r="1599" spans="1:19" ht="15.75" customHeight="1" x14ac:dyDescent="0.3">
      <c r="A1599" s="88"/>
      <c r="D1599" s="17"/>
      <c r="E1599" s="17"/>
      <c r="F1599" s="17"/>
      <c r="G1599" s="17"/>
      <c r="H1599" s="64"/>
      <c r="I1599" s="64"/>
      <c r="J1599" s="64"/>
      <c r="K1599" s="64"/>
      <c r="L1599" s="43"/>
      <c r="M1599" s="17"/>
      <c r="N1599" s="17"/>
      <c r="O1599" s="43"/>
      <c r="S1599" s="89"/>
    </row>
    <row r="1600" spans="1:19" ht="15.75" customHeight="1" x14ac:dyDescent="0.3">
      <c r="A1600" s="88"/>
      <c r="D1600" s="17"/>
      <c r="E1600" s="17"/>
      <c r="F1600" s="17"/>
      <c r="G1600" s="17"/>
      <c r="H1600" s="64"/>
      <c r="I1600" s="64"/>
      <c r="J1600" s="64"/>
      <c r="K1600" s="64"/>
      <c r="L1600" s="43"/>
      <c r="M1600" s="17"/>
      <c r="N1600" s="17"/>
      <c r="O1600" s="43"/>
      <c r="S1600" s="89"/>
    </row>
    <row r="1601" spans="1:19" ht="15.75" customHeight="1" x14ac:dyDescent="0.3">
      <c r="A1601" s="88"/>
      <c r="D1601" s="17"/>
      <c r="E1601" s="17"/>
      <c r="F1601" s="17"/>
      <c r="G1601" s="17"/>
      <c r="H1601" s="64"/>
      <c r="I1601" s="64"/>
      <c r="J1601" s="64"/>
      <c r="K1601" s="64"/>
      <c r="L1601" s="43"/>
      <c r="M1601" s="17"/>
      <c r="N1601" s="17"/>
      <c r="O1601" s="43"/>
      <c r="S1601" s="89"/>
    </row>
    <row r="1602" spans="1:19" ht="15.75" customHeight="1" x14ac:dyDescent="0.3">
      <c r="A1602" s="88"/>
      <c r="D1602" s="17"/>
      <c r="E1602" s="17"/>
      <c r="F1602" s="17"/>
      <c r="G1602" s="17"/>
      <c r="H1602" s="64"/>
      <c r="I1602" s="64"/>
      <c r="J1602" s="64"/>
      <c r="K1602" s="64"/>
      <c r="L1602" s="43"/>
      <c r="M1602" s="17"/>
      <c r="N1602" s="17"/>
      <c r="O1602" s="43"/>
      <c r="S1602" s="89"/>
    </row>
    <row r="1603" spans="1:19" ht="15.75" customHeight="1" x14ac:dyDescent="0.3">
      <c r="A1603" s="88"/>
      <c r="D1603" s="17"/>
      <c r="E1603" s="17"/>
      <c r="F1603" s="17"/>
      <c r="G1603" s="17"/>
      <c r="H1603" s="64"/>
      <c r="I1603" s="64"/>
      <c r="J1603" s="64"/>
      <c r="K1603" s="64"/>
      <c r="L1603" s="43"/>
      <c r="M1603" s="17"/>
      <c r="N1603" s="17"/>
      <c r="O1603" s="43"/>
      <c r="S1603" s="89"/>
    </row>
    <row r="1604" spans="1:19" ht="15.75" customHeight="1" x14ac:dyDescent="0.3">
      <c r="A1604" s="88"/>
      <c r="D1604" s="17"/>
      <c r="E1604" s="17"/>
      <c r="F1604" s="17"/>
      <c r="G1604" s="17"/>
      <c r="H1604" s="64"/>
      <c r="I1604" s="64"/>
      <c r="J1604" s="64"/>
      <c r="K1604" s="64"/>
      <c r="L1604" s="43"/>
      <c r="M1604" s="17"/>
      <c r="N1604" s="17"/>
      <c r="O1604" s="43"/>
      <c r="S1604" s="89"/>
    </row>
    <row r="1605" spans="1:19" ht="15.75" customHeight="1" x14ac:dyDescent="0.3">
      <c r="A1605" s="88"/>
      <c r="D1605" s="17"/>
      <c r="E1605" s="17"/>
      <c r="F1605" s="17"/>
      <c r="G1605" s="17"/>
      <c r="H1605" s="64"/>
      <c r="I1605" s="64"/>
      <c r="J1605" s="64"/>
      <c r="K1605" s="64"/>
      <c r="L1605" s="43"/>
      <c r="M1605" s="17"/>
      <c r="N1605" s="17"/>
      <c r="O1605" s="43"/>
      <c r="S1605" s="89"/>
    </row>
    <row r="1606" spans="1:19" ht="15.75" customHeight="1" x14ac:dyDescent="0.3">
      <c r="A1606" s="88"/>
      <c r="D1606" s="17"/>
      <c r="E1606" s="17"/>
      <c r="F1606" s="17"/>
      <c r="G1606" s="17"/>
      <c r="H1606" s="64"/>
      <c r="I1606" s="64"/>
      <c r="J1606" s="64"/>
      <c r="K1606" s="64"/>
      <c r="L1606" s="43"/>
      <c r="M1606" s="17"/>
      <c r="N1606" s="17"/>
      <c r="O1606" s="43"/>
      <c r="S1606" s="89"/>
    </row>
    <row r="1607" spans="1:19" ht="15.75" customHeight="1" x14ac:dyDescent="0.3">
      <c r="A1607" s="88"/>
      <c r="D1607" s="17"/>
      <c r="E1607" s="17"/>
      <c r="F1607" s="17"/>
      <c r="G1607" s="17"/>
      <c r="H1607" s="64"/>
      <c r="I1607" s="64"/>
      <c r="J1607" s="64"/>
      <c r="K1607" s="64"/>
      <c r="L1607" s="43"/>
      <c r="M1607" s="17"/>
      <c r="N1607" s="17"/>
      <c r="O1607" s="43"/>
      <c r="S1607" s="89"/>
    </row>
    <row r="1608" spans="1:19" ht="15.75" customHeight="1" x14ac:dyDescent="0.3">
      <c r="A1608" s="88"/>
      <c r="D1608" s="17"/>
      <c r="E1608" s="17"/>
      <c r="F1608" s="17"/>
      <c r="G1608" s="17"/>
      <c r="H1608" s="64"/>
      <c r="I1608" s="64"/>
      <c r="J1608" s="64"/>
      <c r="K1608" s="64"/>
      <c r="L1608" s="43"/>
      <c r="M1608" s="17"/>
      <c r="N1608" s="17"/>
      <c r="O1608" s="43"/>
      <c r="S1608" s="89"/>
    </row>
    <row r="1609" spans="1:19" ht="15.75" customHeight="1" x14ac:dyDescent="0.3">
      <c r="A1609" s="88"/>
      <c r="D1609" s="17"/>
      <c r="E1609" s="17"/>
      <c r="F1609" s="17"/>
      <c r="G1609" s="17"/>
      <c r="H1609" s="64"/>
      <c r="I1609" s="64"/>
      <c r="J1609" s="64"/>
      <c r="K1609" s="64"/>
      <c r="L1609" s="43"/>
      <c r="M1609" s="17"/>
      <c r="N1609" s="17"/>
      <c r="O1609" s="43"/>
      <c r="S1609" s="89"/>
    </row>
    <row r="1610" spans="1:19" ht="15.75" customHeight="1" x14ac:dyDescent="0.3">
      <c r="A1610" s="88"/>
      <c r="D1610" s="17"/>
      <c r="E1610" s="17"/>
      <c r="F1610" s="17"/>
      <c r="G1610" s="17"/>
      <c r="H1610" s="64"/>
      <c r="I1610" s="64"/>
      <c r="J1610" s="64"/>
      <c r="K1610" s="64"/>
      <c r="L1610" s="43"/>
      <c r="M1610" s="17"/>
      <c r="N1610" s="17"/>
      <c r="O1610" s="43"/>
      <c r="S1610" s="89"/>
    </row>
    <row r="1611" spans="1:19" ht="15.75" customHeight="1" x14ac:dyDescent="0.3">
      <c r="A1611" s="88"/>
      <c r="D1611" s="17"/>
      <c r="E1611" s="17"/>
      <c r="F1611" s="17"/>
      <c r="G1611" s="17"/>
      <c r="H1611" s="64"/>
      <c r="I1611" s="64"/>
      <c r="J1611" s="64"/>
      <c r="K1611" s="64"/>
      <c r="L1611" s="43"/>
      <c r="M1611" s="17"/>
      <c r="N1611" s="17"/>
      <c r="O1611" s="43"/>
      <c r="S1611" s="89"/>
    </row>
    <row r="1612" spans="1:19" ht="15.75" customHeight="1" x14ac:dyDescent="0.3">
      <c r="A1612" s="88"/>
      <c r="D1612" s="17"/>
      <c r="E1612" s="17"/>
      <c r="F1612" s="17"/>
      <c r="G1612" s="17"/>
      <c r="H1612" s="64"/>
      <c r="I1612" s="64"/>
      <c r="J1612" s="64"/>
      <c r="K1612" s="64"/>
      <c r="L1612" s="43"/>
      <c r="M1612" s="17"/>
      <c r="N1612" s="17"/>
      <c r="O1612" s="43"/>
      <c r="S1612" s="89"/>
    </row>
    <row r="1613" spans="1:19" ht="15.75" customHeight="1" x14ac:dyDescent="0.3">
      <c r="A1613" s="88"/>
      <c r="D1613" s="17"/>
      <c r="E1613" s="17"/>
      <c r="F1613" s="17"/>
      <c r="G1613" s="17"/>
      <c r="H1613" s="64"/>
      <c r="I1613" s="64"/>
      <c r="J1613" s="64"/>
      <c r="K1613" s="64"/>
      <c r="L1613" s="43"/>
      <c r="M1613" s="17"/>
      <c r="N1613" s="17"/>
      <c r="O1613" s="43"/>
      <c r="S1613" s="89"/>
    </row>
    <row r="1614" spans="1:19" ht="15.75" customHeight="1" x14ac:dyDescent="0.3">
      <c r="A1614" s="88"/>
      <c r="D1614" s="17"/>
      <c r="E1614" s="17"/>
      <c r="F1614" s="17"/>
      <c r="G1614" s="17"/>
      <c r="H1614" s="64"/>
      <c r="I1614" s="64"/>
      <c r="J1614" s="64"/>
      <c r="K1614" s="64"/>
      <c r="L1614" s="43"/>
      <c r="M1614" s="17"/>
      <c r="N1614" s="17"/>
      <c r="O1614" s="43"/>
      <c r="S1614" s="89"/>
    </row>
    <row r="1615" spans="1:19" ht="15.75" customHeight="1" x14ac:dyDescent="0.3">
      <c r="A1615" s="88"/>
      <c r="D1615" s="17"/>
      <c r="E1615" s="17"/>
      <c r="F1615" s="17"/>
      <c r="G1615" s="17"/>
      <c r="H1615" s="64"/>
      <c r="I1615" s="64"/>
      <c r="J1615" s="64"/>
      <c r="K1615" s="64"/>
      <c r="L1615" s="43"/>
      <c r="M1615" s="17"/>
      <c r="N1615" s="17"/>
      <c r="O1615" s="43"/>
      <c r="S1615" s="89"/>
    </row>
    <row r="1616" spans="1:19" ht="15.75" customHeight="1" x14ac:dyDescent="0.3">
      <c r="A1616" s="88"/>
      <c r="D1616" s="17"/>
      <c r="E1616" s="17"/>
      <c r="F1616" s="17"/>
      <c r="G1616" s="17"/>
      <c r="H1616" s="64"/>
      <c r="I1616" s="64"/>
      <c r="J1616" s="64"/>
      <c r="K1616" s="64"/>
      <c r="L1616" s="43"/>
      <c r="M1616" s="17"/>
      <c r="N1616" s="17"/>
      <c r="O1616" s="43"/>
      <c r="S1616" s="89"/>
    </row>
    <row r="1617" spans="1:19" ht="15.75" customHeight="1" x14ac:dyDescent="0.3">
      <c r="A1617" s="88"/>
      <c r="D1617" s="17"/>
      <c r="E1617" s="17"/>
      <c r="F1617" s="17"/>
      <c r="G1617" s="17"/>
      <c r="H1617" s="64"/>
      <c r="I1617" s="64"/>
      <c r="J1617" s="64"/>
      <c r="K1617" s="64"/>
      <c r="L1617" s="43"/>
      <c r="M1617" s="17"/>
      <c r="N1617" s="17"/>
      <c r="O1617" s="43"/>
      <c r="S1617" s="89"/>
    </row>
    <row r="1618" spans="1:19" ht="15.75" customHeight="1" x14ac:dyDescent="0.3">
      <c r="A1618" s="88"/>
      <c r="D1618" s="17"/>
      <c r="E1618" s="17"/>
      <c r="F1618" s="17"/>
      <c r="G1618" s="17"/>
      <c r="H1618" s="64"/>
      <c r="I1618" s="64"/>
      <c r="J1618" s="64"/>
      <c r="K1618" s="64"/>
      <c r="L1618" s="43"/>
      <c r="M1618" s="17"/>
      <c r="N1618" s="17"/>
      <c r="O1618" s="43"/>
      <c r="S1618" s="89"/>
    </row>
    <row r="1619" spans="1:19" ht="15.75" customHeight="1" x14ac:dyDescent="0.3">
      <c r="A1619" s="88"/>
      <c r="D1619" s="17"/>
      <c r="E1619" s="17"/>
      <c r="F1619" s="17"/>
      <c r="G1619" s="17"/>
      <c r="H1619" s="64"/>
      <c r="I1619" s="64"/>
      <c r="J1619" s="64"/>
      <c r="K1619" s="64"/>
      <c r="L1619" s="43"/>
      <c r="M1619" s="17"/>
      <c r="N1619" s="17"/>
      <c r="O1619" s="43"/>
      <c r="S1619" s="89"/>
    </row>
    <row r="1620" spans="1:19" ht="15.75" customHeight="1" x14ac:dyDescent="0.3">
      <c r="A1620" s="88"/>
      <c r="D1620" s="17"/>
      <c r="E1620" s="17"/>
      <c r="F1620" s="17"/>
      <c r="G1620" s="17"/>
      <c r="H1620" s="64"/>
      <c r="I1620" s="64"/>
      <c r="J1620" s="64"/>
      <c r="K1620" s="64"/>
      <c r="L1620" s="43"/>
      <c r="M1620" s="17"/>
      <c r="N1620" s="17"/>
      <c r="O1620" s="43"/>
      <c r="S1620" s="89"/>
    </row>
    <row r="1621" spans="1:19" ht="15.75" customHeight="1" x14ac:dyDescent="0.3">
      <c r="A1621" s="88"/>
      <c r="D1621" s="17"/>
      <c r="E1621" s="17"/>
      <c r="F1621" s="17"/>
      <c r="G1621" s="17"/>
      <c r="H1621" s="64"/>
      <c r="I1621" s="64"/>
      <c r="J1621" s="64"/>
      <c r="K1621" s="64"/>
      <c r="L1621" s="43"/>
      <c r="M1621" s="17"/>
      <c r="N1621" s="17"/>
      <c r="O1621" s="43"/>
      <c r="S1621" s="89"/>
    </row>
    <row r="1622" spans="1:19" ht="15.75" customHeight="1" x14ac:dyDescent="0.3">
      <c r="A1622" s="88"/>
      <c r="D1622" s="17"/>
      <c r="E1622" s="17"/>
      <c r="F1622" s="17"/>
      <c r="G1622" s="17"/>
      <c r="H1622" s="64"/>
      <c r="I1622" s="64"/>
      <c r="J1622" s="64"/>
      <c r="K1622" s="64"/>
      <c r="L1622" s="43"/>
      <c r="M1622" s="17"/>
      <c r="N1622" s="17"/>
      <c r="O1622" s="43"/>
      <c r="S1622" s="89"/>
    </row>
    <row r="1623" spans="1:19" ht="15.75" customHeight="1" x14ac:dyDescent="0.3">
      <c r="A1623" s="88"/>
      <c r="D1623" s="17"/>
      <c r="E1623" s="17"/>
      <c r="F1623" s="17"/>
      <c r="G1623" s="17"/>
      <c r="H1623" s="64"/>
      <c r="I1623" s="64"/>
      <c r="J1623" s="64"/>
      <c r="K1623" s="64"/>
      <c r="L1623" s="43"/>
      <c r="M1623" s="17"/>
      <c r="N1623" s="17"/>
      <c r="O1623" s="43"/>
      <c r="S1623" s="89"/>
    </row>
    <row r="1624" spans="1:19" ht="15.75" customHeight="1" x14ac:dyDescent="0.3">
      <c r="A1624" s="88"/>
      <c r="D1624" s="17"/>
      <c r="E1624" s="17"/>
      <c r="F1624" s="17"/>
      <c r="G1624" s="17"/>
      <c r="H1624" s="64"/>
      <c r="I1624" s="64"/>
      <c r="J1624" s="64"/>
      <c r="K1624" s="64"/>
      <c r="L1624" s="43"/>
      <c r="M1624" s="17"/>
      <c r="N1624" s="17"/>
      <c r="O1624" s="43"/>
      <c r="S1624" s="89"/>
    </row>
    <row r="1625" spans="1:19" ht="15.75" customHeight="1" x14ac:dyDescent="0.3">
      <c r="A1625" s="88"/>
      <c r="D1625" s="17"/>
      <c r="E1625" s="17"/>
      <c r="F1625" s="17"/>
      <c r="G1625" s="17"/>
      <c r="H1625" s="64"/>
      <c r="I1625" s="64"/>
      <c r="J1625" s="64"/>
      <c r="K1625" s="64"/>
      <c r="L1625" s="43"/>
      <c r="M1625" s="17"/>
      <c r="N1625" s="17"/>
      <c r="O1625" s="43"/>
      <c r="S1625" s="89"/>
    </row>
    <row r="1626" spans="1:19" ht="15.75" customHeight="1" x14ac:dyDescent="0.3">
      <c r="A1626" s="88"/>
      <c r="D1626" s="17"/>
      <c r="E1626" s="17"/>
      <c r="F1626" s="17"/>
      <c r="G1626" s="17"/>
      <c r="H1626" s="64"/>
      <c r="I1626" s="64"/>
      <c r="J1626" s="64"/>
      <c r="K1626" s="64"/>
      <c r="L1626" s="43"/>
      <c r="M1626" s="17"/>
      <c r="N1626" s="17"/>
      <c r="O1626" s="43"/>
      <c r="S1626" s="89"/>
    </row>
    <row r="1627" spans="1:19" ht="15.75" customHeight="1" x14ac:dyDescent="0.3">
      <c r="A1627" s="88"/>
      <c r="D1627" s="17"/>
      <c r="E1627" s="17"/>
      <c r="F1627" s="17"/>
      <c r="G1627" s="17"/>
      <c r="H1627" s="64"/>
      <c r="I1627" s="64"/>
      <c r="J1627" s="64"/>
      <c r="K1627" s="64"/>
      <c r="L1627" s="43"/>
      <c r="M1627" s="17"/>
      <c r="N1627" s="17"/>
      <c r="O1627" s="43"/>
      <c r="S1627" s="89"/>
    </row>
    <row r="1628" spans="1:19" ht="15.75" customHeight="1" x14ac:dyDescent="0.3">
      <c r="A1628" s="88"/>
      <c r="D1628" s="17"/>
      <c r="E1628" s="17"/>
      <c r="F1628" s="17"/>
      <c r="G1628" s="17"/>
      <c r="H1628" s="64"/>
      <c r="I1628" s="64"/>
      <c r="J1628" s="64"/>
      <c r="K1628" s="64"/>
      <c r="L1628" s="43"/>
      <c r="M1628" s="17"/>
      <c r="N1628" s="17"/>
      <c r="O1628" s="43"/>
      <c r="S1628" s="89"/>
    </row>
    <row r="1629" spans="1:19" ht="15.75" customHeight="1" x14ac:dyDescent="0.3">
      <c r="A1629" s="88"/>
      <c r="D1629" s="17"/>
      <c r="E1629" s="17"/>
      <c r="F1629" s="17"/>
      <c r="G1629" s="17"/>
      <c r="H1629" s="64"/>
      <c r="I1629" s="64"/>
      <c r="J1629" s="64"/>
      <c r="K1629" s="64"/>
      <c r="L1629" s="43"/>
      <c r="M1629" s="17"/>
      <c r="N1629" s="17"/>
      <c r="O1629" s="43"/>
      <c r="S1629" s="89"/>
    </row>
    <row r="1630" spans="1:19" ht="15.75" customHeight="1" x14ac:dyDescent="0.3">
      <c r="A1630" s="88"/>
      <c r="D1630" s="17"/>
      <c r="E1630" s="17"/>
      <c r="F1630" s="17"/>
      <c r="G1630" s="17"/>
      <c r="H1630" s="64"/>
      <c r="I1630" s="64"/>
      <c r="J1630" s="64"/>
      <c r="K1630" s="64"/>
      <c r="L1630" s="43"/>
      <c r="M1630" s="17"/>
      <c r="N1630" s="17"/>
      <c r="O1630" s="43"/>
      <c r="S1630" s="89"/>
    </row>
    <row r="1631" spans="1:19" ht="15.75" customHeight="1" x14ac:dyDescent="0.3">
      <c r="A1631" s="88"/>
      <c r="D1631" s="17"/>
      <c r="E1631" s="17"/>
      <c r="F1631" s="17"/>
      <c r="G1631" s="17"/>
      <c r="H1631" s="64"/>
      <c r="I1631" s="64"/>
      <c r="J1631" s="64"/>
      <c r="K1631" s="64"/>
      <c r="L1631" s="43"/>
      <c r="M1631" s="17"/>
      <c r="N1631" s="17"/>
      <c r="O1631" s="43"/>
      <c r="S1631" s="89"/>
    </row>
    <row r="1632" spans="1:19" ht="15.75" customHeight="1" x14ac:dyDescent="0.3">
      <c r="A1632" s="88"/>
      <c r="D1632" s="17"/>
      <c r="E1632" s="17"/>
      <c r="F1632" s="17"/>
      <c r="G1632" s="17"/>
      <c r="H1632" s="64"/>
      <c r="I1632" s="64"/>
      <c r="J1632" s="64"/>
      <c r="K1632" s="64"/>
      <c r="L1632" s="43"/>
      <c r="M1632" s="17"/>
      <c r="N1632" s="17"/>
      <c r="O1632" s="43"/>
      <c r="S1632" s="89"/>
    </row>
    <row r="1633" spans="1:19" ht="15.75" customHeight="1" x14ac:dyDescent="0.3">
      <c r="A1633" s="88"/>
      <c r="D1633" s="17"/>
      <c r="E1633" s="17"/>
      <c r="F1633" s="17"/>
      <c r="G1633" s="17"/>
      <c r="H1633" s="64"/>
      <c r="I1633" s="64"/>
      <c r="J1633" s="64"/>
      <c r="K1633" s="64"/>
      <c r="L1633" s="43"/>
      <c r="M1633" s="17"/>
      <c r="N1633" s="17"/>
      <c r="O1633" s="43"/>
      <c r="S1633" s="89"/>
    </row>
    <row r="1634" spans="1:19" ht="15.75" customHeight="1" x14ac:dyDescent="0.3">
      <c r="A1634" s="88"/>
      <c r="D1634" s="17"/>
      <c r="E1634" s="17"/>
      <c r="F1634" s="17"/>
      <c r="G1634" s="17"/>
      <c r="H1634" s="64"/>
      <c r="I1634" s="64"/>
      <c r="J1634" s="64"/>
      <c r="K1634" s="64"/>
      <c r="L1634" s="43"/>
      <c r="M1634" s="17"/>
      <c r="N1634" s="17"/>
      <c r="O1634" s="43"/>
      <c r="S1634" s="89"/>
    </row>
    <row r="1635" spans="1:19" ht="15.75" customHeight="1" x14ac:dyDescent="0.3">
      <c r="A1635" s="88"/>
      <c r="D1635" s="17"/>
      <c r="E1635" s="17"/>
      <c r="F1635" s="17"/>
      <c r="G1635" s="17"/>
      <c r="H1635" s="64"/>
      <c r="I1635" s="64"/>
      <c r="J1635" s="64"/>
      <c r="K1635" s="64"/>
      <c r="L1635" s="43"/>
      <c r="M1635" s="17"/>
      <c r="N1635" s="17"/>
      <c r="O1635" s="43"/>
      <c r="S1635" s="89"/>
    </row>
    <row r="1636" spans="1:19" ht="15.75" customHeight="1" x14ac:dyDescent="0.3">
      <c r="A1636" s="88"/>
      <c r="D1636" s="17"/>
      <c r="E1636" s="17"/>
      <c r="F1636" s="17"/>
      <c r="G1636" s="17"/>
      <c r="H1636" s="64"/>
      <c r="I1636" s="64"/>
      <c r="J1636" s="64"/>
      <c r="K1636" s="64"/>
      <c r="L1636" s="43"/>
      <c r="M1636" s="17"/>
      <c r="N1636" s="17"/>
      <c r="O1636" s="43"/>
      <c r="S1636" s="89"/>
    </row>
    <row r="1637" spans="1:19" ht="15.75" customHeight="1" x14ac:dyDescent="0.3">
      <c r="A1637" s="88"/>
      <c r="D1637" s="17"/>
      <c r="E1637" s="17"/>
      <c r="F1637" s="17"/>
      <c r="G1637" s="17"/>
      <c r="H1637" s="64"/>
      <c r="I1637" s="64"/>
      <c r="J1637" s="64"/>
      <c r="K1637" s="64"/>
      <c r="L1637" s="43"/>
      <c r="M1637" s="17"/>
      <c r="N1637" s="17"/>
      <c r="O1637" s="43"/>
      <c r="S1637" s="89"/>
    </row>
    <row r="1638" spans="1:19" ht="15.75" customHeight="1" x14ac:dyDescent="0.3">
      <c r="A1638" s="88"/>
      <c r="D1638" s="17"/>
      <c r="E1638" s="17"/>
      <c r="F1638" s="17"/>
      <c r="G1638" s="17"/>
      <c r="H1638" s="64"/>
      <c r="I1638" s="64"/>
      <c r="J1638" s="64"/>
      <c r="K1638" s="64"/>
      <c r="L1638" s="43"/>
      <c r="M1638" s="17"/>
      <c r="N1638" s="17"/>
      <c r="O1638" s="43"/>
      <c r="S1638" s="89"/>
    </row>
    <row r="1639" spans="1:19" ht="15.75" customHeight="1" x14ac:dyDescent="0.3">
      <c r="A1639" s="88"/>
      <c r="D1639" s="17"/>
      <c r="E1639" s="17"/>
      <c r="F1639" s="17"/>
      <c r="G1639" s="17"/>
      <c r="H1639" s="64"/>
      <c r="I1639" s="64"/>
      <c r="J1639" s="64"/>
      <c r="K1639" s="64"/>
      <c r="L1639" s="43"/>
      <c r="M1639" s="17"/>
      <c r="N1639" s="17"/>
      <c r="O1639" s="43"/>
      <c r="S1639" s="89"/>
    </row>
    <row r="1640" spans="1:19" ht="15.75" customHeight="1" x14ac:dyDescent="0.3">
      <c r="A1640" s="88"/>
      <c r="D1640" s="17"/>
      <c r="E1640" s="17"/>
      <c r="F1640" s="17"/>
      <c r="G1640" s="17"/>
      <c r="H1640" s="64"/>
      <c r="I1640" s="64"/>
      <c r="J1640" s="64"/>
      <c r="K1640" s="64"/>
      <c r="L1640" s="43"/>
      <c r="M1640" s="17"/>
      <c r="N1640" s="17"/>
      <c r="O1640" s="43"/>
      <c r="S1640" s="89"/>
    </row>
    <row r="1641" spans="1:19" ht="15.75" customHeight="1" x14ac:dyDescent="0.3">
      <c r="A1641" s="88"/>
      <c r="D1641" s="17"/>
      <c r="E1641" s="17"/>
      <c r="F1641" s="17"/>
      <c r="G1641" s="17"/>
      <c r="H1641" s="64"/>
      <c r="I1641" s="64"/>
      <c r="J1641" s="64"/>
      <c r="K1641" s="64"/>
      <c r="L1641" s="43"/>
      <c r="M1641" s="17"/>
      <c r="N1641" s="17"/>
      <c r="O1641" s="43"/>
      <c r="S1641" s="89"/>
    </row>
    <row r="1642" spans="1:19" ht="15.75" customHeight="1" x14ac:dyDescent="0.3">
      <c r="A1642" s="88"/>
      <c r="D1642" s="17"/>
      <c r="E1642" s="17"/>
      <c r="F1642" s="17"/>
      <c r="G1642" s="17"/>
      <c r="H1642" s="64"/>
      <c r="I1642" s="64"/>
      <c r="J1642" s="64"/>
      <c r="K1642" s="64"/>
      <c r="L1642" s="43"/>
      <c r="M1642" s="17"/>
      <c r="N1642" s="17"/>
      <c r="O1642" s="43"/>
      <c r="S1642" s="89"/>
    </row>
    <row r="1643" spans="1:19" ht="15.75" customHeight="1" x14ac:dyDescent="0.3">
      <c r="A1643" s="88"/>
      <c r="D1643" s="17"/>
      <c r="E1643" s="17"/>
      <c r="F1643" s="17"/>
      <c r="G1643" s="17"/>
      <c r="H1643" s="64"/>
      <c r="I1643" s="64"/>
      <c r="J1643" s="64"/>
      <c r="K1643" s="64"/>
      <c r="L1643" s="43"/>
      <c r="M1643" s="17"/>
      <c r="N1643" s="17"/>
      <c r="O1643" s="43"/>
      <c r="S1643" s="89"/>
    </row>
    <row r="1644" spans="1:19" ht="15.75" customHeight="1" x14ac:dyDescent="0.3">
      <c r="A1644" s="88"/>
      <c r="D1644" s="17"/>
      <c r="E1644" s="17"/>
      <c r="F1644" s="17"/>
      <c r="G1644" s="17"/>
      <c r="H1644" s="64"/>
      <c r="I1644" s="64"/>
      <c r="J1644" s="64"/>
      <c r="K1644" s="64"/>
      <c r="L1644" s="43"/>
      <c r="M1644" s="17"/>
      <c r="N1644" s="17"/>
      <c r="O1644" s="43"/>
      <c r="S1644" s="89"/>
    </row>
    <row r="1645" spans="1:19" ht="15.75" customHeight="1" x14ac:dyDescent="0.3">
      <c r="A1645" s="88"/>
      <c r="D1645" s="17"/>
      <c r="E1645" s="17"/>
      <c r="F1645" s="17"/>
      <c r="G1645" s="17"/>
      <c r="H1645" s="64"/>
      <c r="I1645" s="64"/>
      <c r="J1645" s="64"/>
      <c r="K1645" s="64"/>
      <c r="L1645" s="43"/>
      <c r="M1645" s="17"/>
      <c r="N1645" s="17"/>
      <c r="O1645" s="43"/>
      <c r="S1645" s="89"/>
    </row>
    <row r="1646" spans="1:19" ht="15.75" customHeight="1" x14ac:dyDescent="0.3">
      <c r="A1646" s="88"/>
      <c r="D1646" s="17"/>
      <c r="E1646" s="17"/>
      <c r="F1646" s="17"/>
      <c r="G1646" s="17"/>
      <c r="H1646" s="64"/>
      <c r="I1646" s="64"/>
      <c r="J1646" s="64"/>
      <c r="K1646" s="64"/>
      <c r="L1646" s="43"/>
      <c r="M1646" s="17"/>
      <c r="N1646" s="17"/>
      <c r="O1646" s="43"/>
      <c r="S1646" s="89"/>
    </row>
    <row r="1647" spans="1:19" ht="15.75" customHeight="1" x14ac:dyDescent="0.3">
      <c r="A1647" s="88"/>
      <c r="D1647" s="17"/>
      <c r="E1647" s="17"/>
      <c r="F1647" s="17"/>
      <c r="G1647" s="17"/>
      <c r="H1647" s="64"/>
      <c r="I1647" s="64"/>
      <c r="J1647" s="64"/>
      <c r="K1647" s="64"/>
      <c r="L1647" s="43"/>
      <c r="M1647" s="17"/>
      <c r="N1647" s="17"/>
      <c r="O1647" s="43"/>
      <c r="S1647" s="89"/>
    </row>
    <row r="1648" spans="1:19" ht="15.75" customHeight="1" x14ac:dyDescent="0.3">
      <c r="A1648" s="88"/>
      <c r="D1648" s="17"/>
      <c r="E1648" s="17"/>
      <c r="F1648" s="17"/>
      <c r="G1648" s="17"/>
      <c r="H1648" s="64"/>
      <c r="I1648" s="64"/>
      <c r="J1648" s="64"/>
      <c r="K1648" s="64"/>
      <c r="L1648" s="43"/>
      <c r="M1648" s="17"/>
      <c r="N1648" s="17"/>
      <c r="O1648" s="43"/>
      <c r="S1648" s="89"/>
    </row>
    <row r="1649" spans="1:19" ht="15.75" customHeight="1" x14ac:dyDescent="0.3">
      <c r="A1649" s="88"/>
      <c r="D1649" s="17"/>
      <c r="E1649" s="17"/>
      <c r="F1649" s="17"/>
      <c r="G1649" s="17"/>
      <c r="H1649" s="64"/>
      <c r="I1649" s="64"/>
      <c r="J1649" s="64"/>
      <c r="K1649" s="64"/>
      <c r="L1649" s="43"/>
      <c r="M1649" s="17"/>
      <c r="N1649" s="17"/>
      <c r="O1649" s="43"/>
      <c r="S1649" s="89"/>
    </row>
    <row r="1650" spans="1:19" ht="15.75" customHeight="1" x14ac:dyDescent="0.3">
      <c r="A1650" s="88"/>
      <c r="D1650" s="17"/>
      <c r="E1650" s="17"/>
      <c r="F1650" s="17"/>
      <c r="G1650" s="17"/>
      <c r="H1650" s="64"/>
      <c r="I1650" s="64"/>
      <c r="J1650" s="64"/>
      <c r="K1650" s="64"/>
      <c r="L1650" s="43"/>
      <c r="M1650" s="17"/>
      <c r="N1650" s="17"/>
      <c r="O1650" s="43"/>
      <c r="S1650" s="89"/>
    </row>
    <row r="1651" spans="1:19" ht="15.75" customHeight="1" x14ac:dyDescent="0.3">
      <c r="A1651" s="88"/>
      <c r="D1651" s="17"/>
      <c r="E1651" s="17"/>
      <c r="F1651" s="17"/>
      <c r="G1651" s="17"/>
      <c r="H1651" s="64"/>
      <c r="I1651" s="64"/>
      <c r="J1651" s="64"/>
      <c r="K1651" s="64"/>
      <c r="L1651" s="43"/>
      <c r="M1651" s="17"/>
      <c r="N1651" s="17"/>
      <c r="O1651" s="43"/>
      <c r="S1651" s="89"/>
    </row>
  </sheetData>
  <mergeCells count="248">
    <mergeCell ref="R6:S7"/>
    <mergeCell ref="R8:S9"/>
    <mergeCell ref="U11:Z11"/>
    <mergeCell ref="U12:Z12"/>
    <mergeCell ref="I1:K3"/>
    <mergeCell ref="B6:D6"/>
    <mergeCell ref="E6:G6"/>
    <mergeCell ref="B7:D7"/>
    <mergeCell ref="E7:G7"/>
    <mergeCell ref="B8:D8"/>
    <mergeCell ref="B9:D9"/>
    <mergeCell ref="O12:O13"/>
    <mergeCell ref="P12:P13"/>
    <mergeCell ref="Q12:Q13"/>
    <mergeCell ref="R12:R13"/>
    <mergeCell ref="S12:S13"/>
    <mergeCell ref="E8:G8"/>
    <mergeCell ref="G10:H10"/>
    <mergeCell ref="H12:H13"/>
    <mergeCell ref="I12:I13"/>
    <mergeCell ref="J12:J13"/>
    <mergeCell ref="K12:K13"/>
    <mergeCell ref="L12:L13"/>
    <mergeCell ref="M12:M13"/>
    <mergeCell ref="N12:N13"/>
    <mergeCell ref="B12:C13"/>
    <mergeCell ref="D12:D13"/>
    <mergeCell ref="E12:E13"/>
    <mergeCell ref="F12:F13"/>
    <mergeCell ref="G12:G13"/>
    <mergeCell ref="I89:I91"/>
    <mergeCell ref="I94:I96"/>
    <mergeCell ref="I99:I101"/>
    <mergeCell ref="I105:I107"/>
    <mergeCell ref="I109:I110"/>
    <mergeCell ref="I111:I113"/>
    <mergeCell ref="I115:I116"/>
    <mergeCell ref="B15:S15"/>
    <mergeCell ref="B23:AG23"/>
    <mergeCell ref="C29:Z29"/>
    <mergeCell ref="I117:I119"/>
    <mergeCell ref="I121:I122"/>
    <mergeCell ref="I123:I125"/>
    <mergeCell ref="I127:I128"/>
    <mergeCell ref="I129:I131"/>
    <mergeCell ref="I133:I134"/>
    <mergeCell ref="I135:I137"/>
    <mergeCell ref="I147:I148"/>
    <mergeCell ref="I149:I151"/>
    <mergeCell ref="I153:I154"/>
    <mergeCell ref="I155:I157"/>
    <mergeCell ref="I159:I160"/>
    <mergeCell ref="I161:I163"/>
    <mergeCell ref="I165:I166"/>
    <mergeCell ref="I167:I169"/>
    <mergeCell ref="I172:I173"/>
    <mergeCell ref="I174:I176"/>
    <mergeCell ref="I178:I179"/>
    <mergeCell ref="I186:I188"/>
    <mergeCell ref="I477:I479"/>
    <mergeCell ref="I493:I495"/>
    <mergeCell ref="I525:I527"/>
    <mergeCell ref="I541:I543"/>
    <mergeCell ref="I573:I575"/>
    <mergeCell ref="I605:I607"/>
    <mergeCell ref="I225:I226"/>
    <mergeCell ref="I227:I229"/>
    <mergeCell ref="I231:I232"/>
    <mergeCell ref="I233:I235"/>
    <mergeCell ref="E225:E229"/>
    <mergeCell ref="E231:E235"/>
    <mergeCell ref="E237:E249"/>
    <mergeCell ref="I637:I639"/>
    <mergeCell ref="I654:I656"/>
    <mergeCell ref="I279:I281"/>
    <mergeCell ref="I301:I303"/>
    <mergeCell ref="I349:I351"/>
    <mergeCell ref="I381:I383"/>
    <mergeCell ref="I397:I399"/>
    <mergeCell ref="I429:I431"/>
    <mergeCell ref="I445:I447"/>
    <mergeCell ref="E256:E270"/>
    <mergeCell ref="E272:E286"/>
    <mergeCell ref="E294:E308"/>
    <mergeCell ref="E310:E324"/>
    <mergeCell ref="E326:E340"/>
    <mergeCell ref="E342:E356"/>
    <mergeCell ref="E358:E372"/>
    <mergeCell ref="E374:E388"/>
    <mergeCell ref="E390:E404"/>
    <mergeCell ref="D663:D664"/>
    <mergeCell ref="D666:D672"/>
    <mergeCell ref="D673:D677"/>
    <mergeCell ref="D681:D684"/>
    <mergeCell ref="D685:D687"/>
    <mergeCell ref="D688:D693"/>
    <mergeCell ref="E406:E420"/>
    <mergeCell ref="E422:E436"/>
    <mergeCell ref="E439:E452"/>
    <mergeCell ref="E454:E468"/>
    <mergeCell ref="E470:E484"/>
    <mergeCell ref="E486:E500"/>
    <mergeCell ref="E502:E516"/>
    <mergeCell ref="E518:E532"/>
    <mergeCell ref="E534:E548"/>
    <mergeCell ref="E667:E672"/>
    <mergeCell ref="E674:E677"/>
    <mergeCell ref="E682:E684"/>
    <mergeCell ref="E686:E687"/>
    <mergeCell ref="E689:E693"/>
    <mergeCell ref="C717:Z717"/>
    <mergeCell ref="E726:E730"/>
    <mergeCell ref="E733:E737"/>
    <mergeCell ref="D720:D721"/>
    <mergeCell ref="D722:D723"/>
    <mergeCell ref="D724:D730"/>
    <mergeCell ref="D731:D737"/>
    <mergeCell ref="E566:E580"/>
    <mergeCell ref="E582:E596"/>
    <mergeCell ref="E598:E612"/>
    <mergeCell ref="E614:E628"/>
    <mergeCell ref="E630:E644"/>
    <mergeCell ref="E649:E659"/>
    <mergeCell ref="E663:E664"/>
    <mergeCell ref="D57:D58"/>
    <mergeCell ref="E57:E58"/>
    <mergeCell ref="D62:D65"/>
    <mergeCell ref="E63:E66"/>
    <mergeCell ref="D87:D91"/>
    <mergeCell ref="E88:E91"/>
    <mergeCell ref="D92:D96"/>
    <mergeCell ref="E93:E96"/>
    <mergeCell ref="D97:D101"/>
    <mergeCell ref="E98:E101"/>
    <mergeCell ref="D103:D107"/>
    <mergeCell ref="E104:E107"/>
    <mergeCell ref="D108:D113"/>
    <mergeCell ref="E109:E113"/>
    <mergeCell ref="D114:D119"/>
    <mergeCell ref="E115:E119"/>
    <mergeCell ref="E550:E564"/>
    <mergeCell ref="I64:I66"/>
    <mergeCell ref="E68:E71"/>
    <mergeCell ref="I69:I71"/>
    <mergeCell ref="D67:D71"/>
    <mergeCell ref="D72:D76"/>
    <mergeCell ref="E73:E76"/>
    <mergeCell ref="D77:D81"/>
    <mergeCell ref="E78:E81"/>
    <mergeCell ref="E83:E86"/>
    <mergeCell ref="I84:I86"/>
    <mergeCell ref="D82:D86"/>
    <mergeCell ref="I74:I76"/>
    <mergeCell ref="I79:I81"/>
    <mergeCell ref="E121:E125"/>
    <mergeCell ref="E127:E131"/>
    <mergeCell ref="E133:E137"/>
    <mergeCell ref="E147:E151"/>
    <mergeCell ref="E153:E157"/>
    <mergeCell ref="E159:E163"/>
    <mergeCell ref="E165:E169"/>
    <mergeCell ref="E172:E176"/>
    <mergeCell ref="I215:I217"/>
    <mergeCell ref="I190:I191"/>
    <mergeCell ref="I192:I194"/>
    <mergeCell ref="I196:I197"/>
    <mergeCell ref="I198:I200"/>
    <mergeCell ref="I202:I203"/>
    <mergeCell ref="I204:I206"/>
    <mergeCell ref="I213:I214"/>
    <mergeCell ref="E178:E182"/>
    <mergeCell ref="E184:E188"/>
    <mergeCell ref="E190:E194"/>
    <mergeCell ref="E196:E200"/>
    <mergeCell ref="E202:E206"/>
    <mergeCell ref="E213:E217"/>
    <mergeCell ref="I180:I182"/>
    <mergeCell ref="I184:I185"/>
    <mergeCell ref="D740:D741"/>
    <mergeCell ref="D746:D752"/>
    <mergeCell ref="D753:D754"/>
    <mergeCell ref="D755:D757"/>
    <mergeCell ref="D759:D763"/>
    <mergeCell ref="E760:E763"/>
    <mergeCell ref="D764:D766"/>
    <mergeCell ref="D767:D768"/>
    <mergeCell ref="D774:D775"/>
    <mergeCell ref="E747:E752"/>
    <mergeCell ref="D780:D781"/>
    <mergeCell ref="D791:D796"/>
    <mergeCell ref="E792:E796"/>
    <mergeCell ref="D797:D799"/>
    <mergeCell ref="D800:D802"/>
    <mergeCell ref="D803:D805"/>
    <mergeCell ref="D806:D808"/>
    <mergeCell ref="D809:D811"/>
    <mergeCell ref="D846:D851"/>
    <mergeCell ref="D852:D853"/>
    <mergeCell ref="D812:D814"/>
    <mergeCell ref="D815:D819"/>
    <mergeCell ref="D834:D839"/>
    <mergeCell ref="E835:E839"/>
    <mergeCell ref="D840:D842"/>
    <mergeCell ref="D843:D845"/>
    <mergeCell ref="E847:E851"/>
    <mergeCell ref="D120:D125"/>
    <mergeCell ref="D126:D131"/>
    <mergeCell ref="D132:D137"/>
    <mergeCell ref="D146:D151"/>
    <mergeCell ref="D152:D157"/>
    <mergeCell ref="D158:D163"/>
    <mergeCell ref="D164:D169"/>
    <mergeCell ref="D171:D176"/>
    <mergeCell ref="D177:D182"/>
    <mergeCell ref="D183:D188"/>
    <mergeCell ref="D189:D194"/>
    <mergeCell ref="D195:D200"/>
    <mergeCell ref="D201:D206"/>
    <mergeCell ref="D212:D217"/>
    <mergeCell ref="D224:D229"/>
    <mergeCell ref="D230:D235"/>
    <mergeCell ref="D236:D249"/>
    <mergeCell ref="D255:D270"/>
    <mergeCell ref="D271:D286"/>
    <mergeCell ref="D293:D308"/>
    <mergeCell ref="D309:D324"/>
    <mergeCell ref="D325:D340"/>
    <mergeCell ref="D341:D356"/>
    <mergeCell ref="D357:D372"/>
    <mergeCell ref="D373:D388"/>
    <mergeCell ref="D389:D404"/>
    <mergeCell ref="D405:D420"/>
    <mergeCell ref="D421:D436"/>
    <mergeCell ref="D437:D452"/>
    <mergeCell ref="D453:D468"/>
    <mergeCell ref="D469:D484"/>
    <mergeCell ref="D485:D500"/>
    <mergeCell ref="D501:D516"/>
    <mergeCell ref="D517:D532"/>
    <mergeCell ref="D533:D548"/>
    <mergeCell ref="D549:D564"/>
    <mergeCell ref="D565:D580"/>
    <mergeCell ref="D581:D596"/>
    <mergeCell ref="D597:D612"/>
    <mergeCell ref="D613:D628"/>
    <mergeCell ref="D629:D644"/>
    <mergeCell ref="D647:D659"/>
    <mergeCell ref="D660:D661"/>
  </mergeCells>
  <conditionalFormatting sqref="D1:S859 U1:AG859 T1:T865 A1:B859 C1:C860">
    <cfRule type="cellIs" dxfId="20" priority="5" operator="equal">
      <formula>"OK"</formula>
    </cfRule>
    <cfRule type="cellIs" dxfId="19" priority="6" operator="equal">
      <formula>"NG"</formula>
    </cfRule>
    <cfRule type="cellIs" dxfId="18" priority="7" operator="equal">
      <formula>"Pending"</formula>
    </cfRule>
  </conditionalFormatting>
  <conditionalFormatting sqref="I5:I9 M5:M9 K5:K10 S5:S10 N5:R13 A6:H9 J6:J9 L6:L9 U6:Z13 AA6:AG22 T6:T28 B12:M13 S12:S13 A14:A859 U15:Z15 B16:B859 F17:F22 L17:L22 O17:P22 U17:Z22 E24 F24:F28 L24:L28 O24:S28 U24:Z28 AA24:AG429 E28 E30:F858 L30:L858 O30:S858 U30:Z858 T30:T865 M32 M34 M47:M48 M63 G64:G66 M68 G69:G71 M73 G74:G76 M78 G79:G89 M83 G92:G94 M93 G97:G99 G102:G105 C103 C108 G108:G138 C114 M115 C120 C126 C132 C138 C145:C146 G145:G858 C152 C158 C163:C858 M173:M286 D177:D207 K206 N206 M288:M661 D357:D402 AA431:AG859 N660:N661 N663:N665 M663:M716 N679 N683:N684 N701 M718:N722 M724:N739 M741:N766 M768:N773 M776:N851 M853:N858">
    <cfRule type="cellIs" dxfId="17" priority="1" operator="equal">
      <formula>"x"</formula>
    </cfRule>
    <cfRule type="expression" dxfId="16" priority="2">
      <formula>"Not Used"</formula>
    </cfRule>
    <cfRule type="cellIs" dxfId="15" priority="3" operator="equal">
      <formula>"Cancelled"</formula>
    </cfRule>
  </conditionalFormatting>
  <conditionalFormatting sqref="K5:K9 N6:S6 L6:M9 AA16:AG22 L17:Z22 E24 L24:Z28 AA24:AG114 E28 E30:E716 L30:Z716 AA116:AG171 AA173:AG205 AA208:AG353 F213 F225 F231 F237 F239:F242 F246:F249 F256:F261 F266:F270 F272:F277 F282:F286 F294:F299 F304:F308 F310:F315 F320:F324 F326:F331 F336:F340 F342:F347 F352:F356 F358:F363 F368:F372 F374:F379 F384:F388 F390:F395 F400:F404 AA403:AG429 F406:F411 F416:F420 F422:F427 AA431:AG466 F432:F436 F438:F443 F448:F452 F454:F459 F464:F468 AA468:AG527 F470:F475 F480:F484 F486:F491 F496:F500 F502:F507 F512:F516 F518:F523 F528:F532 AA529:AG858 F534:F539 F544:F548 F550:F555 F560:F564 F566:F571 F576:F580 F582:F587 F592:F596 F598:F603 F608:F612 F614:F619 F624:F644 F647:F659 F665:F716 E718:F858 L718:Z858">
    <cfRule type="expression" dxfId="14" priority="4" stopIfTrue="1">
      <formula>#REF!="X"</formula>
    </cfRule>
  </conditionalFormatting>
  <dataValidations count="5">
    <dataValidation type="list" allowBlank="1" showErrorMessage="1" sqref="L17:L22 O17:O22 L24:L28 O24:O28 L30:L716 O30:O716 L718:L858 O718:O858" xr:uid="{00000000-0002-0000-5700-000000000000}">
      <formula1>"OK,NG,N/A,Pending,Q&amp;A,ROC"</formula1>
    </dataValidation>
    <dataValidation type="custom" allowBlank="1" showDropDown="1" showErrorMessage="1" sqref="M24 M32 M34 M43:M50 M52:M659 M662 M666:M678 M680:M682 M685:M700 M702:M716 M723 M740 M743 M767 M770 M774:M775 M777 M852 Q852:Q854 M855 Q857:Q858" xr:uid="{00000000-0002-0000-5700-000003000000}">
      <formula1>OR(NOT(ISERROR(DATEVALUE(M24))), AND(ISNUMBER(M24), LEFT(CELL("format", M24))="D"))</formula1>
    </dataValidation>
    <dataValidation type="list" allowBlank="1" showErrorMessage="1" sqref="O5:O10 G17:G22 G24:G28 G30:G716 G718:G858" xr:uid="{00000000-0002-0000-5700-000006000000}">
      <formula1>"BD Common,BD Detail,BD Q&amp;A, Chat, Meet,BD Layout/Wireframe/Prototype,Figma UI Design,SQA TVP Common"</formula1>
    </dataValidation>
    <dataValidation type="list" allowBlank="1" showErrorMessage="1" sqref="P17:P22 P24:P28 P30:P50 P55 P59:P108 P110:P114 P116:P120 P122:P126 P128:P132 P134:P146 P148:P152 P154:P158 P160:P164 P166:P171 P173:P177 P179:P183 P185:P189 P191:P195 P197:P201 P203:P224 P226:P230 P232:P236 P238:P255 P262:P271 P273:P309 P311:P325 P327:P341 P343 P345 P348:P357 P359:P373 P375 P377 P380:P389 P391:P405 P407:P421 P423:P453 P455:P469 P471:P485 P487:P501 P503 P505 P508:P517 P519:P533 P535 P537 P540:P549 P551 P553 P556:P565 P567:P581 P583:P597 P599:P613 P615:P629 P631:P646 P650:P716 P718:P858" xr:uid="{00000000-0002-0000-5700-000007000000}">
      <formula1>"Todo,Done"</formula1>
    </dataValidation>
    <dataValidation type="list" allowBlank="1" showErrorMessage="1" sqref="K6:K9" xr:uid="{00000000-0002-0000-5700-000008000000}">
      <formula1>"OK,N/A,Pending,NG"</formula1>
    </dataValidation>
  </dataValidations>
  <hyperlinks>
    <hyperlink ref="K24" r:id="rId1" xr:uid="{00000000-0004-0000-5700-000000000000}"/>
    <hyperlink ref="K35" r:id="rId2" xr:uid="{00000000-0004-0000-5700-000001000000}"/>
    <hyperlink ref="K51" r:id="rId3" location="1562889358" xr:uid="{00000000-0004-0000-5700-000002000000}"/>
    <hyperlink ref="S56" r:id="rId4" xr:uid="{00000000-0004-0000-5700-000003000000}"/>
    <hyperlink ref="S57" r:id="rId5" xr:uid="{00000000-0004-0000-5700-000004000000}"/>
    <hyperlink ref="K139" r:id="rId6" xr:uid="{00000000-0004-0000-5700-000005000000}"/>
    <hyperlink ref="K208" r:id="rId7" xr:uid="{00000000-0004-0000-5700-000006000000}"/>
    <hyperlink ref="K219" r:id="rId8" xr:uid="{00000000-0004-0000-5700-000007000000}"/>
    <hyperlink ref="S718" r:id="rId9" xr:uid="{00000000-0004-0000-5700-000008000000}"/>
    <hyperlink ref="S742" r:id="rId10" xr:uid="{00000000-0004-0000-5700-000009000000}"/>
    <hyperlink ref="S756" r:id="rId11" xr:uid="{00000000-0004-0000-5700-00000A000000}"/>
    <hyperlink ref="S758" r:id="rId12" xr:uid="{00000000-0004-0000-5700-00000B000000}"/>
    <hyperlink ref="S771" r:id="rId13" xr:uid="{00000000-0004-0000-5700-00000C000000}"/>
  </hyperlinks>
  <pageMargins left="0.25" right="0.25" top="0.75" bottom="0.75" header="0" footer="0"/>
  <pageSetup paperSize="9" fitToHeight="0" orientation="landscape"/>
  <drawing r:id="rId14"/>
  <extLst>
    <ext xmlns:x14="http://schemas.microsoft.com/office/spreadsheetml/2009/9/main" uri="{CCE6A557-97BC-4b89-ADB6-D9C93CAAB3DF}">
      <x14:dataValidations xmlns:xm="http://schemas.microsoft.com/office/excel/2006/main" count="4">
        <x14:dataValidation type="list" allowBlank="1" showErrorMessage="1" xr:uid="{00000000-0002-0000-5700-000001000000}">
          <x14:formula1>
            <xm:f>#REF!</xm:f>
          </x14:formula1>
          <xm:sqref>F25:F28 F30:F31 F33:F659 F663:F716 F718:F739 F745:F763 F772:F773 F779:F839 F843:F851</xm:sqref>
        </x14:dataValidation>
        <x14:dataValidation type="list" allowBlank="1" showErrorMessage="1" xr:uid="{00000000-0002-0000-5700-000002000000}">
          <x14:formula1>
            <xm:f>#REF!</xm:f>
          </x14:formula1>
          <xm:sqref>F17:F22</xm:sqref>
        </x14:dataValidation>
        <x14:dataValidation type="list" allowBlank="1" showErrorMessage="1" xr:uid="{00000000-0002-0000-5700-000004000000}">
          <x14:formula1>
            <xm:f>#REF!</xm:f>
          </x14:formula1>
          <xm:sqref>U17:Z22 U24:Z28 U30:Z50 U55:Z55 U59:Z62 U64:Z67 U69:Z72 U74:Z77 U79:Z82 U84:Z87 U89:Z92 U94:Z97 U99:Z103 U105:Z108 U111:Z114 U116:Z120 U123:Z126 U128:Z132 U134:Z146 U148:Z152 U154:Z158 U160:Z164 U166:Z171 U173:Z177 U179:Z183 U185:Z189 U191:Z195 U197:Z201 U203:Z212 U214:Z224 U226:Z230 U232:Z236 U238:Z255 U262:Z271 U273:Z293 U300:Z309 U311:Z325 U327:Z341 U348:Z357 U359:Z373 U380:Z389 U391:Z405 U407:Z421 U423:Z453 U455:Z469 U471:Z485 U487:Z501 U508:Z517 U519:Z533 U540:Z549 U556:Z565 U567:Z581 U583:Z597 U599:Z613 U615:Z629 U631:Z646 U650:Z681 U683:Z685 U687:Z688 U690:Z694 U696:Z700 U702:Z714 U716:Z716 U718:Z858</xm:sqref>
        </x14:dataValidation>
        <x14:dataValidation type="list" allowBlank="1" showErrorMessage="1" xr:uid="{00000000-0002-0000-5700-000005000000}">
          <x14:formula1>
            <xm:f>#REF!</xm:f>
          </x14:formula1>
          <xm:sqref>F24 F32 F660:F662 F740:F744 F764:F771 F774:F778 F840:F842 F852:F858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rgb="FFFF0000"/>
    <pageSetUpPr fitToPage="1"/>
  </sheetPr>
  <dimension ref="A1:CE853"/>
  <sheetViews>
    <sheetView showGridLines="0" workbookViewId="0"/>
  </sheetViews>
  <sheetFormatPr defaultColWidth="14.44140625" defaultRowHeight="15" customHeight="1" x14ac:dyDescent="0.3"/>
  <cols>
    <col min="1" max="13" width="3.44140625" customWidth="1"/>
    <col min="14" max="14" width="38.109375" customWidth="1"/>
    <col min="15" max="15" width="40.44140625" customWidth="1"/>
    <col min="16" max="27" width="3.44140625" customWidth="1"/>
    <col min="28" max="28" width="0.44140625" customWidth="1"/>
    <col min="29" max="67" width="3.44140625" customWidth="1"/>
    <col min="68" max="73" width="10.88671875" customWidth="1"/>
    <col min="74" max="83" width="4.5546875" customWidth="1"/>
  </cols>
  <sheetData>
    <row r="1" spans="1:83" ht="14.4" x14ac:dyDescent="0.3">
      <c r="A1" s="65"/>
      <c r="B1" s="66"/>
      <c r="C1" s="66"/>
      <c r="D1" s="66"/>
      <c r="E1" s="66"/>
      <c r="F1" s="66"/>
      <c r="G1" s="66"/>
      <c r="H1" s="66"/>
      <c r="I1" s="66"/>
      <c r="J1" s="66"/>
      <c r="K1" s="66"/>
      <c r="L1" s="66"/>
      <c r="M1" s="66"/>
      <c r="N1" s="66"/>
      <c r="O1" s="66"/>
      <c r="P1" s="66"/>
      <c r="Q1" s="66"/>
      <c r="R1" s="66"/>
      <c r="S1" s="639" t="s">
        <v>13</v>
      </c>
      <c r="T1" s="601"/>
      <c r="U1" s="601"/>
      <c r="V1" s="601"/>
      <c r="W1" s="601"/>
      <c r="X1" s="601"/>
      <c r="Y1" s="601"/>
      <c r="Z1" s="601"/>
      <c r="AA1" s="601"/>
      <c r="AB1" s="601"/>
      <c r="AC1" s="601"/>
      <c r="AD1" s="601"/>
      <c r="AE1" s="601"/>
      <c r="AF1" s="601"/>
      <c r="AG1" s="601"/>
      <c r="AH1" s="601"/>
      <c r="AI1" s="601"/>
      <c r="AJ1" s="601"/>
      <c r="AK1" s="601"/>
      <c r="AL1" s="601"/>
      <c r="AM1" s="601"/>
      <c r="AN1" s="601"/>
      <c r="AO1" s="601"/>
      <c r="AP1" s="601"/>
      <c r="AQ1" s="601"/>
      <c r="AR1" s="601"/>
      <c r="AS1" s="601"/>
      <c r="AT1" s="601"/>
      <c r="AU1" s="601"/>
      <c r="AV1" s="601"/>
      <c r="AW1" s="67"/>
      <c r="AX1" s="67"/>
      <c r="AY1" s="67"/>
      <c r="AZ1" s="67"/>
      <c r="BA1" s="67"/>
      <c r="BB1" s="67"/>
      <c r="BC1" s="67"/>
      <c r="BD1" s="67"/>
      <c r="BE1" s="67"/>
      <c r="BF1" s="67"/>
      <c r="BG1" s="68"/>
      <c r="BH1" s="68"/>
      <c r="BI1" s="68"/>
      <c r="BJ1" s="68"/>
      <c r="BK1" s="68"/>
      <c r="BL1" s="68"/>
      <c r="BM1" s="68"/>
      <c r="BN1" s="68"/>
      <c r="BO1" s="68"/>
      <c r="BP1" s="67"/>
      <c r="BQ1" s="67"/>
      <c r="BR1" s="67"/>
      <c r="BS1" s="67"/>
      <c r="BT1" s="67"/>
      <c r="BU1" s="67"/>
      <c r="BV1" s="67"/>
      <c r="BW1" s="67"/>
      <c r="BX1" s="67"/>
      <c r="BY1" s="67"/>
      <c r="BZ1" s="67"/>
      <c r="CA1" s="67"/>
      <c r="CB1" s="67"/>
      <c r="CC1" s="39"/>
      <c r="CD1" s="39"/>
      <c r="CE1" s="39"/>
    </row>
    <row r="2" spans="1:83" ht="14.4" x14ac:dyDescent="0.3">
      <c r="A2" s="65"/>
      <c r="B2" s="66"/>
      <c r="C2" s="66"/>
      <c r="D2" s="66"/>
      <c r="E2" s="66"/>
      <c r="F2" s="66"/>
      <c r="G2" s="66"/>
      <c r="H2" s="66"/>
      <c r="I2" s="66"/>
      <c r="J2" s="66"/>
      <c r="K2" s="66"/>
      <c r="L2" s="66"/>
      <c r="M2" s="66"/>
      <c r="N2" s="66"/>
      <c r="O2" s="66"/>
      <c r="P2" s="66"/>
      <c r="Q2" s="66"/>
      <c r="R2" s="66"/>
      <c r="S2" s="601"/>
      <c r="T2" s="601"/>
      <c r="U2" s="601"/>
      <c r="V2" s="601"/>
      <c r="W2" s="601"/>
      <c r="X2" s="601"/>
      <c r="Y2" s="601"/>
      <c r="Z2" s="601"/>
      <c r="AA2" s="601"/>
      <c r="AB2" s="601"/>
      <c r="AC2" s="601"/>
      <c r="AD2" s="601"/>
      <c r="AE2" s="601"/>
      <c r="AF2" s="601"/>
      <c r="AG2" s="601"/>
      <c r="AH2" s="601"/>
      <c r="AI2" s="601"/>
      <c r="AJ2" s="601"/>
      <c r="AK2" s="601"/>
      <c r="AL2" s="601"/>
      <c r="AM2" s="601"/>
      <c r="AN2" s="601"/>
      <c r="AO2" s="601"/>
      <c r="AP2" s="601"/>
      <c r="AQ2" s="601"/>
      <c r="AR2" s="601"/>
      <c r="AS2" s="601"/>
      <c r="AT2" s="601"/>
      <c r="AU2" s="601"/>
      <c r="AV2" s="601"/>
      <c r="AW2" s="67"/>
      <c r="AX2" s="67"/>
      <c r="AY2" s="67"/>
      <c r="AZ2" s="67"/>
      <c r="BA2" s="67"/>
      <c r="BB2" s="67"/>
      <c r="BC2" s="67"/>
      <c r="BD2" s="67"/>
      <c r="BE2" s="67"/>
      <c r="BF2" s="67"/>
      <c r="BG2" s="68"/>
      <c r="BH2" s="68"/>
      <c r="BI2" s="68"/>
      <c r="BJ2" s="68"/>
      <c r="BK2" s="68"/>
      <c r="BL2" s="68"/>
      <c r="BM2" s="68"/>
      <c r="BN2" s="68"/>
      <c r="BO2" s="68"/>
      <c r="BP2" s="67"/>
      <c r="BQ2" s="67"/>
      <c r="BR2" s="67"/>
      <c r="BS2" s="67"/>
      <c r="BT2" s="67"/>
      <c r="BU2" s="67"/>
      <c r="BV2" s="67"/>
      <c r="BW2" s="67"/>
      <c r="BX2" s="67"/>
      <c r="BY2" s="67"/>
      <c r="BZ2" s="67"/>
      <c r="CA2" s="67"/>
      <c r="CB2" s="67"/>
      <c r="CC2" s="39"/>
      <c r="CD2" s="39"/>
      <c r="CE2" s="39"/>
    </row>
    <row r="3" spans="1:83" ht="14.4" x14ac:dyDescent="0.3">
      <c r="A3" s="65"/>
      <c r="B3" s="66"/>
      <c r="C3" s="66"/>
      <c r="D3" s="66"/>
      <c r="E3" s="66"/>
      <c r="F3" s="66"/>
      <c r="G3" s="66"/>
      <c r="H3" s="66"/>
      <c r="I3" s="66"/>
      <c r="J3" s="66"/>
      <c r="K3" s="66"/>
      <c r="L3" s="66"/>
      <c r="M3" s="66"/>
      <c r="N3" s="66"/>
      <c r="O3" s="66"/>
      <c r="P3" s="66"/>
      <c r="Q3" s="66"/>
      <c r="R3" s="66"/>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7"/>
      <c r="AX3" s="67"/>
      <c r="AY3" s="67"/>
      <c r="AZ3" s="67"/>
      <c r="BA3" s="67"/>
      <c r="BB3" s="67"/>
      <c r="BC3" s="67"/>
      <c r="BD3" s="67"/>
      <c r="BE3" s="67"/>
      <c r="BF3" s="67"/>
      <c r="BG3" s="68"/>
      <c r="BH3" s="68"/>
      <c r="BI3" s="68"/>
      <c r="BJ3" s="68"/>
      <c r="BK3" s="68"/>
      <c r="BL3" s="68"/>
      <c r="BM3" s="68"/>
      <c r="BN3" s="68"/>
      <c r="BO3" s="68"/>
      <c r="BP3" s="67"/>
      <c r="BQ3" s="67"/>
      <c r="BR3" s="67"/>
      <c r="BS3" s="67"/>
      <c r="BT3" s="67"/>
      <c r="BU3" s="67"/>
      <c r="BV3" s="67"/>
      <c r="BW3" s="67"/>
      <c r="BX3" s="67"/>
      <c r="BY3" s="67"/>
      <c r="BZ3" s="67"/>
      <c r="CA3" s="67"/>
      <c r="CB3" s="67"/>
      <c r="CC3" s="39"/>
      <c r="CD3" s="39"/>
      <c r="CE3" s="39"/>
    </row>
    <row r="4" spans="1:83" ht="12" customHeight="1" x14ac:dyDescent="0.3">
      <c r="A4" s="69"/>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39"/>
      <c r="CD4" s="39"/>
      <c r="CE4" s="39"/>
    </row>
    <row r="5" spans="1:83" ht="14.4" x14ac:dyDescent="0.3">
      <c r="A5" s="71"/>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row>
    <row r="6" spans="1:83" ht="27.75" customHeight="1" x14ac:dyDescent="0.3">
      <c r="A6" s="72"/>
      <c r="B6" s="595"/>
      <c r="C6" s="646" t="s">
        <v>3280</v>
      </c>
      <c r="D6" s="602"/>
      <c r="E6" s="602"/>
      <c r="F6" s="602"/>
      <c r="G6" s="637"/>
      <c r="H6" s="602"/>
      <c r="I6" s="602"/>
      <c r="J6" s="602"/>
      <c r="K6" s="602"/>
      <c r="L6" s="602"/>
      <c r="M6" s="713" t="s">
        <v>3281</v>
      </c>
      <c r="N6" s="602"/>
      <c r="O6" s="602"/>
      <c r="P6" s="602"/>
      <c r="Q6" s="602"/>
      <c r="R6" s="603"/>
      <c r="S6" s="714" t="s">
        <v>3282</v>
      </c>
      <c r="T6" s="602"/>
      <c r="U6" s="602"/>
      <c r="V6" s="602"/>
      <c r="W6" s="603"/>
      <c r="X6" s="722"/>
      <c r="Y6" s="602"/>
      <c r="Z6" s="602"/>
      <c r="AA6" s="602"/>
      <c r="AB6" s="603"/>
      <c r="AC6" s="719" t="s">
        <v>169</v>
      </c>
      <c r="AD6" s="602"/>
      <c r="AE6" s="602"/>
      <c r="AF6" s="602"/>
      <c r="AG6" s="603"/>
      <c r="AH6" s="719" t="s">
        <v>3283</v>
      </c>
      <c r="AI6" s="602"/>
      <c r="AJ6" s="602"/>
      <c r="AK6" s="602"/>
      <c r="AL6" s="602"/>
      <c r="AM6" s="720" t="s">
        <v>3284</v>
      </c>
      <c r="AN6" s="602"/>
      <c r="AO6" s="602"/>
      <c r="AP6" s="602"/>
      <c r="AQ6" s="603"/>
      <c r="AR6" s="719" t="s">
        <v>3285</v>
      </c>
      <c r="AS6" s="602"/>
      <c r="AT6" s="602"/>
      <c r="AU6" s="602"/>
      <c r="AV6" s="602"/>
      <c r="AW6" s="720" t="s">
        <v>3286</v>
      </c>
      <c r="AX6" s="602"/>
      <c r="AY6" s="602"/>
      <c r="AZ6" s="602"/>
      <c r="BA6" s="603"/>
      <c r="BB6" s="721" t="s">
        <v>3287</v>
      </c>
      <c r="BC6" s="602"/>
      <c r="BD6" s="602"/>
      <c r="BE6" s="602"/>
      <c r="BF6" s="603"/>
      <c r="BG6" s="721" t="s">
        <v>48</v>
      </c>
      <c r="BH6" s="602"/>
      <c r="BI6" s="602"/>
      <c r="BJ6" s="602"/>
      <c r="BK6" s="603"/>
      <c r="BR6" s="39"/>
      <c r="BS6" s="39"/>
      <c r="BT6" s="39"/>
      <c r="BU6" s="39"/>
      <c r="BV6" s="39"/>
      <c r="BW6" s="39"/>
      <c r="BX6" s="39"/>
      <c r="BY6" s="39"/>
      <c r="BZ6" s="39"/>
      <c r="CA6" s="39"/>
      <c r="CB6" s="39"/>
    </row>
    <row r="7" spans="1:83" ht="15.75" customHeight="1" x14ac:dyDescent="0.3">
      <c r="A7" s="72"/>
      <c r="B7" s="595"/>
      <c r="C7" s="646" t="s">
        <v>3288</v>
      </c>
      <c r="D7" s="602"/>
      <c r="E7" s="602"/>
      <c r="F7" s="602"/>
      <c r="G7" s="637"/>
      <c r="H7" s="602"/>
      <c r="I7" s="602"/>
      <c r="J7" s="602"/>
      <c r="K7" s="602"/>
      <c r="L7" s="602"/>
      <c r="M7" s="713" t="s">
        <v>3289</v>
      </c>
      <c r="N7" s="602"/>
      <c r="O7" s="602"/>
      <c r="P7" s="602"/>
      <c r="Q7" s="602"/>
      <c r="R7" s="603"/>
      <c r="S7" s="714" t="s">
        <v>3290</v>
      </c>
      <c r="T7" s="602"/>
      <c r="U7" s="602"/>
      <c r="V7" s="602"/>
      <c r="W7" s="603"/>
      <c r="X7" s="718"/>
      <c r="Y7" s="602"/>
      <c r="Z7" s="602"/>
      <c r="AA7" s="602"/>
      <c r="AB7" s="603"/>
      <c r="AC7" s="716">
        <f t="shared" ref="AC7:AC8" si="0">SUM(AH7:BB7)</f>
        <v>10</v>
      </c>
      <c r="AD7" s="609"/>
      <c r="AE7" s="609"/>
      <c r="AF7" s="609"/>
      <c r="AG7" s="610"/>
      <c r="AH7" s="716">
        <f>COUNTIF(AW13:AW106,"OK")</f>
        <v>0</v>
      </c>
      <c r="AI7" s="609"/>
      <c r="AJ7" s="609"/>
      <c r="AK7" s="609"/>
      <c r="AL7" s="609"/>
      <c r="AM7" s="717">
        <f>COUNTIF(AW13:AW106,"NG")</f>
        <v>0</v>
      </c>
      <c r="AN7" s="602"/>
      <c r="AO7" s="602"/>
      <c r="AP7" s="602"/>
      <c r="AQ7" s="603"/>
      <c r="AR7" s="716">
        <f>COUNTIF(AW13:AW106,"Cancelled")</f>
        <v>0</v>
      </c>
      <c r="AS7" s="609"/>
      <c r="AT7" s="609"/>
      <c r="AU7" s="609"/>
      <c r="AV7" s="609"/>
      <c r="AW7" s="717">
        <f>COUNTIF(AW13:AW106,"N/A")</f>
        <v>10</v>
      </c>
      <c r="AX7" s="602"/>
      <c r="AY7" s="602"/>
      <c r="AZ7" s="602"/>
      <c r="BA7" s="603"/>
      <c r="BB7" s="716">
        <f>COUNTIF(AW13:AW106,"Pending")</f>
        <v>0</v>
      </c>
      <c r="BC7" s="609"/>
      <c r="BD7" s="609"/>
      <c r="BE7" s="609"/>
      <c r="BF7" s="610"/>
      <c r="BG7" s="716">
        <f>AC7-AH7-AR7</f>
        <v>10</v>
      </c>
      <c r="BH7" s="609"/>
      <c r="BI7" s="609"/>
      <c r="BJ7" s="609"/>
      <c r="BK7" s="610"/>
      <c r="BR7" s="39"/>
      <c r="BS7" s="39"/>
      <c r="BT7" s="39"/>
      <c r="BU7" s="39"/>
      <c r="BV7" s="39"/>
      <c r="BW7" s="39"/>
      <c r="BX7" s="39"/>
      <c r="BY7" s="39"/>
      <c r="BZ7" s="39"/>
      <c r="CA7" s="39"/>
      <c r="CB7" s="39"/>
    </row>
    <row r="8" spans="1:83" ht="15.75" customHeight="1" x14ac:dyDescent="0.3">
      <c r="A8" s="72"/>
      <c r="B8" s="595"/>
      <c r="C8" s="646" t="s">
        <v>3</v>
      </c>
      <c r="D8" s="602"/>
      <c r="E8" s="602"/>
      <c r="F8" s="602"/>
      <c r="G8" s="637"/>
      <c r="H8" s="602"/>
      <c r="I8" s="602"/>
      <c r="J8" s="602"/>
      <c r="K8" s="602"/>
      <c r="L8" s="602"/>
      <c r="M8" s="713" t="s">
        <v>3291</v>
      </c>
      <c r="N8" s="602"/>
      <c r="O8" s="602"/>
      <c r="P8" s="602"/>
      <c r="Q8" s="602"/>
      <c r="R8" s="603"/>
      <c r="S8" s="714" t="s">
        <v>3292</v>
      </c>
      <c r="T8" s="602"/>
      <c r="U8" s="602"/>
      <c r="V8" s="602"/>
      <c r="W8" s="603"/>
      <c r="X8" s="715"/>
      <c r="Y8" s="602"/>
      <c r="Z8" s="602"/>
      <c r="AA8" s="602"/>
      <c r="AB8" s="603"/>
      <c r="AC8" s="712">
        <f t="shared" si="0"/>
        <v>1</v>
      </c>
      <c r="AD8" s="609"/>
      <c r="AE8" s="609"/>
      <c r="AF8" s="609"/>
      <c r="AG8" s="610"/>
      <c r="AH8" s="712">
        <f>AH7/$AC$7</f>
        <v>0</v>
      </c>
      <c r="AI8" s="609"/>
      <c r="AJ8" s="609"/>
      <c r="AK8" s="609"/>
      <c r="AL8" s="609"/>
      <c r="AM8" s="711">
        <f>AM7/$AC$7</f>
        <v>0</v>
      </c>
      <c r="AN8" s="602"/>
      <c r="AO8" s="602"/>
      <c r="AP8" s="602"/>
      <c r="AQ8" s="603"/>
      <c r="AR8" s="712">
        <f>AR7/$AC$7</f>
        <v>0</v>
      </c>
      <c r="AS8" s="609"/>
      <c r="AT8" s="609"/>
      <c r="AU8" s="609"/>
      <c r="AV8" s="609"/>
      <c r="AW8" s="711">
        <f>AW7/$AC$7</f>
        <v>1</v>
      </c>
      <c r="AX8" s="602"/>
      <c r="AY8" s="602"/>
      <c r="AZ8" s="602"/>
      <c r="BA8" s="603"/>
      <c r="BB8" s="712">
        <f>BB7/$AC$7</f>
        <v>0</v>
      </c>
      <c r="BC8" s="609"/>
      <c r="BD8" s="609"/>
      <c r="BE8" s="609"/>
      <c r="BF8" s="610"/>
      <c r="BG8" s="712">
        <f>BG7/$AC$7</f>
        <v>1</v>
      </c>
      <c r="BH8" s="609"/>
      <c r="BI8" s="609"/>
      <c r="BJ8" s="609"/>
      <c r="BK8" s="610"/>
      <c r="BR8" s="39"/>
      <c r="BS8" s="39"/>
      <c r="BT8" s="39"/>
      <c r="BU8" s="39"/>
      <c r="BV8" s="39"/>
      <c r="BW8" s="39"/>
      <c r="BX8" s="39"/>
      <c r="BY8" s="39"/>
      <c r="BZ8" s="39"/>
      <c r="CA8" s="39"/>
      <c r="CB8" s="39"/>
    </row>
    <row r="9" spans="1:83" ht="14.4" x14ac:dyDescent="0.3">
      <c r="A9" s="76"/>
      <c r="B9" s="77"/>
      <c r="C9" s="77"/>
      <c r="D9" s="77"/>
      <c r="E9" s="77"/>
      <c r="F9" s="596"/>
      <c r="G9" s="596"/>
      <c r="H9" s="597"/>
      <c r="I9" s="78"/>
      <c r="J9" s="78"/>
      <c r="K9" s="78"/>
      <c r="L9" s="78"/>
      <c r="M9" s="78"/>
      <c r="N9" s="78"/>
      <c r="O9" s="700" t="s">
        <v>3293</v>
      </c>
      <c r="P9" s="601"/>
      <c r="Q9" s="601"/>
      <c r="R9" s="601"/>
      <c r="S9" s="601"/>
      <c r="T9" s="601"/>
      <c r="U9" s="601"/>
      <c r="V9" s="601"/>
      <c r="W9" s="601"/>
      <c r="X9" s="78"/>
      <c r="Y9" s="78"/>
      <c r="Z9" s="78"/>
      <c r="AA9" s="78"/>
      <c r="AB9" s="596"/>
      <c r="AC9" s="78"/>
      <c r="AD9" s="78"/>
      <c r="AE9" s="78"/>
      <c r="AF9" s="78"/>
      <c r="AG9" s="78"/>
      <c r="AH9" s="78"/>
      <c r="AI9" s="78"/>
      <c r="AJ9" s="78"/>
      <c r="AK9" s="78"/>
      <c r="AL9" s="78"/>
      <c r="AM9" s="78"/>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638" t="s">
        <v>159</v>
      </c>
      <c r="BQ9" s="601"/>
      <c r="BR9" s="601"/>
      <c r="BS9" s="601"/>
      <c r="BT9" s="601"/>
      <c r="BU9" s="601"/>
      <c r="BV9" s="79"/>
      <c r="BW9" s="79"/>
      <c r="BX9" s="79"/>
      <c r="BY9" s="79"/>
      <c r="BZ9" s="79"/>
      <c r="CA9" s="79"/>
      <c r="CB9" s="79"/>
      <c r="CC9" s="79"/>
      <c r="CD9" s="79"/>
      <c r="CE9" s="79"/>
    </row>
    <row r="10" spans="1:83" ht="14.4" x14ac:dyDescent="0.3">
      <c r="A10" s="71"/>
      <c r="B10" s="644" t="s">
        <v>178</v>
      </c>
      <c r="C10" s="605"/>
      <c r="D10" s="709" t="s">
        <v>179</v>
      </c>
      <c r="E10" s="604"/>
      <c r="F10" s="604"/>
      <c r="G10" s="604"/>
      <c r="H10" s="605"/>
      <c r="I10" s="709" t="s">
        <v>180</v>
      </c>
      <c r="J10" s="604"/>
      <c r="K10" s="604"/>
      <c r="L10" s="604"/>
      <c r="M10" s="605"/>
      <c r="N10" s="675" t="s">
        <v>3294</v>
      </c>
      <c r="O10" s="710" t="s">
        <v>3295</v>
      </c>
      <c r="P10" s="644" t="s">
        <v>181</v>
      </c>
      <c r="Q10" s="604"/>
      <c r="R10" s="604"/>
      <c r="S10" s="604"/>
      <c r="T10" s="604"/>
      <c r="U10" s="604"/>
      <c r="V10" s="604"/>
      <c r="W10" s="604"/>
      <c r="X10" s="644" t="s">
        <v>182</v>
      </c>
      <c r="Y10" s="604"/>
      <c r="Z10" s="604"/>
      <c r="AA10" s="604"/>
      <c r="AB10" s="605"/>
      <c r="AC10" s="644" t="s">
        <v>183</v>
      </c>
      <c r="AD10" s="604"/>
      <c r="AE10" s="604"/>
      <c r="AF10" s="604"/>
      <c r="AG10" s="604"/>
      <c r="AH10" s="604"/>
      <c r="AI10" s="604"/>
      <c r="AJ10" s="604"/>
      <c r="AK10" s="604"/>
      <c r="AL10" s="604"/>
      <c r="AM10" s="644" t="s">
        <v>184</v>
      </c>
      <c r="AN10" s="604"/>
      <c r="AO10" s="604"/>
      <c r="AP10" s="604"/>
      <c r="AQ10" s="604"/>
      <c r="AR10" s="604"/>
      <c r="AS10" s="604"/>
      <c r="AT10" s="604"/>
      <c r="AU10" s="604"/>
      <c r="AV10" s="604"/>
      <c r="AW10" s="644" t="s">
        <v>3296</v>
      </c>
      <c r="AX10" s="604"/>
      <c r="AY10" s="604"/>
      <c r="AZ10" s="605"/>
      <c r="BA10" s="644" t="s">
        <v>185</v>
      </c>
      <c r="BB10" s="604"/>
      <c r="BC10" s="605"/>
      <c r="BD10" s="644" t="s">
        <v>3</v>
      </c>
      <c r="BE10" s="604"/>
      <c r="BF10" s="605"/>
      <c r="BG10" s="708" t="s">
        <v>3297</v>
      </c>
      <c r="BH10" s="604"/>
      <c r="BI10" s="604"/>
      <c r="BJ10" s="604"/>
      <c r="BK10" s="604"/>
      <c r="BL10" s="604"/>
      <c r="BM10" s="604"/>
      <c r="BN10" s="604"/>
      <c r="BO10" s="605"/>
      <c r="BP10" s="679" t="s">
        <v>3298</v>
      </c>
      <c r="BQ10" s="602"/>
      <c r="BR10" s="602"/>
      <c r="BS10" s="602"/>
      <c r="BT10" s="602"/>
      <c r="BU10" s="603"/>
      <c r="BV10" s="80"/>
      <c r="BW10" s="80"/>
      <c r="BX10" s="80"/>
      <c r="BY10" s="80"/>
      <c r="BZ10" s="80"/>
      <c r="CA10" s="80"/>
      <c r="CB10" s="80"/>
      <c r="CC10" s="80"/>
      <c r="CD10" s="80"/>
      <c r="CE10" s="80"/>
    </row>
    <row r="11" spans="1:83" ht="14.4" x14ac:dyDescent="0.3">
      <c r="A11" s="71"/>
      <c r="B11" s="608"/>
      <c r="C11" s="610"/>
      <c r="D11" s="608"/>
      <c r="E11" s="609"/>
      <c r="F11" s="609"/>
      <c r="G11" s="609"/>
      <c r="H11" s="610"/>
      <c r="I11" s="608"/>
      <c r="J11" s="609"/>
      <c r="K11" s="609"/>
      <c r="L11" s="609"/>
      <c r="M11" s="610"/>
      <c r="N11" s="608"/>
      <c r="O11" s="635"/>
      <c r="P11" s="608"/>
      <c r="Q11" s="609"/>
      <c r="R11" s="609"/>
      <c r="S11" s="609"/>
      <c r="T11" s="609"/>
      <c r="U11" s="609"/>
      <c r="V11" s="609"/>
      <c r="W11" s="609"/>
      <c r="X11" s="608"/>
      <c r="Y11" s="609"/>
      <c r="Z11" s="609"/>
      <c r="AA11" s="609"/>
      <c r="AB11" s="610"/>
      <c r="AC11" s="608"/>
      <c r="AD11" s="609"/>
      <c r="AE11" s="609"/>
      <c r="AF11" s="609"/>
      <c r="AG11" s="609"/>
      <c r="AH11" s="609"/>
      <c r="AI11" s="609"/>
      <c r="AJ11" s="609"/>
      <c r="AK11" s="609"/>
      <c r="AL11" s="609"/>
      <c r="AM11" s="608"/>
      <c r="AN11" s="609"/>
      <c r="AO11" s="609"/>
      <c r="AP11" s="609"/>
      <c r="AQ11" s="609"/>
      <c r="AR11" s="609"/>
      <c r="AS11" s="609"/>
      <c r="AT11" s="609"/>
      <c r="AU11" s="609"/>
      <c r="AV11" s="609"/>
      <c r="AW11" s="608"/>
      <c r="AX11" s="609"/>
      <c r="AY11" s="609"/>
      <c r="AZ11" s="610"/>
      <c r="BA11" s="608"/>
      <c r="BB11" s="609"/>
      <c r="BC11" s="610"/>
      <c r="BD11" s="608"/>
      <c r="BE11" s="609"/>
      <c r="BF11" s="610"/>
      <c r="BG11" s="608"/>
      <c r="BH11" s="609"/>
      <c r="BI11" s="609"/>
      <c r="BJ11" s="609"/>
      <c r="BK11" s="609"/>
      <c r="BL11" s="609"/>
      <c r="BM11" s="609"/>
      <c r="BN11" s="609"/>
      <c r="BO11" s="610"/>
      <c r="BP11" s="103" t="s">
        <v>167</v>
      </c>
      <c r="BQ11" s="103" t="s">
        <v>168</v>
      </c>
      <c r="BR11" s="103" t="s">
        <v>3299</v>
      </c>
      <c r="BS11" s="103" t="s">
        <v>3300</v>
      </c>
      <c r="BT11" s="103" t="s">
        <v>3301</v>
      </c>
      <c r="BU11" s="103" t="s">
        <v>3302</v>
      </c>
      <c r="BV11" s="80"/>
      <c r="BW11" s="80"/>
      <c r="BX11" s="80"/>
      <c r="BY11" s="80"/>
      <c r="BZ11" s="80"/>
      <c r="CA11" s="80"/>
      <c r="CB11" s="80"/>
      <c r="CC11" s="80"/>
      <c r="CD11" s="80"/>
      <c r="CE11" s="80"/>
    </row>
    <row r="12" spans="1:83" ht="21.75" customHeight="1" x14ac:dyDescent="0.3">
      <c r="A12" s="104"/>
      <c r="B12" s="701" t="s">
        <v>3303</v>
      </c>
      <c r="C12" s="604"/>
      <c r="D12" s="604"/>
      <c r="E12" s="604"/>
      <c r="F12" s="604"/>
      <c r="G12" s="604"/>
      <c r="H12" s="604"/>
      <c r="I12" s="604"/>
      <c r="J12" s="604"/>
      <c r="K12" s="604"/>
      <c r="L12" s="604"/>
      <c r="M12" s="604"/>
      <c r="N12" s="604"/>
      <c r="O12" s="604"/>
      <c r="P12" s="604"/>
      <c r="Q12" s="604"/>
      <c r="R12" s="604"/>
      <c r="S12" s="604"/>
      <c r="T12" s="604"/>
      <c r="U12" s="604"/>
      <c r="V12" s="604"/>
      <c r="W12" s="604"/>
      <c r="X12" s="604"/>
      <c r="Y12" s="604"/>
      <c r="Z12" s="604"/>
      <c r="AA12" s="604"/>
      <c r="AB12" s="604"/>
      <c r="AC12" s="604"/>
      <c r="AD12" s="604"/>
      <c r="AE12" s="604"/>
      <c r="AF12" s="604"/>
      <c r="AG12" s="604"/>
      <c r="AH12" s="604"/>
      <c r="AI12" s="604"/>
      <c r="AJ12" s="604"/>
      <c r="AK12" s="604"/>
      <c r="AL12" s="604"/>
      <c r="AM12" s="604"/>
      <c r="AN12" s="604"/>
      <c r="AO12" s="604"/>
      <c r="AP12" s="604"/>
      <c r="AQ12" s="604"/>
      <c r="AR12" s="604"/>
      <c r="AS12" s="604"/>
      <c r="AT12" s="604"/>
      <c r="AU12" s="604"/>
      <c r="AV12" s="604"/>
      <c r="AW12" s="604"/>
      <c r="AX12" s="604"/>
      <c r="AY12" s="604"/>
      <c r="AZ12" s="604"/>
      <c r="BA12" s="604"/>
      <c r="BB12" s="604"/>
      <c r="BC12" s="604"/>
      <c r="BD12" s="604"/>
      <c r="BE12" s="604"/>
      <c r="BF12" s="604"/>
      <c r="BG12" s="604"/>
      <c r="BH12" s="604"/>
      <c r="BI12" s="604"/>
      <c r="BJ12" s="604"/>
      <c r="BK12" s="604"/>
      <c r="BL12" s="604"/>
      <c r="BM12" s="604"/>
      <c r="BN12" s="604"/>
      <c r="BO12" s="604"/>
      <c r="BP12" s="604"/>
      <c r="BQ12" s="604"/>
      <c r="BR12" s="604"/>
      <c r="BS12" s="604"/>
      <c r="BT12" s="604"/>
      <c r="BU12" s="605"/>
      <c r="BV12" s="81"/>
      <c r="BW12" s="81"/>
      <c r="BX12" s="81"/>
      <c r="BY12" s="81"/>
      <c r="BZ12" s="81"/>
      <c r="CA12" s="81"/>
      <c r="CB12" s="81"/>
      <c r="CC12" s="81"/>
      <c r="CD12" s="81"/>
      <c r="CE12" s="81"/>
    </row>
    <row r="13" spans="1:83" ht="15.75" customHeight="1" x14ac:dyDescent="0.3">
      <c r="A13" s="104"/>
      <c r="B13" s="640" t="s">
        <v>194</v>
      </c>
      <c r="C13" s="602"/>
      <c r="D13" s="602"/>
      <c r="E13" s="602"/>
      <c r="F13" s="602"/>
      <c r="G13" s="602"/>
      <c r="H13" s="602"/>
      <c r="I13" s="602"/>
      <c r="J13" s="602"/>
      <c r="K13" s="602"/>
      <c r="L13" s="602"/>
      <c r="M13" s="602"/>
      <c r="N13" s="602"/>
      <c r="O13" s="602"/>
      <c r="P13" s="602"/>
      <c r="Q13" s="602"/>
      <c r="R13" s="602"/>
      <c r="S13" s="602"/>
      <c r="T13" s="602"/>
      <c r="U13" s="602"/>
      <c r="V13" s="602"/>
      <c r="W13" s="602"/>
      <c r="X13" s="602"/>
      <c r="Y13" s="602"/>
      <c r="Z13" s="602"/>
      <c r="AA13" s="602"/>
      <c r="AB13" s="602"/>
      <c r="AC13" s="602"/>
      <c r="AD13" s="602"/>
      <c r="AE13" s="602"/>
      <c r="AF13" s="602"/>
      <c r="AG13" s="602"/>
      <c r="AH13" s="602"/>
      <c r="AI13" s="602"/>
      <c r="AJ13" s="602"/>
      <c r="AK13" s="602"/>
      <c r="AL13" s="602"/>
      <c r="AM13" s="602"/>
      <c r="AN13" s="602"/>
      <c r="AO13" s="602"/>
      <c r="AP13" s="602"/>
      <c r="AQ13" s="602"/>
      <c r="AR13" s="602"/>
      <c r="AS13" s="602"/>
      <c r="AT13" s="602"/>
      <c r="AU13" s="602"/>
      <c r="AV13" s="602"/>
      <c r="AW13" s="602"/>
      <c r="AX13" s="602"/>
      <c r="AY13" s="602"/>
      <c r="AZ13" s="602"/>
      <c r="BA13" s="602"/>
      <c r="BB13" s="602"/>
      <c r="BC13" s="602"/>
      <c r="BD13" s="602"/>
      <c r="BE13" s="602"/>
      <c r="BF13" s="602"/>
      <c r="BG13" s="602"/>
      <c r="BH13" s="602"/>
      <c r="BI13" s="602"/>
      <c r="BJ13" s="602"/>
      <c r="BK13" s="602"/>
      <c r="BL13" s="602"/>
      <c r="BM13" s="602"/>
      <c r="BN13" s="602"/>
      <c r="BO13" s="602"/>
      <c r="BP13" s="602"/>
      <c r="BQ13" s="602"/>
      <c r="BR13" s="602"/>
      <c r="BS13" s="602"/>
      <c r="BT13" s="602"/>
      <c r="BU13" s="602"/>
      <c r="BV13" s="598"/>
      <c r="BW13" s="598"/>
      <c r="BX13" s="598"/>
      <c r="BY13" s="598"/>
      <c r="BZ13" s="598"/>
      <c r="CA13" s="598"/>
      <c r="CB13" s="598"/>
      <c r="CC13" s="598"/>
      <c r="CD13" s="598"/>
      <c r="CE13" s="598"/>
    </row>
    <row r="14" spans="1:83" ht="15.75" customHeight="1" x14ac:dyDescent="0.3">
      <c r="A14" s="104" t="s">
        <v>208</v>
      </c>
      <c r="B14" s="627">
        <f t="shared" ref="B14:B17" ca="1" si="1">1+COUNT(INDIRECT("A1:"&amp;(ADDRESS(ROW()-1,COLUMN()))))</f>
        <v>1</v>
      </c>
      <c r="C14" s="603"/>
      <c r="D14" s="628" t="s">
        <v>3304</v>
      </c>
      <c r="E14" s="602"/>
      <c r="F14" s="602"/>
      <c r="G14" s="602"/>
      <c r="H14" s="603"/>
      <c r="I14" s="706"/>
      <c r="J14" s="604"/>
      <c r="K14" s="604"/>
      <c r="L14" s="604"/>
      <c r="M14" s="604"/>
      <c r="N14" s="599" t="s">
        <v>3305</v>
      </c>
      <c r="O14" s="600" t="str">
        <f>IFERROR(VLOOKUP(N14,#REF!,5,FALSE),"")</f>
        <v/>
      </c>
      <c r="P14" s="703"/>
      <c r="Q14" s="602"/>
      <c r="R14" s="602"/>
      <c r="S14" s="602"/>
      <c r="T14" s="602"/>
      <c r="U14" s="602"/>
      <c r="V14" s="602"/>
      <c r="W14" s="602"/>
      <c r="X14" s="707"/>
      <c r="Y14" s="602"/>
      <c r="Z14" s="602"/>
      <c r="AA14" s="602"/>
      <c r="AB14" s="602"/>
      <c r="AC14" s="703"/>
      <c r="AD14" s="602"/>
      <c r="AE14" s="602"/>
      <c r="AF14" s="602"/>
      <c r="AG14" s="602"/>
      <c r="AH14" s="602"/>
      <c r="AI14" s="602"/>
      <c r="AJ14" s="602"/>
      <c r="AK14" s="602"/>
      <c r="AL14" s="602"/>
      <c r="AM14" s="703"/>
      <c r="AN14" s="602"/>
      <c r="AO14" s="602"/>
      <c r="AP14" s="602"/>
      <c r="AQ14" s="602"/>
      <c r="AR14" s="602"/>
      <c r="AS14" s="602"/>
      <c r="AT14" s="602"/>
      <c r="AU14" s="602"/>
      <c r="AV14" s="602"/>
      <c r="AW14" s="704" t="s">
        <v>47</v>
      </c>
      <c r="AX14" s="602"/>
      <c r="AY14" s="602"/>
      <c r="AZ14" s="603"/>
      <c r="BA14" s="705"/>
      <c r="BB14" s="602"/>
      <c r="BC14" s="603"/>
      <c r="BD14" s="627"/>
      <c r="BE14" s="602"/>
      <c r="BF14" s="603"/>
      <c r="BG14" s="702"/>
      <c r="BH14" s="602"/>
      <c r="BI14" s="602"/>
      <c r="BJ14" s="602"/>
      <c r="BK14" s="602"/>
      <c r="BL14" s="602"/>
      <c r="BM14" s="602"/>
      <c r="BN14" s="602"/>
      <c r="BO14" s="603"/>
      <c r="BP14" s="84"/>
      <c r="BQ14" s="84"/>
      <c r="BR14" s="84"/>
      <c r="BS14" s="84"/>
      <c r="BT14" s="84"/>
      <c r="BU14" s="84"/>
      <c r="BV14" s="81"/>
      <c r="BW14" s="81"/>
      <c r="BX14" s="81"/>
      <c r="BY14" s="81"/>
      <c r="BZ14" s="81"/>
      <c r="CA14" s="81"/>
      <c r="CB14" s="81"/>
      <c r="CC14" s="81"/>
      <c r="CD14" s="81"/>
      <c r="CE14" s="81"/>
    </row>
    <row r="15" spans="1:83" ht="15.75" customHeight="1" x14ac:dyDescent="0.3">
      <c r="A15" s="104" t="s">
        <v>208</v>
      </c>
      <c r="B15" s="627">
        <f t="shared" ca="1" si="1"/>
        <v>2</v>
      </c>
      <c r="C15" s="603"/>
      <c r="D15" s="628"/>
      <c r="E15" s="602"/>
      <c r="F15" s="602"/>
      <c r="G15" s="602"/>
      <c r="H15" s="603"/>
      <c r="I15" s="706"/>
      <c r="J15" s="604"/>
      <c r="K15" s="604"/>
      <c r="L15" s="604"/>
      <c r="M15" s="604"/>
      <c r="N15" s="599" t="s">
        <v>457</v>
      </c>
      <c r="O15" s="600" t="str">
        <f>IFERROR(VLOOKUP(N15,#REF!,5,FALSE),"")</f>
        <v/>
      </c>
      <c r="P15" s="703"/>
      <c r="Q15" s="602"/>
      <c r="R15" s="602"/>
      <c r="S15" s="602"/>
      <c r="T15" s="602"/>
      <c r="U15" s="602"/>
      <c r="V15" s="602"/>
      <c r="W15" s="602"/>
      <c r="X15" s="707"/>
      <c r="Y15" s="602"/>
      <c r="Z15" s="602"/>
      <c r="AA15" s="602"/>
      <c r="AB15" s="602"/>
      <c r="AC15" s="703"/>
      <c r="AD15" s="602"/>
      <c r="AE15" s="602"/>
      <c r="AF15" s="602"/>
      <c r="AG15" s="602"/>
      <c r="AH15" s="602"/>
      <c r="AI15" s="602"/>
      <c r="AJ15" s="602"/>
      <c r="AK15" s="602"/>
      <c r="AL15" s="602"/>
      <c r="AM15" s="703"/>
      <c r="AN15" s="602"/>
      <c r="AO15" s="602"/>
      <c r="AP15" s="602"/>
      <c r="AQ15" s="602"/>
      <c r="AR15" s="602"/>
      <c r="AS15" s="602"/>
      <c r="AT15" s="602"/>
      <c r="AU15" s="602"/>
      <c r="AV15" s="602"/>
      <c r="AW15" s="704" t="s">
        <v>47</v>
      </c>
      <c r="AX15" s="602"/>
      <c r="AY15" s="602"/>
      <c r="AZ15" s="603"/>
      <c r="BA15" s="705"/>
      <c r="BB15" s="602"/>
      <c r="BC15" s="603"/>
      <c r="BD15" s="627"/>
      <c r="BE15" s="602"/>
      <c r="BF15" s="603"/>
      <c r="BG15" s="702"/>
      <c r="BH15" s="602"/>
      <c r="BI15" s="602"/>
      <c r="BJ15" s="602"/>
      <c r="BK15" s="602"/>
      <c r="BL15" s="602"/>
      <c r="BM15" s="602"/>
      <c r="BN15" s="602"/>
      <c r="BO15" s="603"/>
      <c r="BP15" s="84"/>
      <c r="BQ15" s="84"/>
      <c r="BR15" s="84"/>
      <c r="BS15" s="84"/>
      <c r="BT15" s="84"/>
      <c r="BU15" s="84"/>
      <c r="BV15" s="81"/>
      <c r="BW15" s="81"/>
      <c r="BX15" s="81"/>
      <c r="BY15" s="81"/>
      <c r="BZ15" s="81"/>
      <c r="CA15" s="81"/>
      <c r="CB15" s="81"/>
      <c r="CC15" s="81"/>
      <c r="CD15" s="81"/>
      <c r="CE15" s="81"/>
    </row>
    <row r="16" spans="1:83" ht="15.75" customHeight="1" x14ac:dyDescent="0.3">
      <c r="A16" s="104" t="s">
        <v>208</v>
      </c>
      <c r="B16" s="627">
        <f t="shared" ca="1" si="1"/>
        <v>3</v>
      </c>
      <c r="C16" s="603"/>
      <c r="D16" s="628"/>
      <c r="E16" s="602"/>
      <c r="F16" s="602"/>
      <c r="G16" s="602"/>
      <c r="H16" s="603"/>
      <c r="I16" s="706"/>
      <c r="J16" s="604"/>
      <c r="K16" s="604"/>
      <c r="L16" s="604"/>
      <c r="M16" s="604"/>
      <c r="N16" s="599" t="s">
        <v>3306</v>
      </c>
      <c r="O16" s="600"/>
      <c r="P16" s="703"/>
      <c r="Q16" s="602"/>
      <c r="R16" s="602"/>
      <c r="S16" s="602"/>
      <c r="T16" s="602"/>
      <c r="U16" s="602"/>
      <c r="V16" s="602"/>
      <c r="W16" s="602"/>
      <c r="X16" s="707"/>
      <c r="Y16" s="602"/>
      <c r="Z16" s="602"/>
      <c r="AA16" s="602"/>
      <c r="AB16" s="602"/>
      <c r="AC16" s="703"/>
      <c r="AD16" s="602"/>
      <c r="AE16" s="602"/>
      <c r="AF16" s="602"/>
      <c r="AG16" s="602"/>
      <c r="AH16" s="602"/>
      <c r="AI16" s="602"/>
      <c r="AJ16" s="602"/>
      <c r="AK16" s="602"/>
      <c r="AL16" s="602"/>
      <c r="AM16" s="703"/>
      <c r="AN16" s="602"/>
      <c r="AO16" s="602"/>
      <c r="AP16" s="602"/>
      <c r="AQ16" s="602"/>
      <c r="AR16" s="602"/>
      <c r="AS16" s="602"/>
      <c r="AT16" s="602"/>
      <c r="AU16" s="602"/>
      <c r="AV16" s="602"/>
      <c r="AW16" s="704" t="s">
        <v>47</v>
      </c>
      <c r="AX16" s="602"/>
      <c r="AY16" s="602"/>
      <c r="AZ16" s="603"/>
      <c r="BA16" s="705"/>
      <c r="BB16" s="602"/>
      <c r="BC16" s="603"/>
      <c r="BD16" s="627"/>
      <c r="BE16" s="602"/>
      <c r="BF16" s="603"/>
      <c r="BG16" s="702"/>
      <c r="BH16" s="602"/>
      <c r="BI16" s="602"/>
      <c r="BJ16" s="602"/>
      <c r="BK16" s="602"/>
      <c r="BL16" s="602"/>
      <c r="BM16" s="602"/>
      <c r="BN16" s="602"/>
      <c r="BO16" s="603"/>
      <c r="BP16" s="84"/>
      <c r="BQ16" s="84"/>
      <c r="BR16" s="84"/>
      <c r="BS16" s="84"/>
      <c r="BT16" s="84"/>
      <c r="BU16" s="84"/>
      <c r="BV16" s="81"/>
      <c r="BW16" s="81"/>
      <c r="BX16" s="81"/>
      <c r="BY16" s="81"/>
      <c r="BZ16" s="81"/>
      <c r="CA16" s="81"/>
      <c r="CB16" s="81"/>
      <c r="CC16" s="81"/>
      <c r="CD16" s="81"/>
      <c r="CE16" s="81"/>
    </row>
    <row r="17" spans="1:83" ht="15.75" customHeight="1" x14ac:dyDescent="0.3">
      <c r="A17" s="104" t="s">
        <v>208</v>
      </c>
      <c r="B17" s="627">
        <f t="shared" ca="1" si="1"/>
        <v>4</v>
      </c>
      <c r="C17" s="603"/>
      <c r="D17" s="628" t="s">
        <v>3307</v>
      </c>
      <c r="E17" s="602"/>
      <c r="F17" s="602"/>
      <c r="G17" s="602"/>
      <c r="H17" s="603"/>
      <c r="I17" s="706"/>
      <c r="J17" s="604"/>
      <c r="K17" s="604"/>
      <c r="L17" s="604"/>
      <c r="M17" s="604"/>
      <c r="N17" s="599"/>
      <c r="O17" s="600"/>
      <c r="P17" s="703"/>
      <c r="Q17" s="602"/>
      <c r="R17" s="602"/>
      <c r="S17" s="602"/>
      <c r="T17" s="602"/>
      <c r="U17" s="602"/>
      <c r="V17" s="602"/>
      <c r="W17" s="602"/>
      <c r="X17" s="707"/>
      <c r="Y17" s="602"/>
      <c r="Z17" s="602"/>
      <c r="AA17" s="602"/>
      <c r="AB17" s="602"/>
      <c r="AC17" s="703"/>
      <c r="AD17" s="602"/>
      <c r="AE17" s="602"/>
      <c r="AF17" s="602"/>
      <c r="AG17" s="602"/>
      <c r="AH17" s="602"/>
      <c r="AI17" s="602"/>
      <c r="AJ17" s="602"/>
      <c r="AK17" s="602"/>
      <c r="AL17" s="602"/>
      <c r="AM17" s="703"/>
      <c r="AN17" s="602"/>
      <c r="AO17" s="602"/>
      <c r="AP17" s="602"/>
      <c r="AQ17" s="602"/>
      <c r="AR17" s="602"/>
      <c r="AS17" s="602"/>
      <c r="AT17" s="602"/>
      <c r="AU17" s="602"/>
      <c r="AV17" s="602"/>
      <c r="AW17" s="704" t="s">
        <v>47</v>
      </c>
      <c r="AX17" s="602"/>
      <c r="AY17" s="602"/>
      <c r="AZ17" s="603"/>
      <c r="BA17" s="705"/>
      <c r="BB17" s="602"/>
      <c r="BC17" s="603"/>
      <c r="BD17" s="627"/>
      <c r="BE17" s="602"/>
      <c r="BF17" s="603"/>
      <c r="BG17" s="702"/>
      <c r="BH17" s="602"/>
      <c r="BI17" s="602"/>
      <c r="BJ17" s="602"/>
      <c r="BK17" s="602"/>
      <c r="BL17" s="602"/>
      <c r="BM17" s="602"/>
      <c r="BN17" s="602"/>
      <c r="BO17" s="603"/>
      <c r="BP17" s="84"/>
      <c r="BQ17" s="84"/>
      <c r="BR17" s="84"/>
      <c r="BS17" s="84"/>
      <c r="BT17" s="84"/>
      <c r="BU17" s="84"/>
      <c r="BV17" s="81"/>
      <c r="BW17" s="81"/>
      <c r="BX17" s="81"/>
      <c r="BY17" s="81"/>
      <c r="BZ17" s="81"/>
      <c r="CA17" s="81"/>
      <c r="CB17" s="81"/>
      <c r="CC17" s="81"/>
      <c r="CD17" s="81"/>
      <c r="CE17" s="81"/>
    </row>
    <row r="18" spans="1:83" ht="15.75" customHeight="1" x14ac:dyDescent="0.3">
      <c r="A18" s="104"/>
      <c r="B18" s="640" t="s">
        <v>3308</v>
      </c>
      <c r="C18" s="602"/>
      <c r="D18" s="602"/>
      <c r="E18" s="602"/>
      <c r="F18" s="602"/>
      <c r="G18" s="602"/>
      <c r="H18" s="602"/>
      <c r="I18" s="602"/>
      <c r="J18" s="602"/>
      <c r="K18" s="602"/>
      <c r="L18" s="602"/>
      <c r="M18" s="602"/>
      <c r="N18" s="602"/>
      <c r="O18" s="602"/>
      <c r="P18" s="602"/>
      <c r="Q18" s="602"/>
      <c r="R18" s="602"/>
      <c r="S18" s="602"/>
      <c r="T18" s="602"/>
      <c r="U18" s="602"/>
      <c r="V18" s="602"/>
      <c r="W18" s="602"/>
      <c r="X18" s="602"/>
      <c r="Y18" s="602"/>
      <c r="Z18" s="602"/>
      <c r="AA18" s="602"/>
      <c r="AB18" s="602"/>
      <c r="AC18" s="602"/>
      <c r="AD18" s="602"/>
      <c r="AE18" s="602"/>
      <c r="AF18" s="602"/>
      <c r="AG18" s="602"/>
      <c r="AH18" s="602"/>
      <c r="AI18" s="602"/>
      <c r="AJ18" s="602"/>
      <c r="AK18" s="602"/>
      <c r="AL18" s="602"/>
      <c r="AM18" s="602"/>
      <c r="AN18" s="602"/>
      <c r="AO18" s="602"/>
      <c r="AP18" s="602"/>
      <c r="AQ18" s="602"/>
      <c r="AR18" s="602"/>
      <c r="AS18" s="602"/>
      <c r="AT18" s="602"/>
      <c r="AU18" s="602"/>
      <c r="AV18" s="602"/>
      <c r="AW18" s="602"/>
      <c r="AX18" s="602"/>
      <c r="AY18" s="602"/>
      <c r="AZ18" s="602"/>
      <c r="BA18" s="602"/>
      <c r="BB18" s="602"/>
      <c r="BC18" s="602"/>
      <c r="BD18" s="602"/>
      <c r="BE18" s="602"/>
      <c r="BF18" s="602"/>
      <c r="BG18" s="602"/>
      <c r="BH18" s="602"/>
      <c r="BI18" s="602"/>
      <c r="BJ18" s="602"/>
      <c r="BK18" s="602"/>
      <c r="BL18" s="602"/>
      <c r="BM18" s="602"/>
      <c r="BN18" s="602"/>
      <c r="BO18" s="602"/>
      <c r="BP18" s="602"/>
      <c r="BQ18" s="602"/>
      <c r="BR18" s="602"/>
      <c r="BS18" s="602"/>
      <c r="BT18" s="602"/>
      <c r="BU18" s="602"/>
      <c r="BV18" s="598"/>
      <c r="BW18" s="598"/>
      <c r="BX18" s="598"/>
      <c r="BY18" s="598"/>
      <c r="BZ18" s="598"/>
      <c r="CA18" s="598"/>
      <c r="CB18" s="598"/>
      <c r="CC18" s="598"/>
      <c r="CD18" s="598"/>
      <c r="CE18" s="598"/>
    </row>
    <row r="19" spans="1:83" ht="15.75" customHeight="1" x14ac:dyDescent="0.3">
      <c r="A19" s="104" t="s">
        <v>208</v>
      </c>
      <c r="B19" s="627">
        <f t="shared" ref="B19:B21" ca="1" si="2">1+COUNT(INDIRECT("A1:"&amp;(ADDRESS(ROW()-1,COLUMN()))))</f>
        <v>5</v>
      </c>
      <c r="C19" s="603"/>
      <c r="D19" s="628"/>
      <c r="E19" s="602"/>
      <c r="F19" s="602"/>
      <c r="G19" s="602"/>
      <c r="H19" s="603"/>
      <c r="I19" s="706"/>
      <c r="J19" s="604"/>
      <c r="K19" s="604"/>
      <c r="L19" s="604"/>
      <c r="M19" s="604"/>
      <c r="N19" s="414" t="s">
        <v>3309</v>
      </c>
      <c r="O19" s="600" t="str">
        <f>IFERROR(VLOOKUP(N19,#REF!,5,FALSE),"")</f>
        <v/>
      </c>
      <c r="P19" s="703"/>
      <c r="Q19" s="602"/>
      <c r="R19" s="602"/>
      <c r="S19" s="602"/>
      <c r="T19" s="602"/>
      <c r="U19" s="602"/>
      <c r="V19" s="602"/>
      <c r="W19" s="602"/>
      <c r="X19" s="707"/>
      <c r="Y19" s="602"/>
      <c r="Z19" s="602"/>
      <c r="AA19" s="602"/>
      <c r="AB19" s="602"/>
      <c r="AC19" s="703"/>
      <c r="AD19" s="602"/>
      <c r="AE19" s="602"/>
      <c r="AF19" s="602"/>
      <c r="AG19" s="602"/>
      <c r="AH19" s="602"/>
      <c r="AI19" s="602"/>
      <c r="AJ19" s="602"/>
      <c r="AK19" s="602"/>
      <c r="AL19" s="602"/>
      <c r="AM19" s="703"/>
      <c r="AN19" s="602"/>
      <c r="AO19" s="602"/>
      <c r="AP19" s="602"/>
      <c r="AQ19" s="602"/>
      <c r="AR19" s="602"/>
      <c r="AS19" s="602"/>
      <c r="AT19" s="602"/>
      <c r="AU19" s="602"/>
      <c r="AV19" s="602"/>
      <c r="AW19" s="704" t="s">
        <v>47</v>
      </c>
      <c r="AX19" s="602"/>
      <c r="AY19" s="602"/>
      <c r="AZ19" s="603"/>
      <c r="BA19" s="705"/>
      <c r="BB19" s="602"/>
      <c r="BC19" s="603"/>
      <c r="BD19" s="627"/>
      <c r="BE19" s="602"/>
      <c r="BF19" s="603"/>
      <c r="BG19" s="702"/>
      <c r="BH19" s="602"/>
      <c r="BI19" s="602"/>
      <c r="BJ19" s="602"/>
      <c r="BK19" s="602"/>
      <c r="BL19" s="602"/>
      <c r="BM19" s="602"/>
      <c r="BN19" s="602"/>
      <c r="BO19" s="603"/>
      <c r="BP19" s="84"/>
      <c r="BQ19" s="84"/>
      <c r="BR19" s="84"/>
      <c r="BS19" s="84"/>
      <c r="BT19" s="84"/>
      <c r="BU19" s="84"/>
      <c r="BV19" s="81"/>
      <c r="BW19" s="81"/>
      <c r="BX19" s="81"/>
      <c r="BY19" s="81"/>
      <c r="BZ19" s="81"/>
      <c r="CA19" s="81"/>
      <c r="CB19" s="81"/>
      <c r="CC19" s="81"/>
      <c r="CD19" s="81"/>
      <c r="CE19" s="81"/>
    </row>
    <row r="20" spans="1:83" ht="15.75" customHeight="1" x14ac:dyDescent="0.3">
      <c r="A20" s="104" t="s">
        <v>208</v>
      </c>
      <c r="B20" s="627">
        <f t="shared" ca="1" si="2"/>
        <v>6</v>
      </c>
      <c r="C20" s="603"/>
      <c r="D20" s="628"/>
      <c r="E20" s="602"/>
      <c r="F20" s="602"/>
      <c r="G20" s="602"/>
      <c r="H20" s="603"/>
      <c r="I20" s="706"/>
      <c r="J20" s="604"/>
      <c r="K20" s="604"/>
      <c r="L20" s="604"/>
      <c r="M20" s="604"/>
      <c r="N20" s="414" t="s">
        <v>3310</v>
      </c>
      <c r="O20" s="600"/>
      <c r="P20" s="703"/>
      <c r="Q20" s="602"/>
      <c r="R20" s="602"/>
      <c r="S20" s="602"/>
      <c r="T20" s="602"/>
      <c r="U20" s="602"/>
      <c r="V20" s="602"/>
      <c r="W20" s="602"/>
      <c r="X20" s="707"/>
      <c r="Y20" s="602"/>
      <c r="Z20" s="602"/>
      <c r="AA20" s="602"/>
      <c r="AB20" s="602"/>
      <c r="AC20" s="703"/>
      <c r="AD20" s="602"/>
      <c r="AE20" s="602"/>
      <c r="AF20" s="602"/>
      <c r="AG20" s="602"/>
      <c r="AH20" s="602"/>
      <c r="AI20" s="602"/>
      <c r="AJ20" s="602"/>
      <c r="AK20" s="602"/>
      <c r="AL20" s="602"/>
      <c r="AM20" s="703"/>
      <c r="AN20" s="602"/>
      <c r="AO20" s="602"/>
      <c r="AP20" s="602"/>
      <c r="AQ20" s="602"/>
      <c r="AR20" s="602"/>
      <c r="AS20" s="602"/>
      <c r="AT20" s="602"/>
      <c r="AU20" s="602"/>
      <c r="AV20" s="602"/>
      <c r="AW20" s="704" t="s">
        <v>47</v>
      </c>
      <c r="AX20" s="602"/>
      <c r="AY20" s="602"/>
      <c r="AZ20" s="603"/>
      <c r="BA20" s="705"/>
      <c r="BB20" s="602"/>
      <c r="BC20" s="603"/>
      <c r="BD20" s="627"/>
      <c r="BE20" s="602"/>
      <c r="BF20" s="603"/>
      <c r="BG20" s="702"/>
      <c r="BH20" s="602"/>
      <c r="BI20" s="602"/>
      <c r="BJ20" s="602"/>
      <c r="BK20" s="602"/>
      <c r="BL20" s="602"/>
      <c r="BM20" s="602"/>
      <c r="BN20" s="602"/>
      <c r="BO20" s="603"/>
      <c r="BP20" s="84"/>
      <c r="BQ20" s="84"/>
      <c r="BR20" s="84"/>
      <c r="BS20" s="84"/>
      <c r="BT20" s="84"/>
      <c r="BU20" s="84"/>
      <c r="BV20" s="81"/>
      <c r="BW20" s="81"/>
      <c r="BX20" s="81"/>
      <c r="BY20" s="81"/>
      <c r="BZ20" s="81"/>
      <c r="CA20" s="81"/>
      <c r="CB20" s="81"/>
      <c r="CC20" s="81"/>
      <c r="CD20" s="81"/>
      <c r="CE20" s="81"/>
    </row>
    <row r="21" spans="1:83" ht="15.75" customHeight="1" x14ac:dyDescent="0.3">
      <c r="A21" s="104" t="s">
        <v>208</v>
      </c>
      <c r="B21" s="627">
        <f t="shared" ca="1" si="2"/>
        <v>7</v>
      </c>
      <c r="C21" s="603"/>
      <c r="D21" s="628"/>
      <c r="E21" s="602"/>
      <c r="F21" s="602"/>
      <c r="G21" s="602"/>
      <c r="H21" s="603"/>
      <c r="I21" s="706"/>
      <c r="J21" s="604"/>
      <c r="K21" s="604"/>
      <c r="L21" s="604"/>
      <c r="M21" s="604"/>
      <c r="N21" s="414"/>
      <c r="O21" s="600"/>
      <c r="P21" s="703"/>
      <c r="Q21" s="602"/>
      <c r="R21" s="602"/>
      <c r="S21" s="602"/>
      <c r="T21" s="602"/>
      <c r="U21" s="602"/>
      <c r="V21" s="602"/>
      <c r="W21" s="602"/>
      <c r="X21" s="707"/>
      <c r="Y21" s="602"/>
      <c r="Z21" s="602"/>
      <c r="AA21" s="602"/>
      <c r="AB21" s="602"/>
      <c r="AC21" s="703"/>
      <c r="AD21" s="602"/>
      <c r="AE21" s="602"/>
      <c r="AF21" s="602"/>
      <c r="AG21" s="602"/>
      <c r="AH21" s="602"/>
      <c r="AI21" s="602"/>
      <c r="AJ21" s="602"/>
      <c r="AK21" s="602"/>
      <c r="AL21" s="602"/>
      <c r="AM21" s="703"/>
      <c r="AN21" s="602"/>
      <c r="AO21" s="602"/>
      <c r="AP21" s="602"/>
      <c r="AQ21" s="602"/>
      <c r="AR21" s="602"/>
      <c r="AS21" s="602"/>
      <c r="AT21" s="602"/>
      <c r="AU21" s="602"/>
      <c r="AV21" s="602"/>
      <c r="AW21" s="704" t="s">
        <v>47</v>
      </c>
      <c r="AX21" s="602"/>
      <c r="AY21" s="602"/>
      <c r="AZ21" s="603"/>
      <c r="BA21" s="705"/>
      <c r="BB21" s="602"/>
      <c r="BC21" s="603"/>
      <c r="BD21" s="627"/>
      <c r="BE21" s="602"/>
      <c r="BF21" s="603"/>
      <c r="BG21" s="702"/>
      <c r="BH21" s="602"/>
      <c r="BI21" s="602"/>
      <c r="BJ21" s="602"/>
      <c r="BK21" s="602"/>
      <c r="BL21" s="602"/>
      <c r="BM21" s="602"/>
      <c r="BN21" s="602"/>
      <c r="BO21" s="603"/>
      <c r="BP21" s="84"/>
      <c r="BQ21" s="84"/>
      <c r="BR21" s="84"/>
      <c r="BS21" s="84"/>
      <c r="BT21" s="84"/>
      <c r="BU21" s="84"/>
      <c r="BV21" s="81"/>
      <c r="BW21" s="81"/>
      <c r="BX21" s="81"/>
      <c r="BY21" s="81"/>
      <c r="BZ21" s="81"/>
      <c r="CA21" s="81"/>
      <c r="CB21" s="81"/>
      <c r="CC21" s="81"/>
      <c r="CD21" s="81"/>
      <c r="CE21" s="81"/>
    </row>
    <row r="22" spans="1:83" ht="15.75" customHeight="1" x14ac:dyDescent="0.3">
      <c r="A22" s="104"/>
      <c r="B22" s="640" t="s">
        <v>3311</v>
      </c>
      <c r="C22" s="602"/>
      <c r="D22" s="602"/>
      <c r="E22" s="602"/>
      <c r="F22" s="602"/>
      <c r="G22" s="602"/>
      <c r="H22" s="602"/>
      <c r="I22" s="602"/>
      <c r="J22" s="602"/>
      <c r="K22" s="602"/>
      <c r="L22" s="602"/>
      <c r="M22" s="602"/>
      <c r="N22" s="602"/>
      <c r="O22" s="602"/>
      <c r="P22" s="602"/>
      <c r="Q22" s="602"/>
      <c r="R22" s="602"/>
      <c r="S22" s="602"/>
      <c r="T22" s="602"/>
      <c r="U22" s="602"/>
      <c r="V22" s="602"/>
      <c r="W22" s="602"/>
      <c r="X22" s="602"/>
      <c r="Y22" s="602"/>
      <c r="Z22" s="602"/>
      <c r="AA22" s="602"/>
      <c r="AB22" s="602"/>
      <c r="AC22" s="602"/>
      <c r="AD22" s="602"/>
      <c r="AE22" s="602"/>
      <c r="AF22" s="602"/>
      <c r="AG22" s="602"/>
      <c r="AH22" s="602"/>
      <c r="AI22" s="602"/>
      <c r="AJ22" s="602"/>
      <c r="AK22" s="602"/>
      <c r="AL22" s="602"/>
      <c r="AM22" s="602"/>
      <c r="AN22" s="602"/>
      <c r="AO22" s="602"/>
      <c r="AP22" s="602"/>
      <c r="AQ22" s="602"/>
      <c r="AR22" s="602"/>
      <c r="AS22" s="602"/>
      <c r="AT22" s="602"/>
      <c r="AU22" s="602"/>
      <c r="AV22" s="602"/>
      <c r="AW22" s="602"/>
      <c r="AX22" s="602"/>
      <c r="AY22" s="602"/>
      <c r="AZ22" s="602"/>
      <c r="BA22" s="602"/>
      <c r="BB22" s="602"/>
      <c r="BC22" s="602"/>
      <c r="BD22" s="602"/>
      <c r="BE22" s="602"/>
      <c r="BF22" s="602"/>
      <c r="BG22" s="602"/>
      <c r="BH22" s="602"/>
      <c r="BI22" s="602"/>
      <c r="BJ22" s="602"/>
      <c r="BK22" s="602"/>
      <c r="BL22" s="602"/>
      <c r="BM22" s="602"/>
      <c r="BN22" s="602"/>
      <c r="BO22" s="602"/>
      <c r="BP22" s="602"/>
      <c r="BQ22" s="602"/>
      <c r="BR22" s="602"/>
      <c r="BS22" s="602"/>
      <c r="BT22" s="602"/>
      <c r="BU22" s="602"/>
      <c r="BV22" s="598"/>
      <c r="BW22" s="598"/>
      <c r="BX22" s="598"/>
      <c r="BY22" s="598"/>
      <c r="BZ22" s="598"/>
      <c r="CA22" s="598"/>
      <c r="CB22" s="598"/>
      <c r="CC22" s="598"/>
      <c r="CD22" s="598"/>
      <c r="CE22" s="598"/>
    </row>
    <row r="23" spans="1:83" ht="15.75" customHeight="1" x14ac:dyDescent="0.3">
      <c r="A23" s="104" t="s">
        <v>208</v>
      </c>
      <c r="B23" s="627">
        <f t="shared" ref="B23:B25" ca="1" si="3">1+COUNT(INDIRECT("A1:"&amp;(ADDRESS(ROW()-1,COLUMN()))))</f>
        <v>8</v>
      </c>
      <c r="C23" s="603"/>
      <c r="D23" s="628"/>
      <c r="E23" s="602"/>
      <c r="F23" s="602"/>
      <c r="G23" s="602"/>
      <c r="H23" s="603"/>
      <c r="I23" s="706"/>
      <c r="J23" s="604"/>
      <c r="K23" s="604"/>
      <c r="L23" s="604"/>
      <c r="M23" s="604"/>
      <c r="N23" s="414" t="s">
        <v>3312</v>
      </c>
      <c r="O23" s="600" t="str">
        <f>IFERROR(VLOOKUP(N23,#REF!,5,FALSE),"")</f>
        <v/>
      </c>
      <c r="P23" s="703"/>
      <c r="Q23" s="602"/>
      <c r="R23" s="602"/>
      <c r="S23" s="602"/>
      <c r="T23" s="602"/>
      <c r="U23" s="602"/>
      <c r="V23" s="602"/>
      <c r="W23" s="602"/>
      <c r="X23" s="707"/>
      <c r="Y23" s="602"/>
      <c r="Z23" s="602"/>
      <c r="AA23" s="602"/>
      <c r="AB23" s="602"/>
      <c r="AC23" s="703"/>
      <c r="AD23" s="602"/>
      <c r="AE23" s="602"/>
      <c r="AF23" s="602"/>
      <c r="AG23" s="602"/>
      <c r="AH23" s="602"/>
      <c r="AI23" s="602"/>
      <c r="AJ23" s="602"/>
      <c r="AK23" s="602"/>
      <c r="AL23" s="602"/>
      <c r="AM23" s="703"/>
      <c r="AN23" s="602"/>
      <c r="AO23" s="602"/>
      <c r="AP23" s="602"/>
      <c r="AQ23" s="602"/>
      <c r="AR23" s="602"/>
      <c r="AS23" s="602"/>
      <c r="AT23" s="602"/>
      <c r="AU23" s="602"/>
      <c r="AV23" s="602"/>
      <c r="AW23" s="704" t="s">
        <v>47</v>
      </c>
      <c r="AX23" s="602"/>
      <c r="AY23" s="602"/>
      <c r="AZ23" s="603"/>
      <c r="BA23" s="705"/>
      <c r="BB23" s="602"/>
      <c r="BC23" s="603"/>
      <c r="BD23" s="627"/>
      <c r="BE23" s="602"/>
      <c r="BF23" s="603"/>
      <c r="BG23" s="702"/>
      <c r="BH23" s="602"/>
      <c r="BI23" s="602"/>
      <c r="BJ23" s="602"/>
      <c r="BK23" s="602"/>
      <c r="BL23" s="602"/>
      <c r="BM23" s="602"/>
      <c r="BN23" s="602"/>
      <c r="BO23" s="603"/>
      <c r="BP23" s="84"/>
      <c r="BQ23" s="84"/>
      <c r="BR23" s="84"/>
      <c r="BS23" s="84"/>
      <c r="BT23" s="84"/>
      <c r="BU23" s="84"/>
      <c r="BV23" s="81"/>
      <c r="BW23" s="81"/>
      <c r="BX23" s="81"/>
      <c r="BY23" s="81"/>
      <c r="BZ23" s="81"/>
      <c r="CA23" s="81"/>
      <c r="CB23" s="81"/>
      <c r="CC23" s="81"/>
      <c r="CD23" s="81"/>
      <c r="CE23" s="81"/>
    </row>
    <row r="24" spans="1:83" ht="15.75" customHeight="1" x14ac:dyDescent="0.3">
      <c r="A24" s="104" t="s">
        <v>208</v>
      </c>
      <c r="B24" s="627">
        <f t="shared" ca="1" si="3"/>
        <v>9</v>
      </c>
      <c r="C24" s="603"/>
      <c r="D24" s="628"/>
      <c r="E24" s="602"/>
      <c r="F24" s="602"/>
      <c r="G24" s="602"/>
      <c r="H24" s="603"/>
      <c r="I24" s="706"/>
      <c r="J24" s="604"/>
      <c r="K24" s="604"/>
      <c r="L24" s="604"/>
      <c r="M24" s="604"/>
      <c r="N24" s="414"/>
      <c r="O24" s="600"/>
      <c r="P24" s="703"/>
      <c r="Q24" s="602"/>
      <c r="R24" s="602"/>
      <c r="S24" s="602"/>
      <c r="T24" s="602"/>
      <c r="U24" s="602"/>
      <c r="V24" s="602"/>
      <c r="W24" s="602"/>
      <c r="X24" s="707"/>
      <c r="Y24" s="602"/>
      <c r="Z24" s="602"/>
      <c r="AA24" s="602"/>
      <c r="AB24" s="602"/>
      <c r="AC24" s="703"/>
      <c r="AD24" s="602"/>
      <c r="AE24" s="602"/>
      <c r="AF24" s="602"/>
      <c r="AG24" s="602"/>
      <c r="AH24" s="602"/>
      <c r="AI24" s="602"/>
      <c r="AJ24" s="602"/>
      <c r="AK24" s="602"/>
      <c r="AL24" s="602"/>
      <c r="AM24" s="703"/>
      <c r="AN24" s="602"/>
      <c r="AO24" s="602"/>
      <c r="AP24" s="602"/>
      <c r="AQ24" s="602"/>
      <c r="AR24" s="602"/>
      <c r="AS24" s="602"/>
      <c r="AT24" s="602"/>
      <c r="AU24" s="602"/>
      <c r="AV24" s="602"/>
      <c r="AW24" s="704" t="s">
        <v>47</v>
      </c>
      <c r="AX24" s="602"/>
      <c r="AY24" s="602"/>
      <c r="AZ24" s="603"/>
      <c r="BA24" s="705"/>
      <c r="BB24" s="602"/>
      <c r="BC24" s="603"/>
      <c r="BD24" s="627"/>
      <c r="BE24" s="602"/>
      <c r="BF24" s="603"/>
      <c r="BG24" s="702"/>
      <c r="BH24" s="602"/>
      <c r="BI24" s="602"/>
      <c r="BJ24" s="602"/>
      <c r="BK24" s="602"/>
      <c r="BL24" s="602"/>
      <c r="BM24" s="602"/>
      <c r="BN24" s="602"/>
      <c r="BO24" s="603"/>
      <c r="BP24" s="84"/>
      <c r="BQ24" s="84"/>
      <c r="BR24" s="84"/>
      <c r="BS24" s="84"/>
      <c r="BT24" s="84"/>
      <c r="BU24" s="84"/>
      <c r="BV24" s="81"/>
      <c r="BW24" s="81"/>
      <c r="BX24" s="81"/>
      <c r="BY24" s="81"/>
      <c r="BZ24" s="81"/>
      <c r="CA24" s="81"/>
      <c r="CB24" s="81"/>
      <c r="CC24" s="81"/>
      <c r="CD24" s="81"/>
      <c r="CE24" s="81"/>
    </row>
    <row r="25" spans="1:83" ht="15.75" customHeight="1" x14ac:dyDescent="0.3">
      <c r="A25" s="104" t="s">
        <v>208</v>
      </c>
      <c r="B25" s="627">
        <f t="shared" ca="1" si="3"/>
        <v>10</v>
      </c>
      <c r="C25" s="603"/>
      <c r="D25" s="628"/>
      <c r="E25" s="602"/>
      <c r="F25" s="602"/>
      <c r="G25" s="602"/>
      <c r="H25" s="603"/>
      <c r="I25" s="706"/>
      <c r="J25" s="604"/>
      <c r="K25" s="604"/>
      <c r="L25" s="604"/>
      <c r="M25" s="604"/>
      <c r="N25" s="414"/>
      <c r="O25" s="600"/>
      <c r="P25" s="703"/>
      <c r="Q25" s="602"/>
      <c r="R25" s="602"/>
      <c r="S25" s="602"/>
      <c r="T25" s="602"/>
      <c r="U25" s="602"/>
      <c r="V25" s="602"/>
      <c r="W25" s="602"/>
      <c r="X25" s="707"/>
      <c r="Y25" s="602"/>
      <c r="Z25" s="602"/>
      <c r="AA25" s="602"/>
      <c r="AB25" s="602"/>
      <c r="AC25" s="703"/>
      <c r="AD25" s="602"/>
      <c r="AE25" s="602"/>
      <c r="AF25" s="602"/>
      <c r="AG25" s="602"/>
      <c r="AH25" s="602"/>
      <c r="AI25" s="602"/>
      <c r="AJ25" s="602"/>
      <c r="AK25" s="602"/>
      <c r="AL25" s="602"/>
      <c r="AM25" s="703"/>
      <c r="AN25" s="602"/>
      <c r="AO25" s="602"/>
      <c r="AP25" s="602"/>
      <c r="AQ25" s="602"/>
      <c r="AR25" s="602"/>
      <c r="AS25" s="602"/>
      <c r="AT25" s="602"/>
      <c r="AU25" s="602"/>
      <c r="AV25" s="602"/>
      <c r="AW25" s="704" t="s">
        <v>47</v>
      </c>
      <c r="AX25" s="602"/>
      <c r="AY25" s="602"/>
      <c r="AZ25" s="603"/>
      <c r="BA25" s="705"/>
      <c r="BB25" s="602"/>
      <c r="BC25" s="603"/>
      <c r="BD25" s="627"/>
      <c r="BE25" s="602"/>
      <c r="BF25" s="603"/>
      <c r="BG25" s="702"/>
      <c r="BH25" s="602"/>
      <c r="BI25" s="602"/>
      <c r="BJ25" s="602"/>
      <c r="BK25" s="602"/>
      <c r="BL25" s="602"/>
      <c r="BM25" s="602"/>
      <c r="BN25" s="602"/>
      <c r="BO25" s="603"/>
      <c r="BP25" s="84"/>
      <c r="BQ25" s="84"/>
      <c r="BR25" s="84"/>
      <c r="BS25" s="84"/>
      <c r="BT25" s="84"/>
      <c r="BU25" s="84"/>
      <c r="BV25" s="81"/>
      <c r="BW25" s="81"/>
      <c r="BX25" s="81"/>
      <c r="BY25" s="81"/>
      <c r="BZ25" s="81"/>
      <c r="CA25" s="81"/>
      <c r="CB25" s="81"/>
      <c r="CC25" s="81"/>
      <c r="CD25" s="81"/>
      <c r="CE25" s="81"/>
    </row>
    <row r="26" spans="1:83" ht="21.75" customHeight="1" x14ac:dyDescent="0.3">
      <c r="A26" s="104"/>
      <c r="B26" s="701" t="s">
        <v>3303</v>
      </c>
      <c r="C26" s="604"/>
      <c r="D26" s="604"/>
      <c r="E26" s="604"/>
      <c r="F26" s="604"/>
      <c r="G26" s="604"/>
      <c r="H26" s="604"/>
      <c r="I26" s="604"/>
      <c r="J26" s="604"/>
      <c r="K26" s="604"/>
      <c r="L26" s="604"/>
      <c r="M26" s="604"/>
      <c r="N26" s="604"/>
      <c r="O26" s="604"/>
      <c r="P26" s="604"/>
      <c r="Q26" s="604"/>
      <c r="R26" s="604"/>
      <c r="S26" s="604"/>
      <c r="T26" s="604"/>
      <c r="U26" s="604"/>
      <c r="V26" s="604"/>
      <c r="W26" s="604"/>
      <c r="X26" s="604"/>
      <c r="Y26" s="604"/>
      <c r="Z26" s="604"/>
      <c r="AA26" s="604"/>
      <c r="AB26" s="604"/>
      <c r="AC26" s="604"/>
      <c r="AD26" s="604"/>
      <c r="AE26" s="604"/>
      <c r="AF26" s="604"/>
      <c r="AG26" s="604"/>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4"/>
      <c r="BD26" s="604"/>
      <c r="BE26" s="604"/>
      <c r="BF26" s="604"/>
      <c r="BG26" s="604"/>
      <c r="BH26" s="604"/>
      <c r="BI26" s="604"/>
      <c r="BJ26" s="604"/>
      <c r="BK26" s="604"/>
      <c r="BL26" s="604"/>
      <c r="BM26" s="604"/>
      <c r="BN26" s="604"/>
      <c r="BO26" s="604"/>
      <c r="BP26" s="604"/>
      <c r="BQ26" s="604"/>
      <c r="BR26" s="604"/>
      <c r="BS26" s="604"/>
      <c r="BT26" s="604"/>
      <c r="BU26" s="605"/>
      <c r="BV26" s="81"/>
      <c r="BW26" s="81"/>
      <c r="BX26" s="81"/>
      <c r="BY26" s="81"/>
      <c r="BZ26" s="81"/>
      <c r="CA26" s="81"/>
      <c r="CB26" s="81"/>
      <c r="CC26" s="81"/>
      <c r="CD26" s="81"/>
      <c r="CE26" s="81"/>
    </row>
    <row r="27" spans="1:83" ht="15.75" customHeight="1" x14ac:dyDescent="0.3">
      <c r="A27" s="88"/>
      <c r="B27" s="46" t="s">
        <v>203</v>
      </c>
      <c r="BG27" s="89"/>
      <c r="BH27" s="89"/>
      <c r="BI27" s="89"/>
      <c r="BJ27" s="89"/>
      <c r="BK27" s="89"/>
      <c r="BL27" s="89"/>
      <c r="BM27" s="89"/>
      <c r="BN27" s="89"/>
      <c r="BO27" s="89"/>
    </row>
    <row r="28" spans="1:83" ht="15.75" customHeight="1" x14ac:dyDescent="0.3">
      <c r="A28" s="88"/>
      <c r="BG28" s="89"/>
      <c r="BH28" s="89"/>
      <c r="BI28" s="89"/>
      <c r="BJ28" s="89"/>
      <c r="BK28" s="89"/>
      <c r="BL28" s="89"/>
      <c r="BM28" s="89"/>
      <c r="BN28" s="89"/>
      <c r="BO28" s="89"/>
    </row>
    <row r="29" spans="1:83" ht="15.75" customHeight="1" x14ac:dyDescent="0.3">
      <c r="A29" s="88"/>
      <c r="BG29" s="89"/>
      <c r="BH29" s="89"/>
      <c r="BI29" s="89"/>
      <c r="BJ29" s="89"/>
      <c r="BK29" s="89"/>
      <c r="BL29" s="89"/>
      <c r="BM29" s="89"/>
      <c r="BN29" s="89"/>
      <c r="BO29" s="89"/>
    </row>
    <row r="30" spans="1:83" ht="15.75" customHeight="1" x14ac:dyDescent="0.3">
      <c r="A30" s="88"/>
      <c r="BG30" s="89"/>
      <c r="BH30" s="89"/>
      <c r="BI30" s="89"/>
      <c r="BJ30" s="89"/>
      <c r="BK30" s="89"/>
      <c r="BL30" s="89"/>
      <c r="BM30" s="89"/>
      <c r="BN30" s="89"/>
      <c r="BO30" s="89"/>
    </row>
    <row r="31" spans="1:83" ht="15.75" customHeight="1" x14ac:dyDescent="0.3">
      <c r="A31" s="88"/>
      <c r="N31" s="414" t="s">
        <v>3313</v>
      </c>
      <c r="BG31" s="89"/>
      <c r="BH31" s="89"/>
      <c r="BI31" s="89"/>
      <c r="BJ31" s="89"/>
      <c r="BK31" s="89"/>
      <c r="BL31" s="89"/>
      <c r="BM31" s="89"/>
      <c r="BN31" s="89"/>
      <c r="BO31" s="89"/>
    </row>
    <row r="32" spans="1:83" ht="15.75" customHeight="1" x14ac:dyDescent="0.3">
      <c r="A32" s="88"/>
      <c r="BG32" s="89"/>
      <c r="BH32" s="89"/>
      <c r="BI32" s="89"/>
      <c r="BJ32" s="89"/>
      <c r="BK32" s="89"/>
      <c r="BL32" s="89"/>
      <c r="BM32" s="89"/>
      <c r="BN32" s="89"/>
      <c r="BO32" s="89"/>
    </row>
    <row r="33" spans="1:67" ht="15.75" customHeight="1" x14ac:dyDescent="0.3">
      <c r="A33" s="88"/>
      <c r="BG33" s="89"/>
      <c r="BH33" s="89"/>
      <c r="BI33" s="89"/>
      <c r="BJ33" s="89"/>
      <c r="BK33" s="89"/>
      <c r="BL33" s="89"/>
      <c r="BM33" s="89"/>
      <c r="BN33" s="89"/>
      <c r="BO33" s="89"/>
    </row>
    <row r="34" spans="1:67" ht="15.75" customHeight="1" x14ac:dyDescent="0.3">
      <c r="A34" s="88"/>
      <c r="BG34" s="89"/>
      <c r="BH34" s="89"/>
      <c r="BI34" s="89"/>
      <c r="BJ34" s="89"/>
      <c r="BK34" s="89"/>
      <c r="BL34" s="89"/>
      <c r="BM34" s="89"/>
      <c r="BN34" s="89"/>
      <c r="BO34" s="89"/>
    </row>
    <row r="35" spans="1:67" ht="15.75" customHeight="1" x14ac:dyDescent="0.3">
      <c r="A35" s="88"/>
      <c r="BG35" s="89"/>
      <c r="BH35" s="89"/>
      <c r="BI35" s="89"/>
      <c r="BJ35" s="89"/>
      <c r="BK35" s="89"/>
      <c r="BL35" s="89"/>
      <c r="BM35" s="89"/>
      <c r="BN35" s="89"/>
      <c r="BO35" s="89"/>
    </row>
    <row r="36" spans="1:67" ht="15.75" customHeight="1" x14ac:dyDescent="0.3">
      <c r="A36" s="88"/>
      <c r="BG36" s="89"/>
      <c r="BH36" s="89"/>
      <c r="BI36" s="89"/>
      <c r="BJ36" s="89"/>
      <c r="BK36" s="89"/>
      <c r="BL36" s="89"/>
      <c r="BM36" s="89"/>
      <c r="BN36" s="89"/>
      <c r="BO36" s="89"/>
    </row>
    <row r="37" spans="1:67" ht="15.75" customHeight="1" x14ac:dyDescent="0.3">
      <c r="A37" s="88"/>
      <c r="BG37" s="89"/>
      <c r="BH37" s="89"/>
      <c r="BI37" s="89"/>
      <c r="BJ37" s="89"/>
      <c r="BK37" s="89"/>
      <c r="BL37" s="89"/>
      <c r="BM37" s="89"/>
      <c r="BN37" s="89"/>
      <c r="BO37" s="89"/>
    </row>
    <row r="38" spans="1:67" ht="15.75" customHeight="1" x14ac:dyDescent="0.3">
      <c r="A38" s="88"/>
      <c r="BG38" s="89"/>
      <c r="BH38" s="89"/>
      <c r="BI38" s="89"/>
      <c r="BJ38" s="89"/>
      <c r="BK38" s="89"/>
      <c r="BL38" s="89"/>
      <c r="BM38" s="89"/>
      <c r="BN38" s="89"/>
      <c r="BO38" s="89"/>
    </row>
    <row r="39" spans="1:67" ht="15.75" customHeight="1" x14ac:dyDescent="0.3">
      <c r="A39" s="88"/>
      <c r="BG39" s="89"/>
      <c r="BH39" s="89"/>
      <c r="BI39" s="89"/>
      <c r="BJ39" s="89"/>
      <c r="BK39" s="89"/>
      <c r="BL39" s="89"/>
      <c r="BM39" s="89"/>
      <c r="BN39" s="89"/>
      <c r="BO39" s="89"/>
    </row>
    <row r="40" spans="1:67" ht="15.75" customHeight="1" x14ac:dyDescent="0.3">
      <c r="A40" s="88"/>
      <c r="BG40" s="89"/>
      <c r="BH40" s="89"/>
      <c r="BI40" s="89"/>
      <c r="BJ40" s="89"/>
      <c r="BK40" s="89"/>
      <c r="BL40" s="89"/>
      <c r="BM40" s="89"/>
      <c r="BN40" s="89"/>
      <c r="BO40" s="89"/>
    </row>
    <row r="41" spans="1:67" ht="15.75" customHeight="1" x14ac:dyDescent="0.3">
      <c r="A41" s="88"/>
      <c r="BG41" s="89"/>
      <c r="BH41" s="89"/>
      <c r="BI41" s="89"/>
      <c r="BJ41" s="89"/>
      <c r="BK41" s="89"/>
      <c r="BL41" s="89"/>
      <c r="BM41" s="89"/>
      <c r="BN41" s="89"/>
      <c r="BO41" s="89"/>
    </row>
    <row r="42" spans="1:67" ht="15.75" customHeight="1" x14ac:dyDescent="0.3">
      <c r="A42" s="88"/>
      <c r="BG42" s="89"/>
      <c r="BH42" s="89"/>
      <c r="BI42" s="89"/>
      <c r="BJ42" s="89"/>
      <c r="BK42" s="89"/>
      <c r="BL42" s="89"/>
      <c r="BM42" s="89"/>
      <c r="BN42" s="89"/>
      <c r="BO42" s="89"/>
    </row>
    <row r="43" spans="1:67" ht="15.75" customHeight="1" x14ac:dyDescent="0.3">
      <c r="A43" s="88"/>
      <c r="BG43" s="89"/>
      <c r="BH43" s="89"/>
      <c r="BI43" s="89"/>
      <c r="BJ43" s="89"/>
      <c r="BK43" s="89"/>
      <c r="BL43" s="89"/>
      <c r="BM43" s="89"/>
      <c r="BN43" s="89"/>
      <c r="BO43" s="89"/>
    </row>
    <row r="44" spans="1:67" ht="15.75" customHeight="1" x14ac:dyDescent="0.3">
      <c r="A44" s="88"/>
      <c r="BG44" s="89"/>
      <c r="BH44" s="89"/>
      <c r="BI44" s="89"/>
      <c r="BJ44" s="89"/>
      <c r="BK44" s="89"/>
      <c r="BL44" s="89"/>
      <c r="BM44" s="89"/>
      <c r="BN44" s="89"/>
      <c r="BO44" s="89"/>
    </row>
    <row r="45" spans="1:67" ht="15.75" customHeight="1" x14ac:dyDescent="0.3">
      <c r="A45" s="88"/>
      <c r="BG45" s="89"/>
      <c r="BH45" s="89"/>
      <c r="BI45" s="89"/>
      <c r="BJ45" s="89"/>
      <c r="BK45" s="89"/>
      <c r="BL45" s="89"/>
      <c r="BM45" s="89"/>
      <c r="BN45" s="89"/>
      <c r="BO45" s="89"/>
    </row>
    <row r="46" spans="1:67" ht="15.75" customHeight="1" x14ac:dyDescent="0.3">
      <c r="A46" s="88"/>
      <c r="BG46" s="89"/>
      <c r="BH46" s="89"/>
      <c r="BI46" s="89"/>
      <c r="BJ46" s="89"/>
      <c r="BK46" s="89"/>
      <c r="BL46" s="89"/>
      <c r="BM46" s="89"/>
      <c r="BN46" s="89"/>
      <c r="BO46" s="89"/>
    </row>
    <row r="47" spans="1:67" ht="15.75" customHeight="1" x14ac:dyDescent="0.3">
      <c r="A47" s="88"/>
      <c r="BG47" s="89"/>
      <c r="BH47" s="89"/>
      <c r="BI47" s="89"/>
      <c r="BJ47" s="89"/>
      <c r="BK47" s="89"/>
      <c r="BL47" s="89"/>
      <c r="BM47" s="89"/>
      <c r="BN47" s="89"/>
      <c r="BO47" s="89"/>
    </row>
    <row r="48" spans="1:67" ht="15.75" customHeight="1" x14ac:dyDescent="0.3">
      <c r="A48" s="88"/>
      <c r="BG48" s="89"/>
      <c r="BH48" s="89"/>
      <c r="BI48" s="89"/>
      <c r="BJ48" s="89"/>
      <c r="BK48" s="89"/>
      <c r="BL48" s="89"/>
      <c r="BM48" s="89"/>
      <c r="BN48" s="89"/>
      <c r="BO48" s="89"/>
    </row>
    <row r="49" spans="1:67" ht="15.75" customHeight="1" x14ac:dyDescent="0.3">
      <c r="A49" s="88"/>
      <c r="BG49" s="89"/>
      <c r="BH49" s="89"/>
      <c r="BI49" s="89"/>
      <c r="BJ49" s="89"/>
      <c r="BK49" s="89"/>
      <c r="BL49" s="89"/>
      <c r="BM49" s="89"/>
      <c r="BN49" s="89"/>
      <c r="BO49" s="89"/>
    </row>
    <row r="50" spans="1:67" ht="15.75" customHeight="1" x14ac:dyDescent="0.3">
      <c r="A50" s="88"/>
      <c r="BG50" s="89"/>
      <c r="BH50" s="89"/>
      <c r="BI50" s="89"/>
      <c r="BJ50" s="89"/>
      <c r="BK50" s="89"/>
      <c r="BL50" s="89"/>
      <c r="BM50" s="89"/>
      <c r="BN50" s="89"/>
      <c r="BO50" s="89"/>
    </row>
    <row r="51" spans="1:67" ht="15.75" customHeight="1" x14ac:dyDescent="0.3">
      <c r="A51" s="88"/>
      <c r="BG51" s="89"/>
      <c r="BH51" s="89"/>
      <c r="BI51" s="89"/>
      <c r="BJ51" s="89"/>
      <c r="BK51" s="89"/>
      <c r="BL51" s="89"/>
      <c r="BM51" s="89"/>
      <c r="BN51" s="89"/>
      <c r="BO51" s="89"/>
    </row>
    <row r="52" spans="1:67" ht="15.75" customHeight="1" x14ac:dyDescent="0.3">
      <c r="A52" s="88"/>
      <c r="BG52" s="89"/>
      <c r="BH52" s="89"/>
      <c r="BI52" s="89"/>
      <c r="BJ52" s="89"/>
      <c r="BK52" s="89"/>
      <c r="BL52" s="89"/>
      <c r="BM52" s="89"/>
      <c r="BN52" s="89"/>
      <c r="BO52" s="89"/>
    </row>
    <row r="53" spans="1:67" ht="15.75" customHeight="1" x14ac:dyDescent="0.3">
      <c r="A53" s="88"/>
      <c r="BG53" s="89"/>
      <c r="BH53" s="89"/>
      <c r="BI53" s="89"/>
      <c r="BJ53" s="89"/>
      <c r="BK53" s="89"/>
      <c r="BL53" s="89"/>
      <c r="BM53" s="89"/>
      <c r="BN53" s="89"/>
      <c r="BO53" s="89"/>
    </row>
    <row r="54" spans="1:67" ht="15.75" customHeight="1" x14ac:dyDescent="0.3">
      <c r="A54" s="88"/>
      <c r="BG54" s="89"/>
      <c r="BH54" s="89"/>
      <c r="BI54" s="89"/>
      <c r="BJ54" s="89"/>
      <c r="BK54" s="89"/>
      <c r="BL54" s="89"/>
      <c r="BM54" s="89"/>
      <c r="BN54" s="89"/>
      <c r="BO54" s="89"/>
    </row>
    <row r="55" spans="1:67" ht="15.75" customHeight="1" x14ac:dyDescent="0.3">
      <c r="A55" s="88"/>
      <c r="BG55" s="89"/>
      <c r="BH55" s="89"/>
      <c r="BI55" s="89"/>
      <c r="BJ55" s="89"/>
      <c r="BK55" s="89"/>
      <c r="BL55" s="89"/>
      <c r="BM55" s="89"/>
      <c r="BN55" s="89"/>
      <c r="BO55" s="89"/>
    </row>
    <row r="56" spans="1:67" ht="15.75" customHeight="1" x14ac:dyDescent="0.3">
      <c r="A56" s="88"/>
      <c r="BG56" s="89"/>
      <c r="BH56" s="89"/>
      <c r="BI56" s="89"/>
      <c r="BJ56" s="89"/>
      <c r="BK56" s="89"/>
      <c r="BL56" s="89"/>
      <c r="BM56" s="89"/>
      <c r="BN56" s="89"/>
      <c r="BO56" s="89"/>
    </row>
    <row r="57" spans="1:67" ht="15.75" customHeight="1" x14ac:dyDescent="0.3">
      <c r="A57" s="88"/>
      <c r="BG57" s="89"/>
      <c r="BH57" s="89"/>
      <c r="BI57" s="89"/>
      <c r="BJ57" s="89"/>
      <c r="BK57" s="89"/>
      <c r="BL57" s="89"/>
      <c r="BM57" s="89"/>
      <c r="BN57" s="89"/>
      <c r="BO57" s="89"/>
    </row>
    <row r="58" spans="1:67" ht="15.75" customHeight="1" x14ac:dyDescent="0.3">
      <c r="A58" s="88"/>
      <c r="BG58" s="89"/>
      <c r="BH58" s="89"/>
      <c r="BI58" s="89"/>
      <c r="BJ58" s="89"/>
      <c r="BK58" s="89"/>
      <c r="BL58" s="89"/>
      <c r="BM58" s="89"/>
      <c r="BN58" s="89"/>
      <c r="BO58" s="89"/>
    </row>
    <row r="59" spans="1:67" ht="15.75" customHeight="1" x14ac:dyDescent="0.3">
      <c r="A59" s="88"/>
      <c r="BG59" s="89"/>
      <c r="BH59" s="89"/>
      <c r="BI59" s="89"/>
      <c r="BJ59" s="89"/>
      <c r="BK59" s="89"/>
      <c r="BL59" s="89"/>
      <c r="BM59" s="89"/>
      <c r="BN59" s="89"/>
      <c r="BO59" s="89"/>
    </row>
    <row r="60" spans="1:67" ht="15.75" customHeight="1" x14ac:dyDescent="0.3">
      <c r="A60" s="88"/>
      <c r="BG60" s="89"/>
      <c r="BH60" s="89"/>
      <c r="BI60" s="89"/>
      <c r="BJ60" s="89"/>
      <c r="BK60" s="89"/>
      <c r="BL60" s="89"/>
      <c r="BM60" s="89"/>
      <c r="BN60" s="89"/>
      <c r="BO60" s="89"/>
    </row>
    <row r="61" spans="1:67" ht="15.75" customHeight="1" x14ac:dyDescent="0.3">
      <c r="A61" s="88"/>
      <c r="BG61" s="89"/>
      <c r="BH61" s="89"/>
      <c r="BI61" s="89"/>
      <c r="BJ61" s="89"/>
      <c r="BK61" s="89"/>
      <c r="BL61" s="89"/>
      <c r="BM61" s="89"/>
      <c r="BN61" s="89"/>
      <c r="BO61" s="89"/>
    </row>
    <row r="62" spans="1:67" ht="15.75" customHeight="1" x14ac:dyDescent="0.3">
      <c r="A62" s="88"/>
      <c r="BG62" s="89"/>
      <c r="BH62" s="89"/>
      <c r="BI62" s="89"/>
      <c r="BJ62" s="89"/>
      <c r="BK62" s="89"/>
      <c r="BL62" s="89"/>
      <c r="BM62" s="89"/>
      <c r="BN62" s="89"/>
      <c r="BO62" s="89"/>
    </row>
    <row r="63" spans="1:67" ht="15.75" customHeight="1" x14ac:dyDescent="0.3">
      <c r="A63" s="88"/>
      <c r="BG63" s="89"/>
      <c r="BH63" s="89"/>
      <c r="BI63" s="89"/>
      <c r="BJ63" s="89"/>
      <c r="BK63" s="89"/>
      <c r="BL63" s="89"/>
      <c r="BM63" s="89"/>
      <c r="BN63" s="89"/>
      <c r="BO63" s="89"/>
    </row>
    <row r="64" spans="1:67" ht="15.75" customHeight="1" x14ac:dyDescent="0.3">
      <c r="A64" s="88"/>
      <c r="BG64" s="89"/>
      <c r="BH64" s="89"/>
      <c r="BI64" s="89"/>
      <c r="BJ64" s="89"/>
      <c r="BK64" s="89"/>
      <c r="BL64" s="89"/>
      <c r="BM64" s="89"/>
      <c r="BN64" s="89"/>
      <c r="BO64" s="89"/>
    </row>
    <row r="65" spans="1:67" ht="15.75" customHeight="1" x14ac:dyDescent="0.3">
      <c r="A65" s="88"/>
      <c r="BG65" s="89"/>
      <c r="BH65" s="89"/>
      <c r="BI65" s="89"/>
      <c r="BJ65" s="89"/>
      <c r="BK65" s="89"/>
      <c r="BL65" s="89"/>
      <c r="BM65" s="89"/>
      <c r="BN65" s="89"/>
      <c r="BO65" s="89"/>
    </row>
    <row r="66" spans="1:67" ht="15.75" customHeight="1" x14ac:dyDescent="0.3">
      <c r="A66" s="88"/>
      <c r="BG66" s="89"/>
      <c r="BH66" s="89"/>
      <c r="BI66" s="89"/>
      <c r="BJ66" s="89"/>
      <c r="BK66" s="89"/>
      <c r="BL66" s="89"/>
      <c r="BM66" s="89"/>
      <c r="BN66" s="89"/>
      <c r="BO66" s="89"/>
    </row>
    <row r="67" spans="1:67" ht="15.75" customHeight="1" x14ac:dyDescent="0.3">
      <c r="A67" s="88"/>
      <c r="BG67" s="89"/>
      <c r="BH67" s="89"/>
      <c r="BI67" s="89"/>
      <c r="BJ67" s="89"/>
      <c r="BK67" s="89"/>
      <c r="BL67" s="89"/>
      <c r="BM67" s="89"/>
      <c r="BN67" s="89"/>
      <c r="BO67" s="89"/>
    </row>
    <row r="68" spans="1:67" ht="15.75" customHeight="1" x14ac:dyDescent="0.3">
      <c r="A68" s="88"/>
      <c r="BG68" s="89"/>
      <c r="BH68" s="89"/>
      <c r="BI68" s="89"/>
      <c r="BJ68" s="89"/>
      <c r="BK68" s="89"/>
      <c r="BL68" s="89"/>
      <c r="BM68" s="89"/>
      <c r="BN68" s="89"/>
      <c r="BO68" s="89"/>
    </row>
    <row r="69" spans="1:67" ht="15.75" customHeight="1" x14ac:dyDescent="0.3">
      <c r="A69" s="88"/>
      <c r="BG69" s="89"/>
      <c r="BH69" s="89"/>
      <c r="BI69" s="89"/>
      <c r="BJ69" s="89"/>
      <c r="BK69" s="89"/>
      <c r="BL69" s="89"/>
      <c r="BM69" s="89"/>
      <c r="BN69" s="89"/>
      <c r="BO69" s="89"/>
    </row>
    <row r="70" spans="1:67" ht="15.75" customHeight="1" x14ac:dyDescent="0.3">
      <c r="A70" s="88"/>
      <c r="BG70" s="89"/>
      <c r="BH70" s="89"/>
      <c r="BI70" s="89"/>
      <c r="BJ70" s="89"/>
      <c r="BK70" s="89"/>
      <c r="BL70" s="89"/>
      <c r="BM70" s="89"/>
      <c r="BN70" s="89"/>
      <c r="BO70" s="89"/>
    </row>
    <row r="71" spans="1:67" ht="15.75" customHeight="1" x14ac:dyDescent="0.3">
      <c r="A71" s="88"/>
      <c r="BG71" s="89"/>
      <c r="BH71" s="89"/>
      <c r="BI71" s="89"/>
      <c r="BJ71" s="89"/>
      <c r="BK71" s="89"/>
      <c r="BL71" s="89"/>
      <c r="BM71" s="89"/>
      <c r="BN71" s="89"/>
      <c r="BO71" s="89"/>
    </row>
    <row r="72" spans="1:67" ht="15.75" customHeight="1" x14ac:dyDescent="0.3">
      <c r="A72" s="88"/>
      <c r="BG72" s="89"/>
      <c r="BH72" s="89"/>
      <c r="BI72" s="89"/>
      <c r="BJ72" s="89"/>
      <c r="BK72" s="89"/>
      <c r="BL72" s="89"/>
      <c r="BM72" s="89"/>
      <c r="BN72" s="89"/>
      <c r="BO72" s="89"/>
    </row>
    <row r="73" spans="1:67" ht="15.75" customHeight="1" x14ac:dyDescent="0.3">
      <c r="A73" s="88"/>
      <c r="BG73" s="89"/>
      <c r="BH73" s="89"/>
      <c r="BI73" s="89"/>
      <c r="BJ73" s="89"/>
      <c r="BK73" s="89"/>
      <c r="BL73" s="89"/>
      <c r="BM73" s="89"/>
      <c r="BN73" s="89"/>
      <c r="BO73" s="89"/>
    </row>
    <row r="74" spans="1:67" ht="15.75" customHeight="1" x14ac:dyDescent="0.3">
      <c r="A74" s="88"/>
      <c r="BG74" s="89"/>
      <c r="BH74" s="89"/>
      <c r="BI74" s="89"/>
      <c r="BJ74" s="89"/>
      <c r="BK74" s="89"/>
      <c r="BL74" s="89"/>
      <c r="BM74" s="89"/>
      <c r="BN74" s="89"/>
      <c r="BO74" s="89"/>
    </row>
    <row r="75" spans="1:67" ht="15.75" customHeight="1" x14ac:dyDescent="0.3">
      <c r="A75" s="88"/>
      <c r="BG75" s="89"/>
      <c r="BH75" s="89"/>
      <c r="BI75" s="89"/>
      <c r="BJ75" s="89"/>
      <c r="BK75" s="89"/>
      <c r="BL75" s="89"/>
      <c r="BM75" s="89"/>
      <c r="BN75" s="89"/>
      <c r="BO75" s="89"/>
    </row>
    <row r="76" spans="1:67" ht="15.75" customHeight="1" x14ac:dyDescent="0.3">
      <c r="A76" s="88"/>
      <c r="BG76" s="89"/>
      <c r="BH76" s="89"/>
      <c r="BI76" s="89"/>
      <c r="BJ76" s="89"/>
      <c r="BK76" s="89"/>
      <c r="BL76" s="89"/>
      <c r="BM76" s="89"/>
      <c r="BN76" s="89"/>
      <c r="BO76" s="89"/>
    </row>
    <row r="77" spans="1:67" ht="15.75" customHeight="1" x14ac:dyDescent="0.3">
      <c r="A77" s="88"/>
      <c r="BG77" s="89"/>
      <c r="BH77" s="89"/>
      <c r="BI77" s="89"/>
      <c r="BJ77" s="89"/>
      <c r="BK77" s="89"/>
      <c r="BL77" s="89"/>
      <c r="BM77" s="89"/>
      <c r="BN77" s="89"/>
      <c r="BO77" s="89"/>
    </row>
    <row r="78" spans="1:67" ht="15.75" customHeight="1" x14ac:dyDescent="0.3">
      <c r="A78" s="88"/>
      <c r="BG78" s="89"/>
      <c r="BH78" s="89"/>
      <c r="BI78" s="89"/>
      <c r="BJ78" s="89"/>
      <c r="BK78" s="89"/>
      <c r="BL78" s="89"/>
      <c r="BM78" s="89"/>
      <c r="BN78" s="89"/>
      <c r="BO78" s="89"/>
    </row>
    <row r="79" spans="1:67" ht="15.75" customHeight="1" x14ac:dyDescent="0.3">
      <c r="A79" s="88"/>
      <c r="BG79" s="89"/>
      <c r="BH79" s="89"/>
      <c r="BI79" s="89"/>
      <c r="BJ79" s="89"/>
      <c r="BK79" s="89"/>
      <c r="BL79" s="89"/>
      <c r="BM79" s="89"/>
      <c r="BN79" s="89"/>
      <c r="BO79" s="89"/>
    </row>
    <row r="80" spans="1:67" ht="15.75" customHeight="1" x14ac:dyDescent="0.3">
      <c r="A80" s="88"/>
      <c r="BG80" s="89"/>
      <c r="BH80" s="89"/>
      <c r="BI80" s="89"/>
      <c r="BJ80" s="89"/>
      <c r="BK80" s="89"/>
      <c r="BL80" s="89"/>
      <c r="BM80" s="89"/>
      <c r="BN80" s="89"/>
      <c r="BO80" s="89"/>
    </row>
    <row r="81" spans="1:67" ht="15.75" customHeight="1" x14ac:dyDescent="0.3">
      <c r="A81" s="88"/>
      <c r="BG81" s="89"/>
      <c r="BH81" s="89"/>
      <c r="BI81" s="89"/>
      <c r="BJ81" s="89"/>
      <c r="BK81" s="89"/>
      <c r="BL81" s="89"/>
      <c r="BM81" s="89"/>
      <c r="BN81" s="89"/>
      <c r="BO81" s="89"/>
    </row>
    <row r="82" spans="1:67" ht="15.75" customHeight="1" x14ac:dyDescent="0.3">
      <c r="A82" s="88"/>
      <c r="BG82" s="89"/>
      <c r="BH82" s="89"/>
      <c r="BI82" s="89"/>
      <c r="BJ82" s="89"/>
      <c r="BK82" s="89"/>
      <c r="BL82" s="89"/>
      <c r="BM82" s="89"/>
      <c r="BN82" s="89"/>
      <c r="BO82" s="89"/>
    </row>
    <row r="83" spans="1:67" ht="15.75" customHeight="1" x14ac:dyDescent="0.3">
      <c r="A83" s="88"/>
      <c r="BG83" s="89"/>
      <c r="BH83" s="89"/>
      <c r="BI83" s="89"/>
      <c r="BJ83" s="89"/>
      <c r="BK83" s="89"/>
      <c r="BL83" s="89"/>
      <c r="BM83" s="89"/>
      <c r="BN83" s="89"/>
      <c r="BO83" s="89"/>
    </row>
    <row r="84" spans="1:67" ht="15.75" customHeight="1" x14ac:dyDescent="0.3">
      <c r="A84" s="88"/>
      <c r="BG84" s="89"/>
      <c r="BH84" s="89"/>
      <c r="BI84" s="89"/>
      <c r="BJ84" s="89"/>
      <c r="BK84" s="89"/>
      <c r="BL84" s="89"/>
      <c r="BM84" s="89"/>
      <c r="BN84" s="89"/>
      <c r="BO84" s="89"/>
    </row>
    <row r="85" spans="1:67" ht="15.75" customHeight="1" x14ac:dyDescent="0.3">
      <c r="A85" s="88"/>
      <c r="BG85" s="89"/>
      <c r="BH85" s="89"/>
      <c r="BI85" s="89"/>
      <c r="BJ85" s="89"/>
      <c r="BK85" s="89"/>
      <c r="BL85" s="89"/>
      <c r="BM85" s="89"/>
      <c r="BN85" s="89"/>
      <c r="BO85" s="89"/>
    </row>
    <row r="86" spans="1:67" ht="15.75" customHeight="1" x14ac:dyDescent="0.3">
      <c r="A86" s="88"/>
      <c r="BG86" s="89"/>
      <c r="BH86" s="89"/>
      <c r="BI86" s="89"/>
      <c r="BJ86" s="89"/>
      <c r="BK86" s="89"/>
      <c r="BL86" s="89"/>
      <c r="BM86" s="89"/>
      <c r="BN86" s="89"/>
      <c r="BO86" s="89"/>
    </row>
    <row r="87" spans="1:67" ht="15.75" customHeight="1" x14ac:dyDescent="0.3">
      <c r="A87" s="88"/>
      <c r="BG87" s="89"/>
      <c r="BH87" s="89"/>
      <c r="BI87" s="89"/>
      <c r="BJ87" s="89"/>
      <c r="BK87" s="89"/>
      <c r="BL87" s="89"/>
      <c r="BM87" s="89"/>
      <c r="BN87" s="89"/>
      <c r="BO87" s="89"/>
    </row>
    <row r="88" spans="1:67" ht="15.75" customHeight="1" x14ac:dyDescent="0.3">
      <c r="A88" s="88"/>
      <c r="BG88" s="89"/>
      <c r="BH88" s="89"/>
      <c r="BI88" s="89"/>
      <c r="BJ88" s="89"/>
      <c r="BK88" s="89"/>
      <c r="BL88" s="89"/>
      <c r="BM88" s="89"/>
      <c r="BN88" s="89"/>
      <c r="BO88" s="89"/>
    </row>
    <row r="89" spans="1:67" ht="15.75" customHeight="1" x14ac:dyDescent="0.3">
      <c r="A89" s="88"/>
      <c r="BG89" s="89"/>
      <c r="BH89" s="89"/>
      <c r="BI89" s="89"/>
      <c r="BJ89" s="89"/>
      <c r="BK89" s="89"/>
      <c r="BL89" s="89"/>
      <c r="BM89" s="89"/>
      <c r="BN89" s="89"/>
      <c r="BO89" s="89"/>
    </row>
    <row r="90" spans="1:67" ht="15.75" customHeight="1" x14ac:dyDescent="0.3">
      <c r="A90" s="88"/>
      <c r="BG90" s="89"/>
      <c r="BH90" s="89"/>
      <c r="BI90" s="89"/>
      <c r="BJ90" s="89"/>
      <c r="BK90" s="89"/>
      <c r="BL90" s="89"/>
      <c r="BM90" s="89"/>
      <c r="BN90" s="89"/>
      <c r="BO90" s="89"/>
    </row>
    <row r="91" spans="1:67" ht="15.75" customHeight="1" x14ac:dyDescent="0.3">
      <c r="A91" s="88"/>
      <c r="BG91" s="89"/>
      <c r="BH91" s="89"/>
      <c r="BI91" s="89"/>
      <c r="BJ91" s="89"/>
      <c r="BK91" s="89"/>
      <c r="BL91" s="89"/>
      <c r="BM91" s="89"/>
      <c r="BN91" s="89"/>
      <c r="BO91" s="89"/>
    </row>
    <row r="92" spans="1:67" ht="15.75" customHeight="1" x14ac:dyDescent="0.3">
      <c r="A92" s="88"/>
      <c r="BG92" s="89"/>
      <c r="BH92" s="89"/>
      <c r="BI92" s="89"/>
      <c r="BJ92" s="89"/>
      <c r="BK92" s="89"/>
      <c r="BL92" s="89"/>
      <c r="BM92" s="89"/>
      <c r="BN92" s="89"/>
      <c r="BO92" s="89"/>
    </row>
    <row r="93" spans="1:67" ht="15.75" customHeight="1" x14ac:dyDescent="0.3">
      <c r="A93" s="88"/>
      <c r="BG93" s="89"/>
      <c r="BH93" s="89"/>
      <c r="BI93" s="89"/>
      <c r="BJ93" s="89"/>
      <c r="BK93" s="89"/>
      <c r="BL93" s="89"/>
      <c r="BM93" s="89"/>
      <c r="BN93" s="89"/>
      <c r="BO93" s="89"/>
    </row>
    <row r="94" spans="1:67" ht="15.75" customHeight="1" x14ac:dyDescent="0.3">
      <c r="A94" s="88"/>
      <c r="BG94" s="89"/>
      <c r="BH94" s="89"/>
      <c r="BI94" s="89"/>
      <c r="BJ94" s="89"/>
      <c r="BK94" s="89"/>
      <c r="BL94" s="89"/>
      <c r="BM94" s="89"/>
      <c r="BN94" s="89"/>
      <c r="BO94" s="89"/>
    </row>
    <row r="95" spans="1:67" ht="15.75" customHeight="1" x14ac:dyDescent="0.3">
      <c r="A95" s="88"/>
      <c r="BG95" s="89"/>
      <c r="BH95" s="89"/>
      <c r="BI95" s="89"/>
      <c r="BJ95" s="89"/>
      <c r="BK95" s="89"/>
      <c r="BL95" s="89"/>
      <c r="BM95" s="89"/>
      <c r="BN95" s="89"/>
      <c r="BO95" s="89"/>
    </row>
    <row r="96" spans="1:67" ht="15.75" customHeight="1" x14ac:dyDescent="0.3">
      <c r="A96" s="88"/>
      <c r="BG96" s="89"/>
      <c r="BH96" s="89"/>
      <c r="BI96" s="89"/>
      <c r="BJ96" s="89"/>
      <c r="BK96" s="89"/>
      <c r="BL96" s="89"/>
      <c r="BM96" s="89"/>
      <c r="BN96" s="89"/>
      <c r="BO96" s="89"/>
    </row>
    <row r="97" spans="1:67" ht="15.75" customHeight="1" x14ac:dyDescent="0.3">
      <c r="A97" s="88"/>
      <c r="BG97" s="89"/>
      <c r="BH97" s="89"/>
      <c r="BI97" s="89"/>
      <c r="BJ97" s="89"/>
      <c r="BK97" s="89"/>
      <c r="BL97" s="89"/>
      <c r="BM97" s="89"/>
      <c r="BN97" s="89"/>
      <c r="BO97" s="89"/>
    </row>
    <row r="98" spans="1:67" ht="15.75" customHeight="1" x14ac:dyDescent="0.3">
      <c r="A98" s="88"/>
      <c r="BG98" s="89"/>
      <c r="BH98" s="89"/>
      <c r="BI98" s="89"/>
      <c r="BJ98" s="89"/>
      <c r="BK98" s="89"/>
      <c r="BL98" s="89"/>
      <c r="BM98" s="89"/>
      <c r="BN98" s="89"/>
      <c r="BO98" s="89"/>
    </row>
    <row r="99" spans="1:67" ht="15.75" customHeight="1" x14ac:dyDescent="0.3">
      <c r="A99" s="88"/>
      <c r="BG99" s="89"/>
      <c r="BH99" s="89"/>
      <c r="BI99" s="89"/>
      <c r="BJ99" s="89"/>
      <c r="BK99" s="89"/>
      <c r="BL99" s="89"/>
      <c r="BM99" s="89"/>
      <c r="BN99" s="89"/>
      <c r="BO99" s="89"/>
    </row>
    <row r="100" spans="1:67" ht="15.75" customHeight="1" x14ac:dyDescent="0.3">
      <c r="A100" s="88"/>
      <c r="BG100" s="89"/>
      <c r="BH100" s="89"/>
      <c r="BI100" s="89"/>
      <c r="BJ100" s="89"/>
      <c r="BK100" s="89"/>
      <c r="BL100" s="89"/>
      <c r="BM100" s="89"/>
      <c r="BN100" s="89"/>
      <c r="BO100" s="89"/>
    </row>
    <row r="101" spans="1:67" ht="15.75" customHeight="1" x14ac:dyDescent="0.3">
      <c r="A101" s="88"/>
      <c r="BG101" s="89"/>
      <c r="BH101" s="89"/>
      <c r="BI101" s="89"/>
      <c r="BJ101" s="89"/>
      <c r="BK101" s="89"/>
      <c r="BL101" s="89"/>
      <c r="BM101" s="89"/>
      <c r="BN101" s="89"/>
      <c r="BO101" s="89"/>
    </row>
    <row r="102" spans="1:67" ht="15.75" customHeight="1" x14ac:dyDescent="0.3">
      <c r="A102" s="88"/>
      <c r="BG102" s="89"/>
      <c r="BH102" s="89"/>
      <c r="BI102" s="89"/>
      <c r="BJ102" s="89"/>
      <c r="BK102" s="89"/>
      <c r="BL102" s="89"/>
      <c r="BM102" s="89"/>
      <c r="BN102" s="89"/>
      <c r="BO102" s="89"/>
    </row>
    <row r="103" spans="1:67" ht="15.75" customHeight="1" x14ac:dyDescent="0.3">
      <c r="A103" s="88"/>
      <c r="BG103" s="89"/>
      <c r="BH103" s="89"/>
      <c r="BI103" s="89"/>
      <c r="BJ103" s="89"/>
      <c r="BK103" s="89"/>
      <c r="BL103" s="89"/>
      <c r="BM103" s="89"/>
      <c r="BN103" s="89"/>
      <c r="BO103" s="89"/>
    </row>
    <row r="104" spans="1:67" ht="15.75" customHeight="1" x14ac:dyDescent="0.3">
      <c r="A104" s="88"/>
      <c r="BG104" s="89"/>
      <c r="BH104" s="89"/>
      <c r="BI104" s="89"/>
      <c r="BJ104" s="89"/>
      <c r="BK104" s="89"/>
      <c r="BL104" s="89"/>
      <c r="BM104" s="89"/>
      <c r="BN104" s="89"/>
      <c r="BO104" s="89"/>
    </row>
    <row r="105" spans="1:67" ht="15.75" customHeight="1" x14ac:dyDescent="0.3">
      <c r="A105" s="88"/>
      <c r="BG105" s="89"/>
      <c r="BH105" s="89"/>
      <c r="BI105" s="89"/>
      <c r="BJ105" s="89"/>
      <c r="BK105" s="89"/>
      <c r="BL105" s="89"/>
      <c r="BM105" s="89"/>
      <c r="BN105" s="89"/>
      <c r="BO105" s="89"/>
    </row>
    <row r="106" spans="1:67" ht="15.75" customHeight="1" x14ac:dyDescent="0.3">
      <c r="A106" s="88"/>
      <c r="BG106" s="89"/>
      <c r="BH106" s="89"/>
      <c r="BI106" s="89"/>
      <c r="BJ106" s="89"/>
      <c r="BK106" s="89"/>
      <c r="BL106" s="89"/>
      <c r="BM106" s="89"/>
      <c r="BN106" s="89"/>
      <c r="BO106" s="89"/>
    </row>
    <row r="107" spans="1:67" ht="15.75" customHeight="1" x14ac:dyDescent="0.3">
      <c r="A107" s="88"/>
      <c r="BG107" s="89"/>
      <c r="BH107" s="89"/>
      <c r="BI107" s="89"/>
      <c r="BJ107" s="89"/>
      <c r="BK107" s="89"/>
      <c r="BL107" s="89"/>
      <c r="BM107" s="89"/>
      <c r="BN107" s="89"/>
      <c r="BO107" s="89"/>
    </row>
    <row r="108" spans="1:67" ht="15.75" customHeight="1" x14ac:dyDescent="0.3">
      <c r="A108" s="88"/>
      <c r="BG108" s="89"/>
      <c r="BH108" s="89"/>
      <c r="BI108" s="89"/>
      <c r="BJ108" s="89"/>
      <c r="BK108" s="89"/>
      <c r="BL108" s="89"/>
      <c r="BM108" s="89"/>
      <c r="BN108" s="89"/>
      <c r="BO108" s="89"/>
    </row>
    <row r="109" spans="1:67" ht="15.75" customHeight="1" x14ac:dyDescent="0.3">
      <c r="A109" s="88"/>
      <c r="BG109" s="89"/>
      <c r="BH109" s="89"/>
      <c r="BI109" s="89"/>
      <c r="BJ109" s="89"/>
      <c r="BK109" s="89"/>
      <c r="BL109" s="89"/>
      <c r="BM109" s="89"/>
      <c r="BN109" s="89"/>
      <c r="BO109" s="89"/>
    </row>
    <row r="110" spans="1:67" ht="15.75" customHeight="1" x14ac:dyDescent="0.3">
      <c r="A110" s="88"/>
      <c r="BG110" s="89"/>
      <c r="BH110" s="89"/>
      <c r="BI110" s="89"/>
      <c r="BJ110" s="89"/>
      <c r="BK110" s="89"/>
      <c r="BL110" s="89"/>
      <c r="BM110" s="89"/>
      <c r="BN110" s="89"/>
      <c r="BO110" s="89"/>
    </row>
    <row r="111" spans="1:67" ht="15.75" customHeight="1" x14ac:dyDescent="0.3">
      <c r="A111" s="88"/>
      <c r="BG111" s="89"/>
      <c r="BH111" s="89"/>
      <c r="BI111" s="89"/>
      <c r="BJ111" s="89"/>
      <c r="BK111" s="89"/>
      <c r="BL111" s="89"/>
      <c r="BM111" s="89"/>
      <c r="BN111" s="89"/>
      <c r="BO111" s="89"/>
    </row>
    <row r="112" spans="1:67" ht="15.75" customHeight="1" x14ac:dyDescent="0.3">
      <c r="A112" s="88"/>
      <c r="BG112" s="89"/>
      <c r="BH112" s="89"/>
      <c r="BI112" s="89"/>
      <c r="BJ112" s="89"/>
      <c r="BK112" s="89"/>
      <c r="BL112" s="89"/>
      <c r="BM112" s="89"/>
      <c r="BN112" s="89"/>
      <c r="BO112" s="89"/>
    </row>
    <row r="113" spans="1:67" ht="15.75" customHeight="1" x14ac:dyDescent="0.3">
      <c r="A113" s="88"/>
      <c r="BG113" s="89"/>
      <c r="BH113" s="89"/>
      <c r="BI113" s="89"/>
      <c r="BJ113" s="89"/>
      <c r="BK113" s="89"/>
      <c r="BL113" s="89"/>
      <c r="BM113" s="89"/>
      <c r="BN113" s="89"/>
      <c r="BO113" s="89"/>
    </row>
    <row r="114" spans="1:67" ht="15.75" customHeight="1" x14ac:dyDescent="0.3">
      <c r="A114" s="88"/>
      <c r="BG114" s="89"/>
      <c r="BH114" s="89"/>
      <c r="BI114" s="89"/>
      <c r="BJ114" s="89"/>
      <c r="BK114" s="89"/>
      <c r="BL114" s="89"/>
      <c r="BM114" s="89"/>
      <c r="BN114" s="89"/>
      <c r="BO114" s="89"/>
    </row>
    <row r="115" spans="1:67" ht="15.75" customHeight="1" x14ac:dyDescent="0.3">
      <c r="A115" s="88"/>
      <c r="BG115" s="89"/>
      <c r="BH115" s="89"/>
      <c r="BI115" s="89"/>
      <c r="BJ115" s="89"/>
      <c r="BK115" s="89"/>
      <c r="BL115" s="89"/>
      <c r="BM115" s="89"/>
      <c r="BN115" s="89"/>
      <c r="BO115" s="89"/>
    </row>
    <row r="116" spans="1:67" ht="15.75" customHeight="1" x14ac:dyDescent="0.3">
      <c r="A116" s="88"/>
      <c r="BG116" s="89"/>
      <c r="BH116" s="89"/>
      <c r="BI116" s="89"/>
      <c r="BJ116" s="89"/>
      <c r="BK116" s="89"/>
      <c r="BL116" s="89"/>
      <c r="BM116" s="89"/>
      <c r="BN116" s="89"/>
      <c r="BO116" s="89"/>
    </row>
    <row r="117" spans="1:67" ht="15.75" customHeight="1" x14ac:dyDescent="0.3">
      <c r="A117" s="88"/>
      <c r="BG117" s="89"/>
      <c r="BH117" s="89"/>
      <c r="BI117" s="89"/>
      <c r="BJ117" s="89"/>
      <c r="BK117" s="89"/>
      <c r="BL117" s="89"/>
      <c r="BM117" s="89"/>
      <c r="BN117" s="89"/>
      <c r="BO117" s="89"/>
    </row>
    <row r="118" spans="1:67" ht="15.75" customHeight="1" x14ac:dyDescent="0.3">
      <c r="A118" s="88"/>
      <c r="BG118" s="89"/>
      <c r="BH118" s="89"/>
      <c r="BI118" s="89"/>
      <c r="BJ118" s="89"/>
      <c r="BK118" s="89"/>
      <c r="BL118" s="89"/>
      <c r="BM118" s="89"/>
      <c r="BN118" s="89"/>
      <c r="BO118" s="89"/>
    </row>
    <row r="119" spans="1:67" ht="15.75" customHeight="1" x14ac:dyDescent="0.3">
      <c r="A119" s="88"/>
      <c r="BG119" s="89"/>
      <c r="BH119" s="89"/>
      <c r="BI119" s="89"/>
      <c r="BJ119" s="89"/>
      <c r="BK119" s="89"/>
      <c r="BL119" s="89"/>
      <c r="BM119" s="89"/>
      <c r="BN119" s="89"/>
      <c r="BO119" s="89"/>
    </row>
    <row r="120" spans="1:67" ht="15.75" customHeight="1" x14ac:dyDescent="0.3">
      <c r="A120" s="88"/>
      <c r="BG120" s="89"/>
      <c r="BH120" s="89"/>
      <c r="BI120" s="89"/>
      <c r="BJ120" s="89"/>
      <c r="BK120" s="89"/>
      <c r="BL120" s="89"/>
      <c r="BM120" s="89"/>
      <c r="BN120" s="89"/>
      <c r="BO120" s="89"/>
    </row>
    <row r="121" spans="1:67" ht="15.75" customHeight="1" x14ac:dyDescent="0.3">
      <c r="A121" s="88"/>
      <c r="BG121" s="89"/>
      <c r="BH121" s="89"/>
      <c r="BI121" s="89"/>
      <c r="BJ121" s="89"/>
      <c r="BK121" s="89"/>
      <c r="BL121" s="89"/>
      <c r="BM121" s="89"/>
      <c r="BN121" s="89"/>
      <c r="BO121" s="89"/>
    </row>
    <row r="122" spans="1:67" ht="15.75" customHeight="1" x14ac:dyDescent="0.3">
      <c r="A122" s="88"/>
      <c r="BG122" s="89"/>
      <c r="BH122" s="89"/>
      <c r="BI122" s="89"/>
      <c r="BJ122" s="89"/>
      <c r="BK122" s="89"/>
      <c r="BL122" s="89"/>
      <c r="BM122" s="89"/>
      <c r="BN122" s="89"/>
      <c r="BO122" s="89"/>
    </row>
    <row r="123" spans="1:67" ht="15.75" customHeight="1" x14ac:dyDescent="0.3">
      <c r="A123" s="88"/>
      <c r="BG123" s="89"/>
      <c r="BH123" s="89"/>
      <c r="BI123" s="89"/>
      <c r="BJ123" s="89"/>
      <c r="BK123" s="89"/>
      <c r="BL123" s="89"/>
      <c r="BM123" s="89"/>
      <c r="BN123" s="89"/>
      <c r="BO123" s="89"/>
    </row>
    <row r="124" spans="1:67" ht="15.75" customHeight="1" x14ac:dyDescent="0.3">
      <c r="A124" s="88"/>
      <c r="BG124" s="89"/>
      <c r="BH124" s="89"/>
      <c r="BI124" s="89"/>
      <c r="BJ124" s="89"/>
      <c r="BK124" s="89"/>
      <c r="BL124" s="89"/>
      <c r="BM124" s="89"/>
      <c r="BN124" s="89"/>
      <c r="BO124" s="89"/>
    </row>
    <row r="125" spans="1:67" ht="15.75" customHeight="1" x14ac:dyDescent="0.3">
      <c r="A125" s="88"/>
      <c r="BG125" s="89"/>
      <c r="BH125" s="89"/>
      <c r="BI125" s="89"/>
      <c r="BJ125" s="89"/>
      <c r="BK125" s="89"/>
      <c r="BL125" s="89"/>
      <c r="BM125" s="89"/>
      <c r="BN125" s="89"/>
      <c r="BO125" s="89"/>
    </row>
    <row r="126" spans="1:67" ht="15.75" customHeight="1" x14ac:dyDescent="0.3">
      <c r="A126" s="88"/>
      <c r="BG126" s="89"/>
      <c r="BH126" s="89"/>
      <c r="BI126" s="89"/>
      <c r="BJ126" s="89"/>
      <c r="BK126" s="89"/>
      <c r="BL126" s="89"/>
      <c r="BM126" s="89"/>
      <c r="BN126" s="89"/>
      <c r="BO126" s="89"/>
    </row>
    <row r="127" spans="1:67" ht="15.75" customHeight="1" x14ac:dyDescent="0.3">
      <c r="A127" s="88"/>
      <c r="BG127" s="89"/>
      <c r="BH127" s="89"/>
      <c r="BI127" s="89"/>
      <c r="BJ127" s="89"/>
      <c r="BK127" s="89"/>
      <c r="BL127" s="89"/>
      <c r="BM127" s="89"/>
      <c r="BN127" s="89"/>
      <c r="BO127" s="89"/>
    </row>
    <row r="128" spans="1:67" ht="15.75" customHeight="1" x14ac:dyDescent="0.3">
      <c r="A128" s="88"/>
      <c r="BG128" s="89"/>
      <c r="BH128" s="89"/>
      <c r="BI128" s="89"/>
      <c r="BJ128" s="89"/>
      <c r="BK128" s="89"/>
      <c r="BL128" s="89"/>
      <c r="BM128" s="89"/>
      <c r="BN128" s="89"/>
      <c r="BO128" s="89"/>
    </row>
    <row r="129" spans="1:67" ht="15.75" customHeight="1" x14ac:dyDescent="0.3">
      <c r="A129" s="88"/>
      <c r="BG129" s="89"/>
      <c r="BH129" s="89"/>
      <c r="BI129" s="89"/>
      <c r="BJ129" s="89"/>
      <c r="BK129" s="89"/>
      <c r="BL129" s="89"/>
      <c r="BM129" s="89"/>
      <c r="BN129" s="89"/>
      <c r="BO129" s="89"/>
    </row>
    <row r="130" spans="1:67" ht="15.75" customHeight="1" x14ac:dyDescent="0.3">
      <c r="A130" s="88"/>
      <c r="BG130" s="89"/>
      <c r="BH130" s="89"/>
      <c r="BI130" s="89"/>
      <c r="BJ130" s="89"/>
      <c r="BK130" s="89"/>
      <c r="BL130" s="89"/>
      <c r="BM130" s="89"/>
      <c r="BN130" s="89"/>
      <c r="BO130" s="89"/>
    </row>
    <row r="131" spans="1:67" ht="15.75" customHeight="1" x14ac:dyDescent="0.3">
      <c r="A131" s="88"/>
      <c r="BG131" s="89"/>
      <c r="BH131" s="89"/>
      <c r="BI131" s="89"/>
      <c r="BJ131" s="89"/>
      <c r="BK131" s="89"/>
      <c r="BL131" s="89"/>
      <c r="BM131" s="89"/>
      <c r="BN131" s="89"/>
      <c r="BO131" s="89"/>
    </row>
    <row r="132" spans="1:67" ht="15.75" customHeight="1" x14ac:dyDescent="0.3">
      <c r="A132" s="88"/>
      <c r="BG132" s="89"/>
      <c r="BH132" s="89"/>
      <c r="BI132" s="89"/>
      <c r="BJ132" s="89"/>
      <c r="BK132" s="89"/>
      <c r="BL132" s="89"/>
      <c r="BM132" s="89"/>
      <c r="BN132" s="89"/>
      <c r="BO132" s="89"/>
    </row>
    <row r="133" spans="1:67" ht="15.75" customHeight="1" x14ac:dyDescent="0.3">
      <c r="A133" s="88"/>
      <c r="BG133" s="89"/>
      <c r="BH133" s="89"/>
      <c r="BI133" s="89"/>
      <c r="BJ133" s="89"/>
      <c r="BK133" s="89"/>
      <c r="BL133" s="89"/>
      <c r="BM133" s="89"/>
      <c r="BN133" s="89"/>
      <c r="BO133" s="89"/>
    </row>
    <row r="134" spans="1:67" ht="15.75" customHeight="1" x14ac:dyDescent="0.3">
      <c r="A134" s="88"/>
      <c r="BG134" s="89"/>
      <c r="BH134" s="89"/>
      <c r="BI134" s="89"/>
      <c r="BJ134" s="89"/>
      <c r="BK134" s="89"/>
      <c r="BL134" s="89"/>
      <c r="BM134" s="89"/>
      <c r="BN134" s="89"/>
      <c r="BO134" s="89"/>
    </row>
    <row r="135" spans="1:67" ht="15.75" customHeight="1" x14ac:dyDescent="0.3">
      <c r="A135" s="88"/>
      <c r="BG135" s="89"/>
      <c r="BH135" s="89"/>
      <c r="BI135" s="89"/>
      <c r="BJ135" s="89"/>
      <c r="BK135" s="89"/>
      <c r="BL135" s="89"/>
      <c r="BM135" s="89"/>
      <c r="BN135" s="89"/>
      <c r="BO135" s="89"/>
    </row>
    <row r="136" spans="1:67" ht="15.75" customHeight="1" x14ac:dyDescent="0.3">
      <c r="A136" s="88"/>
      <c r="BG136" s="89"/>
      <c r="BH136" s="89"/>
      <c r="BI136" s="89"/>
      <c r="BJ136" s="89"/>
      <c r="BK136" s="89"/>
      <c r="BL136" s="89"/>
      <c r="BM136" s="89"/>
      <c r="BN136" s="89"/>
      <c r="BO136" s="89"/>
    </row>
    <row r="137" spans="1:67" ht="15.75" customHeight="1" x14ac:dyDescent="0.3">
      <c r="A137" s="88"/>
      <c r="BG137" s="89"/>
      <c r="BH137" s="89"/>
      <c r="BI137" s="89"/>
      <c r="BJ137" s="89"/>
      <c r="BK137" s="89"/>
      <c r="BL137" s="89"/>
      <c r="BM137" s="89"/>
      <c r="BN137" s="89"/>
      <c r="BO137" s="89"/>
    </row>
    <row r="138" spans="1:67" ht="15.75" customHeight="1" x14ac:dyDescent="0.3">
      <c r="A138" s="88"/>
      <c r="BG138" s="89"/>
      <c r="BH138" s="89"/>
      <c r="BI138" s="89"/>
      <c r="BJ138" s="89"/>
      <c r="BK138" s="89"/>
      <c r="BL138" s="89"/>
      <c r="BM138" s="89"/>
      <c r="BN138" s="89"/>
      <c r="BO138" s="89"/>
    </row>
    <row r="139" spans="1:67" ht="15.75" customHeight="1" x14ac:dyDescent="0.3">
      <c r="A139" s="88"/>
      <c r="BG139" s="89"/>
      <c r="BH139" s="89"/>
      <c r="BI139" s="89"/>
      <c r="BJ139" s="89"/>
      <c r="BK139" s="89"/>
      <c r="BL139" s="89"/>
      <c r="BM139" s="89"/>
      <c r="BN139" s="89"/>
      <c r="BO139" s="89"/>
    </row>
    <row r="140" spans="1:67" ht="15.75" customHeight="1" x14ac:dyDescent="0.3">
      <c r="A140" s="88"/>
      <c r="BG140" s="89"/>
      <c r="BH140" s="89"/>
      <c r="BI140" s="89"/>
      <c r="BJ140" s="89"/>
      <c r="BK140" s="89"/>
      <c r="BL140" s="89"/>
      <c r="BM140" s="89"/>
      <c r="BN140" s="89"/>
      <c r="BO140" s="89"/>
    </row>
    <row r="141" spans="1:67" ht="15.75" customHeight="1" x14ac:dyDescent="0.3">
      <c r="A141" s="88"/>
      <c r="BG141" s="89"/>
      <c r="BH141" s="89"/>
      <c r="BI141" s="89"/>
      <c r="BJ141" s="89"/>
      <c r="BK141" s="89"/>
      <c r="BL141" s="89"/>
      <c r="BM141" s="89"/>
      <c r="BN141" s="89"/>
      <c r="BO141" s="89"/>
    </row>
    <row r="142" spans="1:67" ht="15.75" customHeight="1" x14ac:dyDescent="0.3">
      <c r="A142" s="88"/>
      <c r="BG142" s="89"/>
      <c r="BH142" s="89"/>
      <c r="BI142" s="89"/>
      <c r="BJ142" s="89"/>
      <c r="BK142" s="89"/>
      <c r="BL142" s="89"/>
      <c r="BM142" s="89"/>
      <c r="BN142" s="89"/>
      <c r="BO142" s="89"/>
    </row>
    <row r="143" spans="1:67" ht="15.75" customHeight="1" x14ac:dyDescent="0.3">
      <c r="A143" s="88"/>
      <c r="BG143" s="89"/>
      <c r="BH143" s="89"/>
      <c r="BI143" s="89"/>
      <c r="BJ143" s="89"/>
      <c r="BK143" s="89"/>
      <c r="BL143" s="89"/>
      <c r="BM143" s="89"/>
      <c r="BN143" s="89"/>
      <c r="BO143" s="89"/>
    </row>
    <row r="144" spans="1:67" ht="15.75" customHeight="1" x14ac:dyDescent="0.3">
      <c r="A144" s="88"/>
      <c r="BG144" s="89"/>
      <c r="BH144" s="89"/>
      <c r="BI144" s="89"/>
      <c r="BJ144" s="89"/>
      <c r="BK144" s="89"/>
      <c r="BL144" s="89"/>
      <c r="BM144" s="89"/>
      <c r="BN144" s="89"/>
      <c r="BO144" s="89"/>
    </row>
    <row r="145" spans="1:67" ht="15.75" customHeight="1" x14ac:dyDescent="0.3">
      <c r="A145" s="88"/>
      <c r="BG145" s="89"/>
      <c r="BH145" s="89"/>
      <c r="BI145" s="89"/>
      <c r="BJ145" s="89"/>
      <c r="BK145" s="89"/>
      <c r="BL145" s="89"/>
      <c r="BM145" s="89"/>
      <c r="BN145" s="89"/>
      <c r="BO145" s="89"/>
    </row>
    <row r="146" spans="1:67" ht="15.75" customHeight="1" x14ac:dyDescent="0.3">
      <c r="A146" s="88"/>
      <c r="BG146" s="89"/>
      <c r="BH146" s="89"/>
      <c r="BI146" s="89"/>
      <c r="BJ146" s="89"/>
      <c r="BK146" s="89"/>
      <c r="BL146" s="89"/>
      <c r="BM146" s="89"/>
      <c r="BN146" s="89"/>
      <c r="BO146" s="89"/>
    </row>
    <row r="147" spans="1:67" ht="15.75" customHeight="1" x14ac:dyDescent="0.3">
      <c r="A147" s="88"/>
      <c r="BG147" s="89"/>
      <c r="BH147" s="89"/>
      <c r="BI147" s="89"/>
      <c r="BJ147" s="89"/>
      <c r="BK147" s="89"/>
      <c r="BL147" s="89"/>
      <c r="BM147" s="89"/>
      <c r="BN147" s="89"/>
      <c r="BO147" s="89"/>
    </row>
    <row r="148" spans="1:67" ht="15.75" customHeight="1" x14ac:dyDescent="0.3">
      <c r="A148" s="88"/>
      <c r="BG148" s="89"/>
      <c r="BH148" s="89"/>
      <c r="BI148" s="89"/>
      <c r="BJ148" s="89"/>
      <c r="BK148" s="89"/>
      <c r="BL148" s="89"/>
      <c r="BM148" s="89"/>
      <c r="BN148" s="89"/>
      <c r="BO148" s="89"/>
    </row>
    <row r="149" spans="1:67" ht="15.75" customHeight="1" x14ac:dyDescent="0.3">
      <c r="A149" s="88"/>
      <c r="BG149" s="89"/>
      <c r="BH149" s="89"/>
      <c r="BI149" s="89"/>
      <c r="BJ149" s="89"/>
      <c r="BK149" s="89"/>
      <c r="BL149" s="89"/>
      <c r="BM149" s="89"/>
      <c r="BN149" s="89"/>
      <c r="BO149" s="89"/>
    </row>
    <row r="150" spans="1:67" ht="15.75" customHeight="1" x14ac:dyDescent="0.3">
      <c r="A150" s="88"/>
      <c r="BG150" s="89"/>
      <c r="BH150" s="89"/>
      <c r="BI150" s="89"/>
      <c r="BJ150" s="89"/>
      <c r="BK150" s="89"/>
      <c r="BL150" s="89"/>
      <c r="BM150" s="89"/>
      <c r="BN150" s="89"/>
      <c r="BO150" s="89"/>
    </row>
    <row r="151" spans="1:67" ht="15.75" customHeight="1" x14ac:dyDescent="0.3">
      <c r="A151" s="88"/>
      <c r="BG151" s="89"/>
      <c r="BH151" s="89"/>
      <c r="BI151" s="89"/>
      <c r="BJ151" s="89"/>
      <c r="BK151" s="89"/>
      <c r="BL151" s="89"/>
      <c r="BM151" s="89"/>
      <c r="BN151" s="89"/>
      <c r="BO151" s="89"/>
    </row>
    <row r="152" spans="1:67" ht="15.75" customHeight="1" x14ac:dyDescent="0.3">
      <c r="A152" s="88"/>
      <c r="BG152" s="89"/>
      <c r="BH152" s="89"/>
      <c r="BI152" s="89"/>
      <c r="BJ152" s="89"/>
      <c r="BK152" s="89"/>
      <c r="BL152" s="89"/>
      <c r="BM152" s="89"/>
      <c r="BN152" s="89"/>
      <c r="BO152" s="89"/>
    </row>
    <row r="153" spans="1:67" ht="15.75" customHeight="1" x14ac:dyDescent="0.3">
      <c r="A153" s="88"/>
      <c r="BG153" s="89"/>
      <c r="BH153" s="89"/>
      <c r="BI153" s="89"/>
      <c r="BJ153" s="89"/>
      <c r="BK153" s="89"/>
      <c r="BL153" s="89"/>
      <c r="BM153" s="89"/>
      <c r="BN153" s="89"/>
      <c r="BO153" s="89"/>
    </row>
    <row r="154" spans="1:67" ht="15.75" customHeight="1" x14ac:dyDescent="0.3">
      <c r="A154" s="88"/>
      <c r="BG154" s="89"/>
      <c r="BH154" s="89"/>
      <c r="BI154" s="89"/>
      <c r="BJ154" s="89"/>
      <c r="BK154" s="89"/>
      <c r="BL154" s="89"/>
      <c r="BM154" s="89"/>
      <c r="BN154" s="89"/>
      <c r="BO154" s="89"/>
    </row>
    <row r="155" spans="1:67" ht="15.75" customHeight="1" x14ac:dyDescent="0.3">
      <c r="A155" s="88"/>
      <c r="BG155" s="89"/>
      <c r="BH155" s="89"/>
      <c r="BI155" s="89"/>
      <c r="BJ155" s="89"/>
      <c r="BK155" s="89"/>
      <c r="BL155" s="89"/>
      <c r="BM155" s="89"/>
      <c r="BN155" s="89"/>
      <c r="BO155" s="89"/>
    </row>
    <row r="156" spans="1:67" ht="15.75" customHeight="1" x14ac:dyDescent="0.3">
      <c r="A156" s="88"/>
      <c r="BG156" s="89"/>
      <c r="BH156" s="89"/>
      <c r="BI156" s="89"/>
      <c r="BJ156" s="89"/>
      <c r="BK156" s="89"/>
      <c r="BL156" s="89"/>
      <c r="BM156" s="89"/>
      <c r="BN156" s="89"/>
      <c r="BO156" s="89"/>
    </row>
    <row r="157" spans="1:67" ht="15.75" customHeight="1" x14ac:dyDescent="0.3">
      <c r="A157" s="88"/>
      <c r="BG157" s="89"/>
      <c r="BH157" s="89"/>
      <c r="BI157" s="89"/>
      <c r="BJ157" s="89"/>
      <c r="BK157" s="89"/>
      <c r="BL157" s="89"/>
      <c r="BM157" s="89"/>
      <c r="BN157" s="89"/>
      <c r="BO157" s="89"/>
    </row>
    <row r="158" spans="1:67" ht="15.75" customHeight="1" x14ac:dyDescent="0.3">
      <c r="A158" s="88"/>
      <c r="BG158" s="89"/>
      <c r="BH158" s="89"/>
      <c r="BI158" s="89"/>
      <c r="BJ158" s="89"/>
      <c r="BK158" s="89"/>
      <c r="BL158" s="89"/>
      <c r="BM158" s="89"/>
      <c r="BN158" s="89"/>
      <c r="BO158" s="89"/>
    </row>
    <row r="159" spans="1:67" ht="15.75" customHeight="1" x14ac:dyDescent="0.3">
      <c r="A159" s="88"/>
      <c r="BG159" s="89"/>
      <c r="BH159" s="89"/>
      <c r="BI159" s="89"/>
      <c r="BJ159" s="89"/>
      <c r="BK159" s="89"/>
      <c r="BL159" s="89"/>
      <c r="BM159" s="89"/>
      <c r="BN159" s="89"/>
      <c r="BO159" s="89"/>
    </row>
    <row r="160" spans="1:67" ht="15.75" customHeight="1" x14ac:dyDescent="0.3">
      <c r="A160" s="88"/>
      <c r="BG160" s="89"/>
      <c r="BH160" s="89"/>
      <c r="BI160" s="89"/>
      <c r="BJ160" s="89"/>
      <c r="BK160" s="89"/>
      <c r="BL160" s="89"/>
      <c r="BM160" s="89"/>
      <c r="BN160" s="89"/>
      <c r="BO160" s="89"/>
    </row>
    <row r="161" spans="1:67" ht="15.75" customHeight="1" x14ac:dyDescent="0.3">
      <c r="A161" s="88"/>
      <c r="BG161" s="89"/>
      <c r="BH161" s="89"/>
      <c r="BI161" s="89"/>
      <c r="BJ161" s="89"/>
      <c r="BK161" s="89"/>
      <c r="BL161" s="89"/>
      <c r="BM161" s="89"/>
      <c r="BN161" s="89"/>
      <c r="BO161" s="89"/>
    </row>
    <row r="162" spans="1:67" ht="15.75" customHeight="1" x14ac:dyDescent="0.3">
      <c r="A162" s="88"/>
      <c r="BG162" s="89"/>
      <c r="BH162" s="89"/>
      <c r="BI162" s="89"/>
      <c r="BJ162" s="89"/>
      <c r="BK162" s="89"/>
      <c r="BL162" s="89"/>
      <c r="BM162" s="89"/>
      <c r="BN162" s="89"/>
      <c r="BO162" s="89"/>
    </row>
    <row r="163" spans="1:67" ht="15.75" customHeight="1" x14ac:dyDescent="0.3">
      <c r="A163" s="88"/>
      <c r="BG163" s="89"/>
      <c r="BH163" s="89"/>
      <c r="BI163" s="89"/>
      <c r="BJ163" s="89"/>
      <c r="BK163" s="89"/>
      <c r="BL163" s="89"/>
      <c r="BM163" s="89"/>
      <c r="BN163" s="89"/>
      <c r="BO163" s="89"/>
    </row>
    <row r="164" spans="1:67" ht="15.75" customHeight="1" x14ac:dyDescent="0.3">
      <c r="A164" s="88"/>
      <c r="BG164" s="89"/>
      <c r="BH164" s="89"/>
      <c r="BI164" s="89"/>
      <c r="BJ164" s="89"/>
      <c r="BK164" s="89"/>
      <c r="BL164" s="89"/>
      <c r="BM164" s="89"/>
      <c r="BN164" s="89"/>
      <c r="BO164" s="89"/>
    </row>
    <row r="165" spans="1:67" ht="15.75" customHeight="1" x14ac:dyDescent="0.3">
      <c r="A165" s="88"/>
      <c r="BG165" s="89"/>
      <c r="BH165" s="89"/>
      <c r="BI165" s="89"/>
      <c r="BJ165" s="89"/>
      <c r="BK165" s="89"/>
      <c r="BL165" s="89"/>
      <c r="BM165" s="89"/>
      <c r="BN165" s="89"/>
      <c r="BO165" s="89"/>
    </row>
    <row r="166" spans="1:67" ht="15.75" customHeight="1" x14ac:dyDescent="0.3">
      <c r="A166" s="88"/>
      <c r="BG166" s="89"/>
      <c r="BH166" s="89"/>
      <c r="BI166" s="89"/>
      <c r="BJ166" s="89"/>
      <c r="BK166" s="89"/>
      <c r="BL166" s="89"/>
      <c r="BM166" s="89"/>
      <c r="BN166" s="89"/>
      <c r="BO166" s="89"/>
    </row>
    <row r="167" spans="1:67" ht="15.75" customHeight="1" x14ac:dyDescent="0.3">
      <c r="A167" s="88"/>
      <c r="BG167" s="89"/>
      <c r="BH167" s="89"/>
      <c r="BI167" s="89"/>
      <c r="BJ167" s="89"/>
      <c r="BK167" s="89"/>
      <c r="BL167" s="89"/>
      <c r="BM167" s="89"/>
      <c r="BN167" s="89"/>
      <c r="BO167" s="89"/>
    </row>
    <row r="168" spans="1:67" ht="15.75" customHeight="1" x14ac:dyDescent="0.3">
      <c r="A168" s="88"/>
      <c r="BG168" s="89"/>
      <c r="BH168" s="89"/>
      <c r="BI168" s="89"/>
      <c r="BJ168" s="89"/>
      <c r="BK168" s="89"/>
      <c r="BL168" s="89"/>
      <c r="BM168" s="89"/>
      <c r="BN168" s="89"/>
      <c r="BO168" s="89"/>
    </row>
    <row r="169" spans="1:67" ht="15.75" customHeight="1" x14ac:dyDescent="0.3">
      <c r="A169" s="88"/>
      <c r="BG169" s="89"/>
      <c r="BH169" s="89"/>
      <c r="BI169" s="89"/>
      <c r="BJ169" s="89"/>
      <c r="BK169" s="89"/>
      <c r="BL169" s="89"/>
      <c r="BM169" s="89"/>
      <c r="BN169" s="89"/>
      <c r="BO169" s="89"/>
    </row>
    <row r="170" spans="1:67" ht="15.75" customHeight="1" x14ac:dyDescent="0.3">
      <c r="A170" s="88"/>
      <c r="BG170" s="89"/>
      <c r="BH170" s="89"/>
      <c r="BI170" s="89"/>
      <c r="BJ170" s="89"/>
      <c r="BK170" s="89"/>
      <c r="BL170" s="89"/>
      <c r="BM170" s="89"/>
      <c r="BN170" s="89"/>
      <c r="BO170" s="89"/>
    </row>
    <row r="171" spans="1:67" ht="15.75" customHeight="1" x14ac:dyDescent="0.3">
      <c r="A171" s="88"/>
      <c r="BG171" s="89"/>
      <c r="BH171" s="89"/>
      <c r="BI171" s="89"/>
      <c r="BJ171" s="89"/>
      <c r="BK171" s="89"/>
      <c r="BL171" s="89"/>
      <c r="BM171" s="89"/>
      <c r="BN171" s="89"/>
      <c r="BO171" s="89"/>
    </row>
    <row r="172" spans="1:67" ht="15.75" customHeight="1" x14ac:dyDescent="0.3">
      <c r="A172" s="88"/>
      <c r="BG172" s="89"/>
      <c r="BH172" s="89"/>
      <c r="BI172" s="89"/>
      <c r="BJ172" s="89"/>
      <c r="BK172" s="89"/>
      <c r="BL172" s="89"/>
      <c r="BM172" s="89"/>
      <c r="BN172" s="89"/>
      <c r="BO172" s="89"/>
    </row>
    <row r="173" spans="1:67" ht="15.75" customHeight="1" x14ac:dyDescent="0.3">
      <c r="A173" s="88"/>
      <c r="BG173" s="89"/>
      <c r="BH173" s="89"/>
      <c r="BI173" s="89"/>
      <c r="BJ173" s="89"/>
      <c r="BK173" s="89"/>
      <c r="BL173" s="89"/>
      <c r="BM173" s="89"/>
      <c r="BN173" s="89"/>
      <c r="BO173" s="89"/>
    </row>
    <row r="174" spans="1:67" ht="15.75" customHeight="1" x14ac:dyDescent="0.3">
      <c r="A174" s="88"/>
      <c r="BG174" s="89"/>
      <c r="BH174" s="89"/>
      <c r="BI174" s="89"/>
      <c r="BJ174" s="89"/>
      <c r="BK174" s="89"/>
      <c r="BL174" s="89"/>
      <c r="BM174" s="89"/>
      <c r="BN174" s="89"/>
      <c r="BO174" s="89"/>
    </row>
    <row r="175" spans="1:67" ht="15.75" customHeight="1" x14ac:dyDescent="0.3">
      <c r="A175" s="88"/>
      <c r="BG175" s="89"/>
      <c r="BH175" s="89"/>
      <c r="BI175" s="89"/>
      <c r="BJ175" s="89"/>
      <c r="BK175" s="89"/>
      <c r="BL175" s="89"/>
      <c r="BM175" s="89"/>
      <c r="BN175" s="89"/>
      <c r="BO175" s="89"/>
    </row>
    <row r="176" spans="1:67" ht="15.75" customHeight="1" x14ac:dyDescent="0.3">
      <c r="A176" s="88"/>
      <c r="BG176" s="89"/>
      <c r="BH176" s="89"/>
      <c r="BI176" s="89"/>
      <c r="BJ176" s="89"/>
      <c r="BK176" s="89"/>
      <c r="BL176" s="89"/>
      <c r="BM176" s="89"/>
      <c r="BN176" s="89"/>
      <c r="BO176" s="89"/>
    </row>
    <row r="177" spans="1:67" ht="15.75" customHeight="1" x14ac:dyDescent="0.3">
      <c r="A177" s="88"/>
      <c r="BG177" s="89"/>
      <c r="BH177" s="89"/>
      <c r="BI177" s="89"/>
      <c r="BJ177" s="89"/>
      <c r="BK177" s="89"/>
      <c r="BL177" s="89"/>
      <c r="BM177" s="89"/>
      <c r="BN177" s="89"/>
      <c r="BO177" s="89"/>
    </row>
    <row r="178" spans="1:67" ht="15.75" customHeight="1" x14ac:dyDescent="0.3">
      <c r="A178" s="88"/>
      <c r="BG178" s="89"/>
      <c r="BH178" s="89"/>
      <c r="BI178" s="89"/>
      <c r="BJ178" s="89"/>
      <c r="BK178" s="89"/>
      <c r="BL178" s="89"/>
      <c r="BM178" s="89"/>
      <c r="BN178" s="89"/>
      <c r="BO178" s="89"/>
    </row>
    <row r="179" spans="1:67" ht="15.75" customHeight="1" x14ac:dyDescent="0.3">
      <c r="A179" s="88"/>
      <c r="BG179" s="89"/>
      <c r="BH179" s="89"/>
      <c r="BI179" s="89"/>
      <c r="BJ179" s="89"/>
      <c r="BK179" s="89"/>
      <c r="BL179" s="89"/>
      <c r="BM179" s="89"/>
      <c r="BN179" s="89"/>
      <c r="BO179" s="89"/>
    </row>
    <row r="180" spans="1:67" ht="15.75" customHeight="1" x14ac:dyDescent="0.3">
      <c r="A180" s="88"/>
      <c r="BG180" s="89"/>
      <c r="BH180" s="89"/>
      <c r="BI180" s="89"/>
      <c r="BJ180" s="89"/>
      <c r="BK180" s="89"/>
      <c r="BL180" s="89"/>
      <c r="BM180" s="89"/>
      <c r="BN180" s="89"/>
      <c r="BO180" s="89"/>
    </row>
    <row r="181" spans="1:67" ht="15.75" customHeight="1" x14ac:dyDescent="0.3">
      <c r="A181" s="88"/>
      <c r="BG181" s="89"/>
      <c r="BH181" s="89"/>
      <c r="BI181" s="89"/>
      <c r="BJ181" s="89"/>
      <c r="BK181" s="89"/>
      <c r="BL181" s="89"/>
      <c r="BM181" s="89"/>
      <c r="BN181" s="89"/>
      <c r="BO181" s="89"/>
    </row>
    <row r="182" spans="1:67" ht="15.75" customHeight="1" x14ac:dyDescent="0.3">
      <c r="A182" s="88"/>
      <c r="BG182" s="89"/>
      <c r="BH182" s="89"/>
      <c r="BI182" s="89"/>
      <c r="BJ182" s="89"/>
      <c r="BK182" s="89"/>
      <c r="BL182" s="89"/>
      <c r="BM182" s="89"/>
      <c r="BN182" s="89"/>
      <c r="BO182" s="89"/>
    </row>
    <row r="183" spans="1:67" ht="15.75" customHeight="1" x14ac:dyDescent="0.3">
      <c r="A183" s="88"/>
      <c r="BG183" s="89"/>
      <c r="BH183" s="89"/>
      <c r="BI183" s="89"/>
      <c r="BJ183" s="89"/>
      <c r="BK183" s="89"/>
      <c r="BL183" s="89"/>
      <c r="BM183" s="89"/>
      <c r="BN183" s="89"/>
      <c r="BO183" s="89"/>
    </row>
    <row r="184" spans="1:67" ht="15.75" customHeight="1" x14ac:dyDescent="0.3">
      <c r="A184" s="88"/>
      <c r="BG184" s="89"/>
      <c r="BH184" s="89"/>
      <c r="BI184" s="89"/>
      <c r="BJ184" s="89"/>
      <c r="BK184" s="89"/>
      <c r="BL184" s="89"/>
      <c r="BM184" s="89"/>
      <c r="BN184" s="89"/>
      <c r="BO184" s="89"/>
    </row>
    <row r="185" spans="1:67" ht="15.75" customHeight="1" x14ac:dyDescent="0.3">
      <c r="A185" s="88"/>
      <c r="BG185" s="89"/>
      <c r="BH185" s="89"/>
      <c r="BI185" s="89"/>
      <c r="BJ185" s="89"/>
      <c r="BK185" s="89"/>
      <c r="BL185" s="89"/>
      <c r="BM185" s="89"/>
      <c r="BN185" s="89"/>
      <c r="BO185" s="89"/>
    </row>
    <row r="186" spans="1:67" ht="15.75" customHeight="1" x14ac:dyDescent="0.3">
      <c r="A186" s="88"/>
      <c r="BG186" s="89"/>
      <c r="BH186" s="89"/>
      <c r="BI186" s="89"/>
      <c r="BJ186" s="89"/>
      <c r="BK186" s="89"/>
      <c r="BL186" s="89"/>
      <c r="BM186" s="89"/>
      <c r="BN186" s="89"/>
      <c r="BO186" s="89"/>
    </row>
    <row r="187" spans="1:67" ht="15.75" customHeight="1" x14ac:dyDescent="0.3">
      <c r="A187" s="88"/>
      <c r="BG187" s="89"/>
      <c r="BH187" s="89"/>
      <c r="BI187" s="89"/>
      <c r="BJ187" s="89"/>
      <c r="BK187" s="89"/>
      <c r="BL187" s="89"/>
      <c r="BM187" s="89"/>
      <c r="BN187" s="89"/>
      <c r="BO187" s="89"/>
    </row>
    <row r="188" spans="1:67" ht="15.75" customHeight="1" x14ac:dyDescent="0.3">
      <c r="A188" s="88"/>
      <c r="BG188" s="89"/>
      <c r="BH188" s="89"/>
      <c r="BI188" s="89"/>
      <c r="BJ188" s="89"/>
      <c r="BK188" s="89"/>
      <c r="BL188" s="89"/>
      <c r="BM188" s="89"/>
      <c r="BN188" s="89"/>
      <c r="BO188" s="89"/>
    </row>
    <row r="189" spans="1:67" ht="15.75" customHeight="1" x14ac:dyDescent="0.3">
      <c r="A189" s="88"/>
      <c r="BG189" s="89"/>
      <c r="BH189" s="89"/>
      <c r="BI189" s="89"/>
      <c r="BJ189" s="89"/>
      <c r="BK189" s="89"/>
      <c r="BL189" s="89"/>
      <c r="BM189" s="89"/>
      <c r="BN189" s="89"/>
      <c r="BO189" s="89"/>
    </row>
    <row r="190" spans="1:67" ht="15.75" customHeight="1" x14ac:dyDescent="0.3">
      <c r="A190" s="88"/>
      <c r="BG190" s="89"/>
      <c r="BH190" s="89"/>
      <c r="BI190" s="89"/>
      <c r="BJ190" s="89"/>
      <c r="BK190" s="89"/>
      <c r="BL190" s="89"/>
      <c r="BM190" s="89"/>
      <c r="BN190" s="89"/>
      <c r="BO190" s="89"/>
    </row>
    <row r="191" spans="1:67" ht="15.75" customHeight="1" x14ac:dyDescent="0.3">
      <c r="A191" s="88"/>
      <c r="BG191" s="89"/>
      <c r="BH191" s="89"/>
      <c r="BI191" s="89"/>
      <c r="BJ191" s="89"/>
      <c r="BK191" s="89"/>
      <c r="BL191" s="89"/>
      <c r="BM191" s="89"/>
      <c r="BN191" s="89"/>
      <c r="BO191" s="89"/>
    </row>
    <row r="192" spans="1:67" ht="15.75" customHeight="1" x14ac:dyDescent="0.3">
      <c r="A192" s="88"/>
      <c r="BG192" s="89"/>
      <c r="BH192" s="89"/>
      <c r="BI192" s="89"/>
      <c r="BJ192" s="89"/>
      <c r="BK192" s="89"/>
      <c r="BL192" s="89"/>
      <c r="BM192" s="89"/>
      <c r="BN192" s="89"/>
      <c r="BO192" s="89"/>
    </row>
    <row r="193" spans="1:67" ht="15.75" customHeight="1" x14ac:dyDescent="0.3">
      <c r="A193" s="88"/>
      <c r="BG193" s="89"/>
      <c r="BH193" s="89"/>
      <c r="BI193" s="89"/>
      <c r="BJ193" s="89"/>
      <c r="BK193" s="89"/>
      <c r="BL193" s="89"/>
      <c r="BM193" s="89"/>
      <c r="BN193" s="89"/>
      <c r="BO193" s="89"/>
    </row>
    <row r="194" spans="1:67" ht="15.75" customHeight="1" x14ac:dyDescent="0.3">
      <c r="A194" s="88"/>
      <c r="BG194" s="89"/>
      <c r="BH194" s="89"/>
      <c r="BI194" s="89"/>
      <c r="BJ194" s="89"/>
      <c r="BK194" s="89"/>
      <c r="BL194" s="89"/>
      <c r="BM194" s="89"/>
      <c r="BN194" s="89"/>
      <c r="BO194" s="89"/>
    </row>
    <row r="195" spans="1:67" ht="15.75" customHeight="1" x14ac:dyDescent="0.3">
      <c r="A195" s="88"/>
      <c r="BG195" s="89"/>
      <c r="BH195" s="89"/>
      <c r="BI195" s="89"/>
      <c r="BJ195" s="89"/>
      <c r="BK195" s="89"/>
      <c r="BL195" s="89"/>
      <c r="BM195" s="89"/>
      <c r="BN195" s="89"/>
      <c r="BO195" s="89"/>
    </row>
    <row r="196" spans="1:67" ht="15.75" customHeight="1" x14ac:dyDescent="0.3">
      <c r="A196" s="88"/>
      <c r="BG196" s="89"/>
      <c r="BH196" s="89"/>
      <c r="BI196" s="89"/>
      <c r="BJ196" s="89"/>
      <c r="BK196" s="89"/>
      <c r="BL196" s="89"/>
      <c r="BM196" s="89"/>
      <c r="BN196" s="89"/>
      <c r="BO196" s="89"/>
    </row>
    <row r="197" spans="1:67" ht="15.75" customHeight="1" x14ac:dyDescent="0.3">
      <c r="A197" s="88"/>
      <c r="BG197" s="89"/>
      <c r="BH197" s="89"/>
      <c r="BI197" s="89"/>
      <c r="BJ197" s="89"/>
      <c r="BK197" s="89"/>
      <c r="BL197" s="89"/>
      <c r="BM197" s="89"/>
      <c r="BN197" s="89"/>
      <c r="BO197" s="89"/>
    </row>
    <row r="198" spans="1:67" ht="15.75" customHeight="1" x14ac:dyDescent="0.3">
      <c r="A198" s="88"/>
      <c r="BG198" s="89"/>
      <c r="BH198" s="89"/>
      <c r="BI198" s="89"/>
      <c r="BJ198" s="89"/>
      <c r="BK198" s="89"/>
      <c r="BL198" s="89"/>
      <c r="BM198" s="89"/>
      <c r="BN198" s="89"/>
      <c r="BO198" s="89"/>
    </row>
    <row r="199" spans="1:67" ht="15.75" customHeight="1" x14ac:dyDescent="0.3">
      <c r="A199" s="88"/>
      <c r="BG199" s="89"/>
      <c r="BH199" s="89"/>
      <c r="BI199" s="89"/>
      <c r="BJ199" s="89"/>
      <c r="BK199" s="89"/>
      <c r="BL199" s="89"/>
      <c r="BM199" s="89"/>
      <c r="BN199" s="89"/>
      <c r="BO199" s="89"/>
    </row>
    <row r="200" spans="1:67" ht="15.75" customHeight="1" x14ac:dyDescent="0.3">
      <c r="A200" s="88"/>
      <c r="BG200" s="89"/>
      <c r="BH200" s="89"/>
      <c r="BI200" s="89"/>
      <c r="BJ200" s="89"/>
      <c r="BK200" s="89"/>
      <c r="BL200" s="89"/>
      <c r="BM200" s="89"/>
      <c r="BN200" s="89"/>
      <c r="BO200" s="89"/>
    </row>
    <row r="201" spans="1:67" ht="15.75" customHeight="1" x14ac:dyDescent="0.3">
      <c r="A201" s="88"/>
      <c r="BG201" s="89"/>
      <c r="BH201" s="89"/>
      <c r="BI201" s="89"/>
      <c r="BJ201" s="89"/>
      <c r="BK201" s="89"/>
      <c r="BL201" s="89"/>
      <c r="BM201" s="89"/>
      <c r="BN201" s="89"/>
      <c r="BO201" s="89"/>
    </row>
    <row r="202" spans="1:67" ht="15.75" customHeight="1" x14ac:dyDescent="0.3">
      <c r="A202" s="88"/>
      <c r="BG202" s="89"/>
      <c r="BH202" s="89"/>
      <c r="BI202" s="89"/>
      <c r="BJ202" s="89"/>
      <c r="BK202" s="89"/>
      <c r="BL202" s="89"/>
      <c r="BM202" s="89"/>
      <c r="BN202" s="89"/>
      <c r="BO202" s="89"/>
    </row>
    <row r="203" spans="1:67" ht="15.75" customHeight="1" x14ac:dyDescent="0.3">
      <c r="A203" s="88"/>
      <c r="BG203" s="89"/>
      <c r="BH203" s="89"/>
      <c r="BI203" s="89"/>
      <c r="BJ203" s="89"/>
      <c r="BK203" s="89"/>
      <c r="BL203" s="89"/>
      <c r="BM203" s="89"/>
      <c r="BN203" s="89"/>
      <c r="BO203" s="89"/>
    </row>
    <row r="204" spans="1:67" ht="15.75" customHeight="1" x14ac:dyDescent="0.3">
      <c r="A204" s="88"/>
      <c r="BG204" s="89"/>
      <c r="BH204" s="89"/>
      <c r="BI204" s="89"/>
      <c r="BJ204" s="89"/>
      <c r="BK204" s="89"/>
      <c r="BL204" s="89"/>
      <c r="BM204" s="89"/>
      <c r="BN204" s="89"/>
      <c r="BO204" s="89"/>
    </row>
    <row r="205" spans="1:67" ht="15.75" customHeight="1" x14ac:dyDescent="0.3">
      <c r="A205" s="88"/>
      <c r="BG205" s="89"/>
      <c r="BH205" s="89"/>
      <c r="BI205" s="89"/>
      <c r="BJ205" s="89"/>
      <c r="BK205" s="89"/>
      <c r="BL205" s="89"/>
      <c r="BM205" s="89"/>
      <c r="BN205" s="89"/>
      <c r="BO205" s="89"/>
    </row>
    <row r="206" spans="1:67" ht="15.75" customHeight="1" x14ac:dyDescent="0.3">
      <c r="A206" s="88"/>
      <c r="BG206" s="89"/>
      <c r="BH206" s="89"/>
      <c r="BI206" s="89"/>
      <c r="BJ206" s="89"/>
      <c r="BK206" s="89"/>
      <c r="BL206" s="89"/>
      <c r="BM206" s="89"/>
      <c r="BN206" s="89"/>
      <c r="BO206" s="89"/>
    </row>
    <row r="207" spans="1:67" ht="15.75" customHeight="1" x14ac:dyDescent="0.3">
      <c r="A207" s="88"/>
      <c r="BG207" s="89"/>
      <c r="BH207" s="89"/>
      <c r="BI207" s="89"/>
      <c r="BJ207" s="89"/>
      <c r="BK207" s="89"/>
      <c r="BL207" s="89"/>
      <c r="BM207" s="89"/>
      <c r="BN207" s="89"/>
      <c r="BO207" s="89"/>
    </row>
    <row r="208" spans="1:67" ht="15.75" customHeight="1" x14ac:dyDescent="0.3">
      <c r="A208" s="88"/>
      <c r="BG208" s="89"/>
      <c r="BH208" s="89"/>
      <c r="BI208" s="89"/>
      <c r="BJ208" s="89"/>
      <c r="BK208" s="89"/>
      <c r="BL208" s="89"/>
      <c r="BM208" s="89"/>
      <c r="BN208" s="89"/>
      <c r="BO208" s="89"/>
    </row>
    <row r="209" spans="1:67" ht="15.75" customHeight="1" x14ac:dyDescent="0.3">
      <c r="A209" s="88"/>
      <c r="BG209" s="89"/>
      <c r="BH209" s="89"/>
      <c r="BI209" s="89"/>
      <c r="BJ209" s="89"/>
      <c r="BK209" s="89"/>
      <c r="BL209" s="89"/>
      <c r="BM209" s="89"/>
      <c r="BN209" s="89"/>
      <c r="BO209" s="89"/>
    </row>
    <row r="210" spans="1:67" ht="15.75" customHeight="1" x14ac:dyDescent="0.3">
      <c r="A210" s="88"/>
      <c r="BG210" s="89"/>
      <c r="BH210" s="89"/>
      <c r="BI210" s="89"/>
      <c r="BJ210" s="89"/>
      <c r="BK210" s="89"/>
      <c r="BL210" s="89"/>
      <c r="BM210" s="89"/>
      <c r="BN210" s="89"/>
      <c r="BO210" s="89"/>
    </row>
    <row r="211" spans="1:67" ht="15.75" customHeight="1" x14ac:dyDescent="0.3">
      <c r="A211" s="88"/>
      <c r="BG211" s="89"/>
      <c r="BH211" s="89"/>
      <c r="BI211" s="89"/>
      <c r="BJ211" s="89"/>
      <c r="BK211" s="89"/>
      <c r="BL211" s="89"/>
      <c r="BM211" s="89"/>
      <c r="BN211" s="89"/>
      <c r="BO211" s="89"/>
    </row>
    <row r="212" spans="1:67" ht="15.75" customHeight="1" x14ac:dyDescent="0.3">
      <c r="A212" s="88"/>
      <c r="BG212" s="89"/>
      <c r="BH212" s="89"/>
      <c r="BI212" s="89"/>
      <c r="BJ212" s="89"/>
      <c r="BK212" s="89"/>
      <c r="BL212" s="89"/>
      <c r="BM212" s="89"/>
      <c r="BN212" s="89"/>
      <c r="BO212" s="89"/>
    </row>
    <row r="213" spans="1:67" ht="15.75" customHeight="1" x14ac:dyDescent="0.3">
      <c r="A213" s="88"/>
      <c r="BG213" s="89"/>
      <c r="BH213" s="89"/>
      <c r="BI213" s="89"/>
      <c r="BJ213" s="89"/>
      <c r="BK213" s="89"/>
      <c r="BL213" s="89"/>
      <c r="BM213" s="89"/>
      <c r="BN213" s="89"/>
      <c r="BO213" s="89"/>
    </row>
    <row r="214" spans="1:67" ht="15.75" customHeight="1" x14ac:dyDescent="0.3">
      <c r="A214" s="88"/>
      <c r="BG214" s="89"/>
      <c r="BH214" s="89"/>
      <c r="BI214" s="89"/>
      <c r="BJ214" s="89"/>
      <c r="BK214" s="89"/>
      <c r="BL214" s="89"/>
      <c r="BM214" s="89"/>
      <c r="BN214" s="89"/>
      <c r="BO214" s="89"/>
    </row>
    <row r="215" spans="1:67" ht="15.75" customHeight="1" x14ac:dyDescent="0.3">
      <c r="A215" s="88"/>
      <c r="BG215" s="89"/>
      <c r="BH215" s="89"/>
      <c r="BI215" s="89"/>
      <c r="BJ215" s="89"/>
      <c r="BK215" s="89"/>
      <c r="BL215" s="89"/>
      <c r="BM215" s="89"/>
      <c r="BN215" s="89"/>
      <c r="BO215" s="89"/>
    </row>
    <row r="216" spans="1:67" ht="15.75" customHeight="1" x14ac:dyDescent="0.3">
      <c r="A216" s="88"/>
      <c r="BG216" s="89"/>
      <c r="BH216" s="89"/>
      <c r="BI216" s="89"/>
      <c r="BJ216" s="89"/>
      <c r="BK216" s="89"/>
      <c r="BL216" s="89"/>
      <c r="BM216" s="89"/>
      <c r="BN216" s="89"/>
      <c r="BO216" s="89"/>
    </row>
    <row r="217" spans="1:67" ht="15.75" customHeight="1" x14ac:dyDescent="0.3">
      <c r="A217" s="88"/>
      <c r="BG217" s="89"/>
      <c r="BH217" s="89"/>
      <c r="BI217" s="89"/>
      <c r="BJ217" s="89"/>
      <c r="BK217" s="89"/>
      <c r="BL217" s="89"/>
      <c r="BM217" s="89"/>
      <c r="BN217" s="89"/>
      <c r="BO217" s="89"/>
    </row>
    <row r="218" spans="1:67" ht="15.75" customHeight="1" x14ac:dyDescent="0.3">
      <c r="A218" s="88"/>
      <c r="BG218" s="89"/>
      <c r="BH218" s="89"/>
      <c r="BI218" s="89"/>
      <c r="BJ218" s="89"/>
      <c r="BK218" s="89"/>
      <c r="BL218" s="89"/>
      <c r="BM218" s="89"/>
      <c r="BN218" s="89"/>
      <c r="BO218" s="89"/>
    </row>
    <row r="219" spans="1:67" ht="15.75" customHeight="1" x14ac:dyDescent="0.3">
      <c r="A219" s="88"/>
      <c r="BG219" s="89"/>
      <c r="BH219" s="89"/>
      <c r="BI219" s="89"/>
      <c r="BJ219" s="89"/>
      <c r="BK219" s="89"/>
      <c r="BL219" s="89"/>
      <c r="BM219" s="89"/>
      <c r="BN219" s="89"/>
      <c r="BO219" s="89"/>
    </row>
    <row r="220" spans="1:67" ht="15.75" customHeight="1" x14ac:dyDescent="0.3">
      <c r="A220" s="88"/>
      <c r="BG220" s="89"/>
      <c r="BH220" s="89"/>
      <c r="BI220" s="89"/>
      <c r="BJ220" s="89"/>
      <c r="BK220" s="89"/>
      <c r="BL220" s="89"/>
      <c r="BM220" s="89"/>
      <c r="BN220" s="89"/>
      <c r="BO220" s="89"/>
    </row>
    <row r="221" spans="1:67" ht="15.75" customHeight="1" x14ac:dyDescent="0.3">
      <c r="A221" s="88"/>
      <c r="BG221" s="89"/>
      <c r="BH221" s="89"/>
      <c r="BI221" s="89"/>
      <c r="BJ221" s="89"/>
      <c r="BK221" s="89"/>
      <c r="BL221" s="89"/>
      <c r="BM221" s="89"/>
      <c r="BN221" s="89"/>
      <c r="BO221" s="89"/>
    </row>
    <row r="222" spans="1:67" ht="15.75" customHeight="1" x14ac:dyDescent="0.3">
      <c r="A222" s="88"/>
      <c r="BG222" s="89"/>
      <c r="BH222" s="89"/>
      <c r="BI222" s="89"/>
      <c r="BJ222" s="89"/>
      <c r="BK222" s="89"/>
      <c r="BL222" s="89"/>
      <c r="BM222" s="89"/>
      <c r="BN222" s="89"/>
      <c r="BO222" s="89"/>
    </row>
    <row r="223" spans="1:67" ht="15.75" customHeight="1" x14ac:dyDescent="0.3">
      <c r="A223" s="88"/>
      <c r="BG223" s="89"/>
      <c r="BH223" s="89"/>
      <c r="BI223" s="89"/>
      <c r="BJ223" s="89"/>
      <c r="BK223" s="89"/>
      <c r="BL223" s="89"/>
      <c r="BM223" s="89"/>
      <c r="BN223" s="89"/>
      <c r="BO223" s="89"/>
    </row>
    <row r="224" spans="1:67" ht="15.75" customHeight="1" x14ac:dyDescent="0.3">
      <c r="A224" s="88"/>
      <c r="BG224" s="89"/>
      <c r="BH224" s="89"/>
      <c r="BI224" s="89"/>
      <c r="BJ224" s="89"/>
      <c r="BK224" s="89"/>
      <c r="BL224" s="89"/>
      <c r="BM224" s="89"/>
      <c r="BN224" s="89"/>
      <c r="BO224" s="89"/>
    </row>
    <row r="225" spans="1:67" ht="15.75" customHeight="1" x14ac:dyDescent="0.3">
      <c r="A225" s="88"/>
      <c r="BG225" s="89"/>
      <c r="BH225" s="89"/>
      <c r="BI225" s="89"/>
      <c r="BJ225" s="89"/>
      <c r="BK225" s="89"/>
      <c r="BL225" s="89"/>
      <c r="BM225" s="89"/>
      <c r="BN225" s="89"/>
      <c r="BO225" s="89"/>
    </row>
    <row r="226" spans="1:67" ht="15.75" customHeight="1" x14ac:dyDescent="0.3">
      <c r="A226" s="88"/>
      <c r="BG226" s="89"/>
      <c r="BH226" s="89"/>
      <c r="BI226" s="89"/>
      <c r="BJ226" s="89"/>
      <c r="BK226" s="89"/>
      <c r="BL226" s="89"/>
      <c r="BM226" s="89"/>
      <c r="BN226" s="89"/>
      <c r="BO226" s="89"/>
    </row>
    <row r="227" spans="1:67" ht="15.75" customHeight="1" x14ac:dyDescent="0.3">
      <c r="A227" s="88"/>
      <c r="BG227" s="89"/>
      <c r="BH227" s="89"/>
      <c r="BI227" s="89"/>
      <c r="BJ227" s="89"/>
      <c r="BK227" s="89"/>
      <c r="BL227" s="89"/>
      <c r="BM227" s="89"/>
      <c r="BN227" s="89"/>
      <c r="BO227" s="89"/>
    </row>
    <row r="228" spans="1:67" ht="15.75" customHeight="1" x14ac:dyDescent="0.3">
      <c r="A228" s="88"/>
      <c r="BG228" s="89"/>
      <c r="BH228" s="89"/>
      <c r="BI228" s="89"/>
      <c r="BJ228" s="89"/>
      <c r="BK228" s="89"/>
      <c r="BL228" s="89"/>
      <c r="BM228" s="89"/>
      <c r="BN228" s="89"/>
      <c r="BO228" s="89"/>
    </row>
    <row r="229" spans="1:67" ht="15.75" customHeight="1" x14ac:dyDescent="0.3">
      <c r="A229" s="88"/>
      <c r="BG229" s="89"/>
      <c r="BH229" s="89"/>
      <c r="BI229" s="89"/>
      <c r="BJ229" s="89"/>
      <c r="BK229" s="89"/>
      <c r="BL229" s="89"/>
      <c r="BM229" s="89"/>
      <c r="BN229" s="89"/>
      <c r="BO229" s="89"/>
    </row>
    <row r="230" spans="1:67" ht="15.75" customHeight="1" x14ac:dyDescent="0.3">
      <c r="A230" s="88"/>
      <c r="BG230" s="89"/>
      <c r="BH230" s="89"/>
      <c r="BI230" s="89"/>
      <c r="BJ230" s="89"/>
      <c r="BK230" s="89"/>
      <c r="BL230" s="89"/>
      <c r="BM230" s="89"/>
      <c r="BN230" s="89"/>
      <c r="BO230" s="89"/>
    </row>
    <row r="231" spans="1:67" ht="15.75" customHeight="1" x14ac:dyDescent="0.3">
      <c r="A231" s="88"/>
      <c r="BG231" s="89"/>
      <c r="BH231" s="89"/>
      <c r="BI231" s="89"/>
      <c r="BJ231" s="89"/>
      <c r="BK231" s="89"/>
      <c r="BL231" s="89"/>
      <c r="BM231" s="89"/>
      <c r="BN231" s="89"/>
      <c r="BO231" s="89"/>
    </row>
    <row r="232" spans="1:67" ht="15.75" customHeight="1" x14ac:dyDescent="0.3">
      <c r="A232" s="88"/>
      <c r="BG232" s="89"/>
      <c r="BH232" s="89"/>
      <c r="BI232" s="89"/>
      <c r="BJ232" s="89"/>
      <c r="BK232" s="89"/>
      <c r="BL232" s="89"/>
      <c r="BM232" s="89"/>
      <c r="BN232" s="89"/>
      <c r="BO232" s="89"/>
    </row>
    <row r="233" spans="1:67" ht="15.75" customHeight="1" x14ac:dyDescent="0.3">
      <c r="A233" s="88"/>
      <c r="BG233" s="89"/>
      <c r="BH233" s="89"/>
      <c r="BI233" s="89"/>
      <c r="BJ233" s="89"/>
      <c r="BK233" s="89"/>
      <c r="BL233" s="89"/>
      <c r="BM233" s="89"/>
      <c r="BN233" s="89"/>
      <c r="BO233" s="89"/>
    </row>
    <row r="234" spans="1:67" ht="15.75" customHeight="1" x14ac:dyDescent="0.3">
      <c r="A234" s="88"/>
      <c r="BG234" s="89"/>
      <c r="BH234" s="89"/>
      <c r="BI234" s="89"/>
      <c r="BJ234" s="89"/>
      <c r="BK234" s="89"/>
      <c r="BL234" s="89"/>
      <c r="BM234" s="89"/>
      <c r="BN234" s="89"/>
      <c r="BO234" s="89"/>
    </row>
    <row r="235" spans="1:67" ht="15.75" customHeight="1" x14ac:dyDescent="0.3">
      <c r="A235" s="88"/>
      <c r="BG235" s="89"/>
      <c r="BH235" s="89"/>
      <c r="BI235" s="89"/>
      <c r="BJ235" s="89"/>
      <c r="BK235" s="89"/>
      <c r="BL235" s="89"/>
      <c r="BM235" s="89"/>
      <c r="BN235" s="89"/>
      <c r="BO235" s="89"/>
    </row>
    <row r="236" spans="1:67" ht="15.75" customHeight="1" x14ac:dyDescent="0.3">
      <c r="A236" s="88"/>
      <c r="BG236" s="89"/>
      <c r="BH236" s="89"/>
      <c r="BI236" s="89"/>
      <c r="BJ236" s="89"/>
      <c r="BK236" s="89"/>
      <c r="BL236" s="89"/>
      <c r="BM236" s="89"/>
      <c r="BN236" s="89"/>
      <c r="BO236" s="89"/>
    </row>
    <row r="237" spans="1:67" ht="15.75" customHeight="1" x14ac:dyDescent="0.3">
      <c r="A237" s="88"/>
      <c r="BG237" s="89"/>
      <c r="BH237" s="89"/>
      <c r="BI237" s="89"/>
      <c r="BJ237" s="89"/>
      <c r="BK237" s="89"/>
      <c r="BL237" s="89"/>
      <c r="BM237" s="89"/>
      <c r="BN237" s="89"/>
      <c r="BO237" s="89"/>
    </row>
    <row r="238" spans="1:67" ht="15.75" customHeight="1" x14ac:dyDescent="0.3">
      <c r="A238" s="88"/>
      <c r="BG238" s="89"/>
      <c r="BH238" s="89"/>
      <c r="BI238" s="89"/>
      <c r="BJ238" s="89"/>
      <c r="BK238" s="89"/>
      <c r="BL238" s="89"/>
      <c r="BM238" s="89"/>
      <c r="BN238" s="89"/>
      <c r="BO238" s="89"/>
    </row>
    <row r="239" spans="1:67" ht="15.75" customHeight="1" x14ac:dyDescent="0.3">
      <c r="A239" s="88"/>
      <c r="BG239" s="89"/>
      <c r="BH239" s="89"/>
      <c r="BI239" s="89"/>
      <c r="BJ239" s="89"/>
      <c r="BK239" s="89"/>
      <c r="BL239" s="89"/>
      <c r="BM239" s="89"/>
      <c r="BN239" s="89"/>
      <c r="BO239" s="89"/>
    </row>
    <row r="240" spans="1:67" ht="15.75" customHeight="1" x14ac:dyDescent="0.3">
      <c r="A240" s="88"/>
      <c r="BG240" s="89"/>
      <c r="BH240" s="89"/>
      <c r="BI240" s="89"/>
      <c r="BJ240" s="89"/>
      <c r="BK240" s="89"/>
      <c r="BL240" s="89"/>
      <c r="BM240" s="89"/>
      <c r="BN240" s="89"/>
      <c r="BO240" s="89"/>
    </row>
    <row r="241" spans="1:67" ht="15.75" customHeight="1" x14ac:dyDescent="0.3">
      <c r="A241" s="88"/>
      <c r="BG241" s="89"/>
      <c r="BH241" s="89"/>
      <c r="BI241" s="89"/>
      <c r="BJ241" s="89"/>
      <c r="BK241" s="89"/>
      <c r="BL241" s="89"/>
      <c r="BM241" s="89"/>
      <c r="BN241" s="89"/>
      <c r="BO241" s="89"/>
    </row>
    <row r="242" spans="1:67" ht="15.75" customHeight="1" x14ac:dyDescent="0.3">
      <c r="A242" s="88"/>
      <c r="BG242" s="89"/>
      <c r="BH242" s="89"/>
      <c r="BI242" s="89"/>
      <c r="BJ242" s="89"/>
      <c r="BK242" s="89"/>
      <c r="BL242" s="89"/>
      <c r="BM242" s="89"/>
      <c r="BN242" s="89"/>
      <c r="BO242" s="89"/>
    </row>
    <row r="243" spans="1:67" ht="15.75" customHeight="1" x14ac:dyDescent="0.3">
      <c r="A243" s="88"/>
      <c r="BG243" s="89"/>
      <c r="BH243" s="89"/>
      <c r="BI243" s="89"/>
      <c r="BJ243" s="89"/>
      <c r="BK243" s="89"/>
      <c r="BL243" s="89"/>
      <c r="BM243" s="89"/>
      <c r="BN243" s="89"/>
      <c r="BO243" s="89"/>
    </row>
    <row r="244" spans="1:67" ht="15.75" customHeight="1" x14ac:dyDescent="0.3">
      <c r="A244" s="88"/>
      <c r="BG244" s="89"/>
      <c r="BH244" s="89"/>
      <c r="BI244" s="89"/>
      <c r="BJ244" s="89"/>
      <c r="BK244" s="89"/>
      <c r="BL244" s="89"/>
      <c r="BM244" s="89"/>
      <c r="BN244" s="89"/>
      <c r="BO244" s="89"/>
    </row>
    <row r="245" spans="1:67" ht="15.75" customHeight="1" x14ac:dyDescent="0.3">
      <c r="A245" s="88"/>
      <c r="BG245" s="89"/>
      <c r="BH245" s="89"/>
      <c r="BI245" s="89"/>
      <c r="BJ245" s="89"/>
      <c r="BK245" s="89"/>
      <c r="BL245" s="89"/>
      <c r="BM245" s="89"/>
      <c r="BN245" s="89"/>
      <c r="BO245" s="89"/>
    </row>
    <row r="246" spans="1:67" ht="15.75" customHeight="1" x14ac:dyDescent="0.3">
      <c r="A246" s="88"/>
      <c r="BG246" s="89"/>
      <c r="BH246" s="89"/>
      <c r="BI246" s="89"/>
      <c r="BJ246" s="89"/>
      <c r="BK246" s="89"/>
      <c r="BL246" s="89"/>
      <c r="BM246" s="89"/>
      <c r="BN246" s="89"/>
      <c r="BO246" s="89"/>
    </row>
    <row r="247" spans="1:67" ht="15.75" customHeight="1" x14ac:dyDescent="0.3">
      <c r="A247" s="88"/>
      <c r="BG247" s="89"/>
      <c r="BH247" s="89"/>
      <c r="BI247" s="89"/>
      <c r="BJ247" s="89"/>
      <c r="BK247" s="89"/>
      <c r="BL247" s="89"/>
      <c r="BM247" s="89"/>
      <c r="BN247" s="89"/>
      <c r="BO247" s="89"/>
    </row>
    <row r="248" spans="1:67" ht="15.75" customHeight="1" x14ac:dyDescent="0.3">
      <c r="A248" s="88"/>
      <c r="BG248" s="89"/>
      <c r="BH248" s="89"/>
      <c r="BI248" s="89"/>
      <c r="BJ248" s="89"/>
      <c r="BK248" s="89"/>
      <c r="BL248" s="89"/>
      <c r="BM248" s="89"/>
      <c r="BN248" s="89"/>
      <c r="BO248" s="89"/>
    </row>
    <row r="249" spans="1:67" ht="15.75" customHeight="1" x14ac:dyDescent="0.3">
      <c r="A249" s="88"/>
      <c r="BG249" s="89"/>
      <c r="BH249" s="89"/>
      <c r="BI249" s="89"/>
      <c r="BJ249" s="89"/>
      <c r="BK249" s="89"/>
      <c r="BL249" s="89"/>
      <c r="BM249" s="89"/>
      <c r="BN249" s="89"/>
      <c r="BO249" s="89"/>
    </row>
    <row r="250" spans="1:67" ht="15.75" customHeight="1" x14ac:dyDescent="0.3">
      <c r="A250" s="88"/>
      <c r="BG250" s="89"/>
      <c r="BH250" s="89"/>
      <c r="BI250" s="89"/>
      <c r="BJ250" s="89"/>
      <c r="BK250" s="89"/>
      <c r="BL250" s="89"/>
      <c r="BM250" s="89"/>
      <c r="BN250" s="89"/>
      <c r="BO250" s="89"/>
    </row>
    <row r="251" spans="1:67" ht="15.75" customHeight="1" x14ac:dyDescent="0.3">
      <c r="A251" s="88"/>
      <c r="BG251" s="89"/>
      <c r="BH251" s="89"/>
      <c r="BI251" s="89"/>
      <c r="BJ251" s="89"/>
      <c r="BK251" s="89"/>
      <c r="BL251" s="89"/>
      <c r="BM251" s="89"/>
      <c r="BN251" s="89"/>
      <c r="BO251" s="89"/>
    </row>
    <row r="252" spans="1:67" ht="15.75" customHeight="1" x14ac:dyDescent="0.3">
      <c r="A252" s="88"/>
      <c r="BG252" s="89"/>
      <c r="BH252" s="89"/>
      <c r="BI252" s="89"/>
      <c r="BJ252" s="89"/>
      <c r="BK252" s="89"/>
      <c r="BL252" s="89"/>
      <c r="BM252" s="89"/>
      <c r="BN252" s="89"/>
      <c r="BO252" s="89"/>
    </row>
    <row r="253" spans="1:67" ht="15.75" customHeight="1" x14ac:dyDescent="0.3">
      <c r="A253" s="88"/>
      <c r="BG253" s="89"/>
      <c r="BH253" s="89"/>
      <c r="BI253" s="89"/>
      <c r="BJ253" s="89"/>
      <c r="BK253" s="89"/>
      <c r="BL253" s="89"/>
      <c r="BM253" s="89"/>
      <c r="BN253" s="89"/>
      <c r="BO253" s="89"/>
    </row>
    <row r="254" spans="1:67" ht="15.75" customHeight="1" x14ac:dyDescent="0.3">
      <c r="A254" s="88"/>
      <c r="BG254" s="89"/>
      <c r="BH254" s="89"/>
      <c r="BI254" s="89"/>
      <c r="BJ254" s="89"/>
      <c r="BK254" s="89"/>
      <c r="BL254" s="89"/>
      <c r="BM254" s="89"/>
      <c r="BN254" s="89"/>
      <c r="BO254" s="89"/>
    </row>
    <row r="255" spans="1:67" ht="15.75" customHeight="1" x14ac:dyDescent="0.3">
      <c r="A255" s="88"/>
      <c r="BG255" s="89"/>
      <c r="BH255" s="89"/>
      <c r="BI255" s="89"/>
      <c r="BJ255" s="89"/>
      <c r="BK255" s="89"/>
      <c r="BL255" s="89"/>
      <c r="BM255" s="89"/>
      <c r="BN255" s="89"/>
      <c r="BO255" s="89"/>
    </row>
    <row r="256" spans="1:67" ht="15.75" customHeight="1" x14ac:dyDescent="0.3">
      <c r="A256" s="88"/>
      <c r="BG256" s="89"/>
      <c r="BH256" s="89"/>
      <c r="BI256" s="89"/>
      <c r="BJ256" s="89"/>
      <c r="BK256" s="89"/>
      <c r="BL256" s="89"/>
      <c r="BM256" s="89"/>
      <c r="BN256" s="89"/>
      <c r="BO256" s="89"/>
    </row>
    <row r="257" spans="1:67" ht="15.75" customHeight="1" x14ac:dyDescent="0.3">
      <c r="A257" s="88"/>
      <c r="BG257" s="89"/>
      <c r="BH257" s="89"/>
      <c r="BI257" s="89"/>
      <c r="BJ257" s="89"/>
      <c r="BK257" s="89"/>
      <c r="BL257" s="89"/>
      <c r="BM257" s="89"/>
      <c r="BN257" s="89"/>
      <c r="BO257" s="89"/>
    </row>
    <row r="258" spans="1:67" ht="15.75" customHeight="1" x14ac:dyDescent="0.3">
      <c r="A258" s="88"/>
      <c r="BG258" s="89"/>
      <c r="BH258" s="89"/>
      <c r="BI258" s="89"/>
      <c r="BJ258" s="89"/>
      <c r="BK258" s="89"/>
      <c r="BL258" s="89"/>
      <c r="BM258" s="89"/>
      <c r="BN258" s="89"/>
      <c r="BO258" s="89"/>
    </row>
    <row r="259" spans="1:67" ht="15.75" customHeight="1" x14ac:dyDescent="0.3">
      <c r="A259" s="88"/>
      <c r="BG259" s="89"/>
      <c r="BH259" s="89"/>
      <c r="BI259" s="89"/>
      <c r="BJ259" s="89"/>
      <c r="BK259" s="89"/>
      <c r="BL259" s="89"/>
      <c r="BM259" s="89"/>
      <c r="BN259" s="89"/>
      <c r="BO259" s="89"/>
    </row>
    <row r="260" spans="1:67" ht="15.75" customHeight="1" x14ac:dyDescent="0.3">
      <c r="A260" s="88"/>
      <c r="BG260" s="89"/>
      <c r="BH260" s="89"/>
      <c r="BI260" s="89"/>
      <c r="BJ260" s="89"/>
      <c r="BK260" s="89"/>
      <c r="BL260" s="89"/>
      <c r="BM260" s="89"/>
      <c r="BN260" s="89"/>
      <c r="BO260" s="89"/>
    </row>
    <row r="261" spans="1:67" ht="15.75" customHeight="1" x14ac:dyDescent="0.3">
      <c r="A261" s="88"/>
      <c r="BG261" s="89"/>
      <c r="BH261" s="89"/>
      <c r="BI261" s="89"/>
      <c r="BJ261" s="89"/>
      <c r="BK261" s="89"/>
      <c r="BL261" s="89"/>
      <c r="BM261" s="89"/>
      <c r="BN261" s="89"/>
      <c r="BO261" s="89"/>
    </row>
    <row r="262" spans="1:67" ht="15.75" customHeight="1" x14ac:dyDescent="0.3">
      <c r="A262" s="88"/>
      <c r="BG262" s="89"/>
      <c r="BH262" s="89"/>
      <c r="BI262" s="89"/>
      <c r="BJ262" s="89"/>
      <c r="BK262" s="89"/>
      <c r="BL262" s="89"/>
      <c r="BM262" s="89"/>
      <c r="BN262" s="89"/>
      <c r="BO262" s="89"/>
    </row>
    <row r="263" spans="1:67" ht="15.75" customHeight="1" x14ac:dyDescent="0.3">
      <c r="A263" s="88"/>
      <c r="BG263" s="89"/>
      <c r="BH263" s="89"/>
      <c r="BI263" s="89"/>
      <c r="BJ263" s="89"/>
      <c r="BK263" s="89"/>
      <c r="BL263" s="89"/>
      <c r="BM263" s="89"/>
      <c r="BN263" s="89"/>
      <c r="BO263" s="89"/>
    </row>
    <row r="264" spans="1:67" ht="15.75" customHeight="1" x14ac:dyDescent="0.3">
      <c r="A264" s="88"/>
      <c r="BG264" s="89"/>
      <c r="BH264" s="89"/>
      <c r="BI264" s="89"/>
      <c r="BJ264" s="89"/>
      <c r="BK264" s="89"/>
      <c r="BL264" s="89"/>
      <c r="BM264" s="89"/>
      <c r="BN264" s="89"/>
      <c r="BO264" s="89"/>
    </row>
    <row r="265" spans="1:67" ht="15.75" customHeight="1" x14ac:dyDescent="0.3">
      <c r="A265" s="88"/>
      <c r="BG265" s="89"/>
      <c r="BH265" s="89"/>
      <c r="BI265" s="89"/>
      <c r="BJ265" s="89"/>
      <c r="BK265" s="89"/>
      <c r="BL265" s="89"/>
      <c r="BM265" s="89"/>
      <c r="BN265" s="89"/>
      <c r="BO265" s="89"/>
    </row>
    <row r="266" spans="1:67" ht="15.75" customHeight="1" x14ac:dyDescent="0.3">
      <c r="A266" s="88"/>
      <c r="BG266" s="89"/>
      <c r="BH266" s="89"/>
      <c r="BI266" s="89"/>
      <c r="BJ266" s="89"/>
      <c r="BK266" s="89"/>
      <c r="BL266" s="89"/>
      <c r="BM266" s="89"/>
      <c r="BN266" s="89"/>
      <c r="BO266" s="89"/>
    </row>
    <row r="267" spans="1:67" ht="15.75" customHeight="1" x14ac:dyDescent="0.3">
      <c r="A267" s="88"/>
      <c r="BG267" s="89"/>
      <c r="BH267" s="89"/>
      <c r="BI267" s="89"/>
      <c r="BJ267" s="89"/>
      <c r="BK267" s="89"/>
      <c r="BL267" s="89"/>
      <c r="BM267" s="89"/>
      <c r="BN267" s="89"/>
      <c r="BO267" s="89"/>
    </row>
    <row r="268" spans="1:67" ht="15.75" customHeight="1" x14ac:dyDescent="0.3">
      <c r="A268" s="88"/>
      <c r="BG268" s="89"/>
      <c r="BH268" s="89"/>
      <c r="BI268" s="89"/>
      <c r="BJ268" s="89"/>
      <c r="BK268" s="89"/>
      <c r="BL268" s="89"/>
      <c r="BM268" s="89"/>
      <c r="BN268" s="89"/>
      <c r="BO268" s="89"/>
    </row>
    <row r="269" spans="1:67" ht="15.75" customHeight="1" x14ac:dyDescent="0.3">
      <c r="A269" s="88"/>
      <c r="BG269" s="89"/>
      <c r="BH269" s="89"/>
      <c r="BI269" s="89"/>
      <c r="BJ269" s="89"/>
      <c r="BK269" s="89"/>
      <c r="BL269" s="89"/>
      <c r="BM269" s="89"/>
      <c r="BN269" s="89"/>
      <c r="BO269" s="89"/>
    </row>
    <row r="270" spans="1:67" ht="15.75" customHeight="1" x14ac:dyDescent="0.3">
      <c r="A270" s="88"/>
      <c r="BG270" s="89"/>
      <c r="BH270" s="89"/>
      <c r="BI270" s="89"/>
      <c r="BJ270" s="89"/>
      <c r="BK270" s="89"/>
      <c r="BL270" s="89"/>
      <c r="BM270" s="89"/>
      <c r="BN270" s="89"/>
      <c r="BO270" s="89"/>
    </row>
    <row r="271" spans="1:67" ht="15.75" customHeight="1" x14ac:dyDescent="0.3">
      <c r="A271" s="88"/>
      <c r="BG271" s="89"/>
      <c r="BH271" s="89"/>
      <c r="BI271" s="89"/>
      <c r="BJ271" s="89"/>
      <c r="BK271" s="89"/>
      <c r="BL271" s="89"/>
      <c r="BM271" s="89"/>
      <c r="BN271" s="89"/>
      <c r="BO271" s="89"/>
    </row>
    <row r="272" spans="1:67" ht="15.75" customHeight="1" x14ac:dyDescent="0.3">
      <c r="A272" s="88"/>
      <c r="BG272" s="89"/>
      <c r="BH272" s="89"/>
      <c r="BI272" s="89"/>
      <c r="BJ272" s="89"/>
      <c r="BK272" s="89"/>
      <c r="BL272" s="89"/>
      <c r="BM272" s="89"/>
      <c r="BN272" s="89"/>
      <c r="BO272" s="89"/>
    </row>
    <row r="273" spans="1:67" ht="15.75" customHeight="1" x14ac:dyDescent="0.3">
      <c r="A273" s="88"/>
      <c r="BG273" s="89"/>
      <c r="BH273" s="89"/>
      <c r="BI273" s="89"/>
      <c r="BJ273" s="89"/>
      <c r="BK273" s="89"/>
      <c r="BL273" s="89"/>
      <c r="BM273" s="89"/>
      <c r="BN273" s="89"/>
      <c r="BO273" s="89"/>
    </row>
    <row r="274" spans="1:67" ht="15.75" customHeight="1" x14ac:dyDescent="0.3">
      <c r="A274" s="88"/>
      <c r="BG274" s="89"/>
      <c r="BH274" s="89"/>
      <c r="BI274" s="89"/>
      <c r="BJ274" s="89"/>
      <c r="BK274" s="89"/>
      <c r="BL274" s="89"/>
      <c r="BM274" s="89"/>
      <c r="BN274" s="89"/>
      <c r="BO274" s="89"/>
    </row>
    <row r="275" spans="1:67" ht="15.75" customHeight="1" x14ac:dyDescent="0.3">
      <c r="A275" s="88"/>
      <c r="BG275" s="89"/>
      <c r="BH275" s="89"/>
      <c r="BI275" s="89"/>
      <c r="BJ275" s="89"/>
      <c r="BK275" s="89"/>
      <c r="BL275" s="89"/>
      <c r="BM275" s="89"/>
      <c r="BN275" s="89"/>
      <c r="BO275" s="89"/>
    </row>
    <row r="276" spans="1:67" ht="15.75" customHeight="1" x14ac:dyDescent="0.3">
      <c r="A276" s="88"/>
      <c r="BG276" s="89"/>
      <c r="BH276" s="89"/>
      <c r="BI276" s="89"/>
      <c r="BJ276" s="89"/>
      <c r="BK276" s="89"/>
      <c r="BL276" s="89"/>
      <c r="BM276" s="89"/>
      <c r="BN276" s="89"/>
      <c r="BO276" s="89"/>
    </row>
    <row r="277" spans="1:67" ht="15.75" customHeight="1" x14ac:dyDescent="0.3">
      <c r="A277" s="88"/>
      <c r="BG277" s="89"/>
      <c r="BH277" s="89"/>
      <c r="BI277" s="89"/>
      <c r="BJ277" s="89"/>
      <c r="BK277" s="89"/>
      <c r="BL277" s="89"/>
      <c r="BM277" s="89"/>
      <c r="BN277" s="89"/>
      <c r="BO277" s="89"/>
    </row>
    <row r="278" spans="1:67" ht="15.75" customHeight="1" x14ac:dyDescent="0.3">
      <c r="A278" s="88"/>
      <c r="BG278" s="89"/>
      <c r="BH278" s="89"/>
      <c r="BI278" s="89"/>
      <c r="BJ278" s="89"/>
      <c r="BK278" s="89"/>
      <c r="BL278" s="89"/>
      <c r="BM278" s="89"/>
      <c r="BN278" s="89"/>
      <c r="BO278" s="89"/>
    </row>
    <row r="279" spans="1:67" ht="15.75" customHeight="1" x14ac:dyDescent="0.3">
      <c r="A279" s="88"/>
      <c r="BG279" s="89"/>
      <c r="BH279" s="89"/>
      <c r="BI279" s="89"/>
      <c r="BJ279" s="89"/>
      <c r="BK279" s="89"/>
      <c r="BL279" s="89"/>
      <c r="BM279" s="89"/>
      <c r="BN279" s="89"/>
      <c r="BO279" s="89"/>
    </row>
    <row r="280" spans="1:67" ht="15.75" customHeight="1" x14ac:dyDescent="0.3">
      <c r="A280" s="88"/>
      <c r="BG280" s="89"/>
      <c r="BH280" s="89"/>
      <c r="BI280" s="89"/>
      <c r="BJ280" s="89"/>
      <c r="BK280" s="89"/>
      <c r="BL280" s="89"/>
      <c r="BM280" s="89"/>
      <c r="BN280" s="89"/>
      <c r="BO280" s="89"/>
    </row>
    <row r="281" spans="1:67" ht="15.75" customHeight="1" x14ac:dyDescent="0.3">
      <c r="A281" s="88"/>
      <c r="BG281" s="89"/>
      <c r="BH281" s="89"/>
      <c r="BI281" s="89"/>
      <c r="BJ281" s="89"/>
      <c r="BK281" s="89"/>
      <c r="BL281" s="89"/>
      <c r="BM281" s="89"/>
      <c r="BN281" s="89"/>
      <c r="BO281" s="89"/>
    </row>
    <row r="282" spans="1:67" ht="15.75" customHeight="1" x14ac:dyDescent="0.3">
      <c r="A282" s="88"/>
      <c r="BG282" s="89"/>
      <c r="BH282" s="89"/>
      <c r="BI282" s="89"/>
      <c r="BJ282" s="89"/>
      <c r="BK282" s="89"/>
      <c r="BL282" s="89"/>
      <c r="BM282" s="89"/>
      <c r="BN282" s="89"/>
      <c r="BO282" s="89"/>
    </row>
    <row r="283" spans="1:67" ht="15.75" customHeight="1" x14ac:dyDescent="0.3">
      <c r="A283" s="88"/>
      <c r="BG283" s="89"/>
      <c r="BH283" s="89"/>
      <c r="BI283" s="89"/>
      <c r="BJ283" s="89"/>
      <c r="BK283" s="89"/>
      <c r="BL283" s="89"/>
      <c r="BM283" s="89"/>
      <c r="BN283" s="89"/>
      <c r="BO283" s="89"/>
    </row>
    <row r="284" spans="1:67" ht="15.75" customHeight="1" x14ac:dyDescent="0.3">
      <c r="A284" s="88"/>
      <c r="BG284" s="89"/>
      <c r="BH284" s="89"/>
      <c r="BI284" s="89"/>
      <c r="BJ284" s="89"/>
      <c r="BK284" s="89"/>
      <c r="BL284" s="89"/>
      <c r="BM284" s="89"/>
      <c r="BN284" s="89"/>
      <c r="BO284" s="89"/>
    </row>
    <row r="285" spans="1:67" ht="15.75" customHeight="1" x14ac:dyDescent="0.3">
      <c r="A285" s="88"/>
      <c r="BG285" s="89"/>
      <c r="BH285" s="89"/>
      <c r="BI285" s="89"/>
      <c r="BJ285" s="89"/>
      <c r="BK285" s="89"/>
      <c r="BL285" s="89"/>
      <c r="BM285" s="89"/>
      <c r="BN285" s="89"/>
      <c r="BO285" s="89"/>
    </row>
    <row r="286" spans="1:67" ht="15.75" customHeight="1" x14ac:dyDescent="0.3">
      <c r="A286" s="88"/>
      <c r="BG286" s="89"/>
      <c r="BH286" s="89"/>
      <c r="BI286" s="89"/>
      <c r="BJ286" s="89"/>
      <c r="BK286" s="89"/>
      <c r="BL286" s="89"/>
      <c r="BM286" s="89"/>
      <c r="BN286" s="89"/>
      <c r="BO286" s="89"/>
    </row>
    <row r="287" spans="1:67" ht="15.75" customHeight="1" x14ac:dyDescent="0.3">
      <c r="A287" s="88"/>
      <c r="BG287" s="89"/>
      <c r="BH287" s="89"/>
      <c r="BI287" s="89"/>
      <c r="BJ287" s="89"/>
      <c r="BK287" s="89"/>
      <c r="BL287" s="89"/>
      <c r="BM287" s="89"/>
      <c r="BN287" s="89"/>
      <c r="BO287" s="89"/>
    </row>
    <row r="288" spans="1:67" ht="15.75" customHeight="1" x14ac:dyDescent="0.3">
      <c r="A288" s="88"/>
      <c r="BG288" s="89"/>
      <c r="BH288" s="89"/>
      <c r="BI288" s="89"/>
      <c r="BJ288" s="89"/>
      <c r="BK288" s="89"/>
      <c r="BL288" s="89"/>
      <c r="BM288" s="89"/>
      <c r="BN288" s="89"/>
      <c r="BO288" s="89"/>
    </row>
    <row r="289" spans="1:67" ht="15.75" customHeight="1" x14ac:dyDescent="0.3">
      <c r="A289" s="88"/>
      <c r="BG289" s="89"/>
      <c r="BH289" s="89"/>
      <c r="BI289" s="89"/>
      <c r="BJ289" s="89"/>
      <c r="BK289" s="89"/>
      <c r="BL289" s="89"/>
      <c r="BM289" s="89"/>
      <c r="BN289" s="89"/>
      <c r="BO289" s="89"/>
    </row>
    <row r="290" spans="1:67" ht="15.75" customHeight="1" x14ac:dyDescent="0.3">
      <c r="A290" s="88"/>
      <c r="BG290" s="89"/>
      <c r="BH290" s="89"/>
      <c r="BI290" s="89"/>
      <c r="BJ290" s="89"/>
      <c r="BK290" s="89"/>
      <c r="BL290" s="89"/>
      <c r="BM290" s="89"/>
      <c r="BN290" s="89"/>
      <c r="BO290" s="89"/>
    </row>
    <row r="291" spans="1:67" ht="15.75" customHeight="1" x14ac:dyDescent="0.3">
      <c r="A291" s="88"/>
      <c r="BG291" s="89"/>
      <c r="BH291" s="89"/>
      <c r="BI291" s="89"/>
      <c r="BJ291" s="89"/>
      <c r="BK291" s="89"/>
      <c r="BL291" s="89"/>
      <c r="BM291" s="89"/>
      <c r="BN291" s="89"/>
      <c r="BO291" s="89"/>
    </row>
    <row r="292" spans="1:67" ht="15.75" customHeight="1" x14ac:dyDescent="0.3">
      <c r="A292" s="88"/>
      <c r="BG292" s="89"/>
      <c r="BH292" s="89"/>
      <c r="BI292" s="89"/>
      <c r="BJ292" s="89"/>
      <c r="BK292" s="89"/>
      <c r="BL292" s="89"/>
      <c r="BM292" s="89"/>
      <c r="BN292" s="89"/>
      <c r="BO292" s="89"/>
    </row>
    <row r="293" spans="1:67" ht="15.75" customHeight="1" x14ac:dyDescent="0.3">
      <c r="A293" s="88"/>
      <c r="BG293" s="89"/>
      <c r="BH293" s="89"/>
      <c r="BI293" s="89"/>
      <c r="BJ293" s="89"/>
      <c r="BK293" s="89"/>
      <c r="BL293" s="89"/>
      <c r="BM293" s="89"/>
      <c r="BN293" s="89"/>
      <c r="BO293" s="89"/>
    </row>
    <row r="294" spans="1:67" ht="15.75" customHeight="1" x14ac:dyDescent="0.3">
      <c r="A294" s="88"/>
      <c r="BG294" s="89"/>
      <c r="BH294" s="89"/>
      <c r="BI294" s="89"/>
      <c r="BJ294" s="89"/>
      <c r="BK294" s="89"/>
      <c r="BL294" s="89"/>
      <c r="BM294" s="89"/>
      <c r="BN294" s="89"/>
      <c r="BO294" s="89"/>
    </row>
    <row r="295" spans="1:67" ht="15.75" customHeight="1" x14ac:dyDescent="0.3">
      <c r="A295" s="88"/>
      <c r="BG295" s="89"/>
      <c r="BH295" s="89"/>
      <c r="BI295" s="89"/>
      <c r="BJ295" s="89"/>
      <c r="BK295" s="89"/>
      <c r="BL295" s="89"/>
      <c r="BM295" s="89"/>
      <c r="BN295" s="89"/>
      <c r="BO295" s="89"/>
    </row>
    <row r="296" spans="1:67" ht="15.75" customHeight="1" x14ac:dyDescent="0.3">
      <c r="A296" s="88"/>
      <c r="BG296" s="89"/>
      <c r="BH296" s="89"/>
      <c r="BI296" s="89"/>
      <c r="BJ296" s="89"/>
      <c r="BK296" s="89"/>
      <c r="BL296" s="89"/>
      <c r="BM296" s="89"/>
      <c r="BN296" s="89"/>
      <c r="BO296" s="89"/>
    </row>
    <row r="297" spans="1:67" ht="15.75" customHeight="1" x14ac:dyDescent="0.3">
      <c r="A297" s="88"/>
      <c r="BG297" s="89"/>
      <c r="BH297" s="89"/>
      <c r="BI297" s="89"/>
      <c r="BJ297" s="89"/>
      <c r="BK297" s="89"/>
      <c r="BL297" s="89"/>
      <c r="BM297" s="89"/>
      <c r="BN297" s="89"/>
      <c r="BO297" s="89"/>
    </row>
    <row r="298" spans="1:67" ht="15.75" customHeight="1" x14ac:dyDescent="0.3">
      <c r="A298" s="88"/>
      <c r="BG298" s="89"/>
      <c r="BH298" s="89"/>
      <c r="BI298" s="89"/>
      <c r="BJ298" s="89"/>
      <c r="BK298" s="89"/>
      <c r="BL298" s="89"/>
      <c r="BM298" s="89"/>
      <c r="BN298" s="89"/>
      <c r="BO298" s="89"/>
    </row>
    <row r="299" spans="1:67" ht="15.75" customHeight="1" x14ac:dyDescent="0.3">
      <c r="A299" s="88"/>
      <c r="BG299" s="89"/>
      <c r="BH299" s="89"/>
      <c r="BI299" s="89"/>
      <c r="BJ299" s="89"/>
      <c r="BK299" s="89"/>
      <c r="BL299" s="89"/>
      <c r="BM299" s="89"/>
      <c r="BN299" s="89"/>
      <c r="BO299" s="89"/>
    </row>
    <row r="300" spans="1:67" ht="15.75" customHeight="1" x14ac:dyDescent="0.3">
      <c r="A300" s="88"/>
      <c r="BG300" s="89"/>
      <c r="BH300" s="89"/>
      <c r="BI300" s="89"/>
      <c r="BJ300" s="89"/>
      <c r="BK300" s="89"/>
      <c r="BL300" s="89"/>
      <c r="BM300" s="89"/>
      <c r="BN300" s="89"/>
      <c r="BO300" s="89"/>
    </row>
    <row r="301" spans="1:67" ht="15.75" customHeight="1" x14ac:dyDescent="0.3">
      <c r="A301" s="88"/>
      <c r="BG301" s="89"/>
      <c r="BH301" s="89"/>
      <c r="BI301" s="89"/>
      <c r="BJ301" s="89"/>
      <c r="BK301" s="89"/>
      <c r="BL301" s="89"/>
      <c r="BM301" s="89"/>
      <c r="BN301" s="89"/>
      <c r="BO301" s="89"/>
    </row>
    <row r="302" spans="1:67" ht="15.75" customHeight="1" x14ac:dyDescent="0.3">
      <c r="A302" s="88"/>
      <c r="BG302" s="89"/>
      <c r="BH302" s="89"/>
      <c r="BI302" s="89"/>
      <c r="BJ302" s="89"/>
      <c r="BK302" s="89"/>
      <c r="BL302" s="89"/>
      <c r="BM302" s="89"/>
      <c r="BN302" s="89"/>
      <c r="BO302" s="89"/>
    </row>
    <row r="303" spans="1:67" ht="15.75" customHeight="1" x14ac:dyDescent="0.3">
      <c r="A303" s="88"/>
      <c r="BG303" s="89"/>
      <c r="BH303" s="89"/>
      <c r="BI303" s="89"/>
      <c r="BJ303" s="89"/>
      <c r="BK303" s="89"/>
      <c r="BL303" s="89"/>
      <c r="BM303" s="89"/>
      <c r="BN303" s="89"/>
      <c r="BO303" s="89"/>
    </row>
    <row r="304" spans="1:67" ht="15.75" customHeight="1" x14ac:dyDescent="0.3">
      <c r="A304" s="88"/>
      <c r="BG304" s="89"/>
      <c r="BH304" s="89"/>
      <c r="BI304" s="89"/>
      <c r="BJ304" s="89"/>
      <c r="BK304" s="89"/>
      <c r="BL304" s="89"/>
      <c r="BM304" s="89"/>
      <c r="BN304" s="89"/>
      <c r="BO304" s="89"/>
    </row>
    <row r="305" spans="1:67" ht="15.75" customHeight="1" x14ac:dyDescent="0.3">
      <c r="A305" s="88"/>
      <c r="BG305" s="89"/>
      <c r="BH305" s="89"/>
      <c r="BI305" s="89"/>
      <c r="BJ305" s="89"/>
      <c r="BK305" s="89"/>
      <c r="BL305" s="89"/>
      <c r="BM305" s="89"/>
      <c r="BN305" s="89"/>
      <c r="BO305" s="89"/>
    </row>
    <row r="306" spans="1:67" ht="15.75" customHeight="1" x14ac:dyDescent="0.3">
      <c r="A306" s="88"/>
      <c r="BG306" s="89"/>
      <c r="BH306" s="89"/>
      <c r="BI306" s="89"/>
      <c r="BJ306" s="89"/>
      <c r="BK306" s="89"/>
      <c r="BL306" s="89"/>
      <c r="BM306" s="89"/>
      <c r="BN306" s="89"/>
      <c r="BO306" s="89"/>
    </row>
    <row r="307" spans="1:67" ht="15.75" customHeight="1" x14ac:dyDescent="0.3">
      <c r="A307" s="88"/>
      <c r="BG307" s="89"/>
      <c r="BH307" s="89"/>
      <c r="BI307" s="89"/>
      <c r="BJ307" s="89"/>
      <c r="BK307" s="89"/>
      <c r="BL307" s="89"/>
      <c r="BM307" s="89"/>
      <c r="BN307" s="89"/>
      <c r="BO307" s="89"/>
    </row>
    <row r="308" spans="1:67" ht="15.75" customHeight="1" x14ac:dyDescent="0.3">
      <c r="A308" s="88"/>
      <c r="BG308" s="89"/>
      <c r="BH308" s="89"/>
      <c r="BI308" s="89"/>
      <c r="BJ308" s="89"/>
      <c r="BK308" s="89"/>
      <c r="BL308" s="89"/>
      <c r="BM308" s="89"/>
      <c r="BN308" s="89"/>
      <c r="BO308" s="89"/>
    </row>
    <row r="309" spans="1:67" ht="15.75" customHeight="1" x14ac:dyDescent="0.3">
      <c r="A309" s="88"/>
      <c r="BG309" s="89"/>
      <c r="BH309" s="89"/>
      <c r="BI309" s="89"/>
      <c r="BJ309" s="89"/>
      <c r="BK309" s="89"/>
      <c r="BL309" s="89"/>
      <c r="BM309" s="89"/>
      <c r="BN309" s="89"/>
      <c r="BO309" s="89"/>
    </row>
    <row r="310" spans="1:67" ht="15.75" customHeight="1" x14ac:dyDescent="0.3">
      <c r="A310" s="88"/>
      <c r="BG310" s="89"/>
      <c r="BH310" s="89"/>
      <c r="BI310" s="89"/>
      <c r="BJ310" s="89"/>
      <c r="BK310" s="89"/>
      <c r="BL310" s="89"/>
      <c r="BM310" s="89"/>
      <c r="BN310" s="89"/>
      <c r="BO310" s="89"/>
    </row>
    <row r="311" spans="1:67" ht="15.75" customHeight="1" x14ac:dyDescent="0.3">
      <c r="A311" s="88"/>
      <c r="BG311" s="89"/>
      <c r="BH311" s="89"/>
      <c r="BI311" s="89"/>
      <c r="BJ311" s="89"/>
      <c r="BK311" s="89"/>
      <c r="BL311" s="89"/>
      <c r="BM311" s="89"/>
      <c r="BN311" s="89"/>
      <c r="BO311" s="89"/>
    </row>
    <row r="312" spans="1:67" ht="15.75" customHeight="1" x14ac:dyDescent="0.3">
      <c r="A312" s="88"/>
      <c r="BG312" s="89"/>
      <c r="BH312" s="89"/>
      <c r="BI312" s="89"/>
      <c r="BJ312" s="89"/>
      <c r="BK312" s="89"/>
      <c r="BL312" s="89"/>
      <c r="BM312" s="89"/>
      <c r="BN312" s="89"/>
      <c r="BO312" s="89"/>
    </row>
    <row r="313" spans="1:67" ht="15.75" customHeight="1" x14ac:dyDescent="0.3">
      <c r="A313" s="88"/>
      <c r="BG313" s="89"/>
      <c r="BH313" s="89"/>
      <c r="BI313" s="89"/>
      <c r="BJ313" s="89"/>
      <c r="BK313" s="89"/>
      <c r="BL313" s="89"/>
      <c r="BM313" s="89"/>
      <c r="BN313" s="89"/>
      <c r="BO313" s="89"/>
    </row>
    <row r="314" spans="1:67" ht="15.75" customHeight="1" x14ac:dyDescent="0.3">
      <c r="A314" s="88"/>
      <c r="BG314" s="89"/>
      <c r="BH314" s="89"/>
      <c r="BI314" s="89"/>
      <c r="BJ314" s="89"/>
      <c r="BK314" s="89"/>
      <c r="BL314" s="89"/>
      <c r="BM314" s="89"/>
      <c r="BN314" s="89"/>
      <c r="BO314" s="89"/>
    </row>
    <row r="315" spans="1:67" ht="15.75" customHeight="1" x14ac:dyDescent="0.3">
      <c r="A315" s="88"/>
      <c r="BG315" s="89"/>
      <c r="BH315" s="89"/>
      <c r="BI315" s="89"/>
      <c r="BJ315" s="89"/>
      <c r="BK315" s="89"/>
      <c r="BL315" s="89"/>
      <c r="BM315" s="89"/>
      <c r="BN315" s="89"/>
      <c r="BO315" s="89"/>
    </row>
    <row r="316" spans="1:67" ht="15.75" customHeight="1" x14ac:dyDescent="0.3">
      <c r="A316" s="88"/>
      <c r="BG316" s="89"/>
      <c r="BH316" s="89"/>
      <c r="BI316" s="89"/>
      <c r="BJ316" s="89"/>
      <c r="BK316" s="89"/>
      <c r="BL316" s="89"/>
      <c r="BM316" s="89"/>
      <c r="BN316" s="89"/>
      <c r="BO316" s="89"/>
    </row>
    <row r="317" spans="1:67" ht="15.75" customHeight="1" x14ac:dyDescent="0.3">
      <c r="A317" s="88"/>
      <c r="BG317" s="89"/>
      <c r="BH317" s="89"/>
      <c r="BI317" s="89"/>
      <c r="BJ317" s="89"/>
      <c r="BK317" s="89"/>
      <c r="BL317" s="89"/>
      <c r="BM317" s="89"/>
      <c r="BN317" s="89"/>
      <c r="BO317" s="89"/>
    </row>
    <row r="318" spans="1:67" ht="15.75" customHeight="1" x14ac:dyDescent="0.3">
      <c r="A318" s="88"/>
      <c r="BG318" s="89"/>
      <c r="BH318" s="89"/>
      <c r="BI318" s="89"/>
      <c r="BJ318" s="89"/>
      <c r="BK318" s="89"/>
      <c r="BL318" s="89"/>
      <c r="BM318" s="89"/>
      <c r="BN318" s="89"/>
      <c r="BO318" s="89"/>
    </row>
    <row r="319" spans="1:67" ht="15.75" customHeight="1" x14ac:dyDescent="0.3">
      <c r="A319" s="88"/>
      <c r="BG319" s="89"/>
      <c r="BH319" s="89"/>
      <c r="BI319" s="89"/>
      <c r="BJ319" s="89"/>
      <c r="BK319" s="89"/>
      <c r="BL319" s="89"/>
      <c r="BM319" s="89"/>
      <c r="BN319" s="89"/>
      <c r="BO319" s="89"/>
    </row>
    <row r="320" spans="1:67" ht="15.75" customHeight="1" x14ac:dyDescent="0.3">
      <c r="A320" s="88"/>
      <c r="BG320" s="89"/>
      <c r="BH320" s="89"/>
      <c r="BI320" s="89"/>
      <c r="BJ320" s="89"/>
      <c r="BK320" s="89"/>
      <c r="BL320" s="89"/>
      <c r="BM320" s="89"/>
      <c r="BN320" s="89"/>
      <c r="BO320" s="89"/>
    </row>
    <row r="321" spans="1:67" ht="15.75" customHeight="1" x14ac:dyDescent="0.3">
      <c r="A321" s="88"/>
      <c r="BG321" s="89"/>
      <c r="BH321" s="89"/>
      <c r="BI321" s="89"/>
      <c r="BJ321" s="89"/>
      <c r="BK321" s="89"/>
      <c r="BL321" s="89"/>
      <c r="BM321" s="89"/>
      <c r="BN321" s="89"/>
      <c r="BO321" s="89"/>
    </row>
    <row r="322" spans="1:67" ht="15.75" customHeight="1" x14ac:dyDescent="0.3">
      <c r="A322" s="88"/>
      <c r="BG322" s="89"/>
      <c r="BH322" s="89"/>
      <c r="BI322" s="89"/>
      <c r="BJ322" s="89"/>
      <c r="BK322" s="89"/>
      <c r="BL322" s="89"/>
      <c r="BM322" s="89"/>
      <c r="BN322" s="89"/>
      <c r="BO322" s="89"/>
    </row>
    <row r="323" spans="1:67" ht="15.75" customHeight="1" x14ac:dyDescent="0.3">
      <c r="A323" s="88"/>
      <c r="BG323" s="89"/>
      <c r="BH323" s="89"/>
      <c r="BI323" s="89"/>
      <c r="BJ323" s="89"/>
      <c r="BK323" s="89"/>
      <c r="BL323" s="89"/>
      <c r="BM323" s="89"/>
      <c r="BN323" s="89"/>
      <c r="BO323" s="89"/>
    </row>
    <row r="324" spans="1:67" ht="15.75" customHeight="1" x14ac:dyDescent="0.3">
      <c r="A324" s="88"/>
      <c r="BG324" s="89"/>
      <c r="BH324" s="89"/>
      <c r="BI324" s="89"/>
      <c r="BJ324" s="89"/>
      <c r="BK324" s="89"/>
      <c r="BL324" s="89"/>
      <c r="BM324" s="89"/>
      <c r="BN324" s="89"/>
      <c r="BO324" s="89"/>
    </row>
    <row r="325" spans="1:67" ht="15.75" customHeight="1" x14ac:dyDescent="0.3">
      <c r="A325" s="88"/>
      <c r="BG325" s="89"/>
      <c r="BH325" s="89"/>
      <c r="BI325" s="89"/>
      <c r="BJ325" s="89"/>
      <c r="BK325" s="89"/>
      <c r="BL325" s="89"/>
      <c r="BM325" s="89"/>
      <c r="BN325" s="89"/>
      <c r="BO325" s="89"/>
    </row>
    <row r="326" spans="1:67" ht="15.75" customHeight="1" x14ac:dyDescent="0.3">
      <c r="A326" s="88"/>
      <c r="BG326" s="89"/>
      <c r="BH326" s="89"/>
      <c r="BI326" s="89"/>
      <c r="BJ326" s="89"/>
      <c r="BK326" s="89"/>
      <c r="BL326" s="89"/>
      <c r="BM326" s="89"/>
      <c r="BN326" s="89"/>
      <c r="BO326" s="89"/>
    </row>
    <row r="327" spans="1:67" ht="15.75" customHeight="1" x14ac:dyDescent="0.3">
      <c r="A327" s="88"/>
      <c r="BG327" s="89"/>
      <c r="BH327" s="89"/>
      <c r="BI327" s="89"/>
      <c r="BJ327" s="89"/>
      <c r="BK327" s="89"/>
      <c r="BL327" s="89"/>
      <c r="BM327" s="89"/>
      <c r="BN327" s="89"/>
      <c r="BO327" s="89"/>
    </row>
    <row r="328" spans="1:67" ht="15.75" customHeight="1" x14ac:dyDescent="0.3">
      <c r="A328" s="88"/>
      <c r="BG328" s="89"/>
      <c r="BH328" s="89"/>
      <c r="BI328" s="89"/>
      <c r="BJ328" s="89"/>
      <c r="BK328" s="89"/>
      <c r="BL328" s="89"/>
      <c r="BM328" s="89"/>
      <c r="BN328" s="89"/>
      <c r="BO328" s="89"/>
    </row>
    <row r="329" spans="1:67" ht="15.75" customHeight="1" x14ac:dyDescent="0.3">
      <c r="A329" s="88"/>
      <c r="BG329" s="89"/>
      <c r="BH329" s="89"/>
      <c r="BI329" s="89"/>
      <c r="BJ329" s="89"/>
      <c r="BK329" s="89"/>
      <c r="BL329" s="89"/>
      <c r="BM329" s="89"/>
      <c r="BN329" s="89"/>
      <c r="BO329" s="89"/>
    </row>
    <row r="330" spans="1:67" ht="15.75" customHeight="1" x14ac:dyDescent="0.3">
      <c r="A330" s="88"/>
      <c r="BG330" s="89"/>
      <c r="BH330" s="89"/>
      <c r="BI330" s="89"/>
      <c r="BJ330" s="89"/>
      <c r="BK330" s="89"/>
      <c r="BL330" s="89"/>
      <c r="BM330" s="89"/>
      <c r="BN330" s="89"/>
      <c r="BO330" s="89"/>
    </row>
    <row r="331" spans="1:67" ht="15.75" customHeight="1" x14ac:dyDescent="0.3">
      <c r="A331" s="88"/>
      <c r="BG331" s="89"/>
      <c r="BH331" s="89"/>
      <c r="BI331" s="89"/>
      <c r="BJ331" s="89"/>
      <c r="BK331" s="89"/>
      <c r="BL331" s="89"/>
      <c r="BM331" s="89"/>
      <c r="BN331" s="89"/>
      <c r="BO331" s="89"/>
    </row>
    <row r="332" spans="1:67" ht="15.75" customHeight="1" x14ac:dyDescent="0.3">
      <c r="A332" s="88"/>
      <c r="BG332" s="89"/>
      <c r="BH332" s="89"/>
      <c r="BI332" s="89"/>
      <c r="BJ332" s="89"/>
      <c r="BK332" s="89"/>
      <c r="BL332" s="89"/>
      <c r="BM332" s="89"/>
      <c r="BN332" s="89"/>
      <c r="BO332" s="89"/>
    </row>
    <row r="333" spans="1:67" ht="15.75" customHeight="1" x14ac:dyDescent="0.3">
      <c r="A333" s="88"/>
      <c r="BG333" s="89"/>
      <c r="BH333" s="89"/>
      <c r="BI333" s="89"/>
      <c r="BJ333" s="89"/>
      <c r="BK333" s="89"/>
      <c r="BL333" s="89"/>
      <c r="BM333" s="89"/>
      <c r="BN333" s="89"/>
      <c r="BO333" s="89"/>
    </row>
    <row r="334" spans="1:67" ht="15.75" customHeight="1" x14ac:dyDescent="0.3">
      <c r="A334" s="88"/>
      <c r="BG334" s="89"/>
      <c r="BH334" s="89"/>
      <c r="BI334" s="89"/>
      <c r="BJ334" s="89"/>
      <c r="BK334" s="89"/>
      <c r="BL334" s="89"/>
      <c r="BM334" s="89"/>
      <c r="BN334" s="89"/>
      <c r="BO334" s="89"/>
    </row>
    <row r="335" spans="1:67" ht="15.75" customHeight="1" x14ac:dyDescent="0.3">
      <c r="A335" s="88"/>
      <c r="BG335" s="89"/>
      <c r="BH335" s="89"/>
      <c r="BI335" s="89"/>
      <c r="BJ335" s="89"/>
      <c r="BK335" s="89"/>
      <c r="BL335" s="89"/>
      <c r="BM335" s="89"/>
      <c r="BN335" s="89"/>
      <c r="BO335" s="89"/>
    </row>
    <row r="336" spans="1:67" ht="15.75" customHeight="1" x14ac:dyDescent="0.3">
      <c r="A336" s="88"/>
      <c r="BG336" s="89"/>
      <c r="BH336" s="89"/>
      <c r="BI336" s="89"/>
      <c r="BJ336" s="89"/>
      <c r="BK336" s="89"/>
      <c r="BL336" s="89"/>
      <c r="BM336" s="89"/>
      <c r="BN336" s="89"/>
      <c r="BO336" s="89"/>
    </row>
    <row r="337" spans="1:67" ht="15.75" customHeight="1" x14ac:dyDescent="0.3">
      <c r="A337" s="88"/>
      <c r="BG337" s="89"/>
      <c r="BH337" s="89"/>
      <c r="BI337" s="89"/>
      <c r="BJ337" s="89"/>
      <c r="BK337" s="89"/>
      <c r="BL337" s="89"/>
      <c r="BM337" s="89"/>
      <c r="BN337" s="89"/>
      <c r="BO337" s="89"/>
    </row>
    <row r="338" spans="1:67" ht="15.75" customHeight="1" x14ac:dyDescent="0.3">
      <c r="A338" s="88"/>
      <c r="BG338" s="89"/>
      <c r="BH338" s="89"/>
      <c r="BI338" s="89"/>
      <c r="BJ338" s="89"/>
      <c r="BK338" s="89"/>
      <c r="BL338" s="89"/>
      <c r="BM338" s="89"/>
      <c r="BN338" s="89"/>
      <c r="BO338" s="89"/>
    </row>
    <row r="339" spans="1:67" ht="15.75" customHeight="1" x14ac:dyDescent="0.3">
      <c r="A339" s="88"/>
      <c r="BG339" s="89"/>
      <c r="BH339" s="89"/>
      <c r="BI339" s="89"/>
      <c r="BJ339" s="89"/>
      <c r="BK339" s="89"/>
      <c r="BL339" s="89"/>
      <c r="BM339" s="89"/>
      <c r="BN339" s="89"/>
      <c r="BO339" s="89"/>
    </row>
    <row r="340" spans="1:67" ht="15.75" customHeight="1" x14ac:dyDescent="0.3">
      <c r="A340" s="88"/>
      <c r="BG340" s="89"/>
      <c r="BH340" s="89"/>
      <c r="BI340" s="89"/>
      <c r="BJ340" s="89"/>
      <c r="BK340" s="89"/>
      <c r="BL340" s="89"/>
      <c r="BM340" s="89"/>
      <c r="BN340" s="89"/>
      <c r="BO340" s="89"/>
    </row>
    <row r="341" spans="1:67" ht="15.75" customHeight="1" x14ac:dyDescent="0.3">
      <c r="A341" s="88"/>
      <c r="BG341" s="89"/>
      <c r="BH341" s="89"/>
      <c r="BI341" s="89"/>
      <c r="BJ341" s="89"/>
      <c r="BK341" s="89"/>
      <c r="BL341" s="89"/>
      <c r="BM341" s="89"/>
      <c r="BN341" s="89"/>
      <c r="BO341" s="89"/>
    </row>
    <row r="342" spans="1:67" ht="15.75" customHeight="1" x14ac:dyDescent="0.3">
      <c r="A342" s="88"/>
      <c r="BG342" s="89"/>
      <c r="BH342" s="89"/>
      <c r="BI342" s="89"/>
      <c r="BJ342" s="89"/>
      <c r="BK342" s="89"/>
      <c r="BL342" s="89"/>
      <c r="BM342" s="89"/>
      <c r="BN342" s="89"/>
      <c r="BO342" s="89"/>
    </row>
    <row r="343" spans="1:67" ht="15.75" customHeight="1" x14ac:dyDescent="0.3">
      <c r="A343" s="88"/>
      <c r="BG343" s="89"/>
      <c r="BH343" s="89"/>
      <c r="BI343" s="89"/>
      <c r="BJ343" s="89"/>
      <c r="BK343" s="89"/>
      <c r="BL343" s="89"/>
      <c r="BM343" s="89"/>
      <c r="BN343" s="89"/>
      <c r="BO343" s="89"/>
    </row>
    <row r="344" spans="1:67" ht="15.75" customHeight="1" x14ac:dyDescent="0.3">
      <c r="A344" s="88"/>
      <c r="BG344" s="89"/>
      <c r="BH344" s="89"/>
      <c r="BI344" s="89"/>
      <c r="BJ344" s="89"/>
      <c r="BK344" s="89"/>
      <c r="BL344" s="89"/>
      <c r="BM344" s="89"/>
      <c r="BN344" s="89"/>
      <c r="BO344" s="89"/>
    </row>
    <row r="345" spans="1:67" ht="15.75" customHeight="1" x14ac:dyDescent="0.3">
      <c r="A345" s="88"/>
      <c r="BG345" s="89"/>
      <c r="BH345" s="89"/>
      <c r="BI345" s="89"/>
      <c r="BJ345" s="89"/>
      <c r="BK345" s="89"/>
      <c r="BL345" s="89"/>
      <c r="BM345" s="89"/>
      <c r="BN345" s="89"/>
      <c r="BO345" s="89"/>
    </row>
    <row r="346" spans="1:67" ht="15.75" customHeight="1" x14ac:dyDescent="0.3">
      <c r="A346" s="88"/>
      <c r="BG346" s="89"/>
      <c r="BH346" s="89"/>
      <c r="BI346" s="89"/>
      <c r="BJ346" s="89"/>
      <c r="BK346" s="89"/>
      <c r="BL346" s="89"/>
      <c r="BM346" s="89"/>
      <c r="BN346" s="89"/>
      <c r="BO346" s="89"/>
    </row>
    <row r="347" spans="1:67" ht="15.75" customHeight="1" x14ac:dyDescent="0.3">
      <c r="A347" s="88"/>
      <c r="BG347" s="89"/>
      <c r="BH347" s="89"/>
      <c r="BI347" s="89"/>
      <c r="BJ347" s="89"/>
      <c r="BK347" s="89"/>
      <c r="BL347" s="89"/>
      <c r="BM347" s="89"/>
      <c r="BN347" s="89"/>
      <c r="BO347" s="89"/>
    </row>
    <row r="348" spans="1:67" ht="15.75" customHeight="1" x14ac:dyDescent="0.3">
      <c r="A348" s="88"/>
      <c r="BG348" s="89"/>
      <c r="BH348" s="89"/>
      <c r="BI348" s="89"/>
      <c r="BJ348" s="89"/>
      <c r="BK348" s="89"/>
      <c r="BL348" s="89"/>
      <c r="BM348" s="89"/>
      <c r="BN348" s="89"/>
      <c r="BO348" s="89"/>
    </row>
    <row r="349" spans="1:67" ht="15.75" customHeight="1" x14ac:dyDescent="0.3">
      <c r="A349" s="88"/>
      <c r="BG349" s="89"/>
      <c r="BH349" s="89"/>
      <c r="BI349" s="89"/>
      <c r="BJ349" s="89"/>
      <c r="BK349" s="89"/>
      <c r="BL349" s="89"/>
      <c r="BM349" s="89"/>
      <c r="BN349" s="89"/>
      <c r="BO349" s="89"/>
    </row>
    <row r="350" spans="1:67" ht="15.75" customHeight="1" x14ac:dyDescent="0.3">
      <c r="A350" s="88"/>
      <c r="BG350" s="89"/>
      <c r="BH350" s="89"/>
      <c r="BI350" s="89"/>
      <c r="BJ350" s="89"/>
      <c r="BK350" s="89"/>
      <c r="BL350" s="89"/>
      <c r="BM350" s="89"/>
      <c r="BN350" s="89"/>
      <c r="BO350" s="89"/>
    </row>
    <row r="351" spans="1:67" ht="15.75" customHeight="1" x14ac:dyDescent="0.3">
      <c r="A351" s="88"/>
      <c r="BG351" s="89"/>
      <c r="BH351" s="89"/>
      <c r="BI351" s="89"/>
      <c r="BJ351" s="89"/>
      <c r="BK351" s="89"/>
      <c r="BL351" s="89"/>
      <c r="BM351" s="89"/>
      <c r="BN351" s="89"/>
      <c r="BO351" s="89"/>
    </row>
    <row r="352" spans="1:67" ht="15.75" customHeight="1" x14ac:dyDescent="0.3">
      <c r="A352" s="88"/>
      <c r="BG352" s="89"/>
      <c r="BH352" s="89"/>
      <c r="BI352" s="89"/>
      <c r="BJ352" s="89"/>
      <c r="BK352" s="89"/>
      <c r="BL352" s="89"/>
      <c r="BM352" s="89"/>
      <c r="BN352" s="89"/>
      <c r="BO352" s="89"/>
    </row>
    <row r="353" spans="1:67" ht="15.75" customHeight="1" x14ac:dyDescent="0.3">
      <c r="A353" s="88"/>
      <c r="BG353" s="89"/>
      <c r="BH353" s="89"/>
      <c r="BI353" s="89"/>
      <c r="BJ353" s="89"/>
      <c r="BK353" s="89"/>
      <c r="BL353" s="89"/>
      <c r="BM353" s="89"/>
      <c r="BN353" s="89"/>
      <c r="BO353" s="89"/>
    </row>
    <row r="354" spans="1:67" ht="15.75" customHeight="1" x14ac:dyDescent="0.3">
      <c r="A354" s="88"/>
      <c r="BG354" s="89"/>
      <c r="BH354" s="89"/>
      <c r="BI354" s="89"/>
      <c r="BJ354" s="89"/>
      <c r="BK354" s="89"/>
      <c r="BL354" s="89"/>
      <c r="BM354" s="89"/>
      <c r="BN354" s="89"/>
      <c r="BO354" s="89"/>
    </row>
    <row r="355" spans="1:67" ht="15.75" customHeight="1" x14ac:dyDescent="0.3">
      <c r="A355" s="88"/>
      <c r="BG355" s="89"/>
      <c r="BH355" s="89"/>
      <c r="BI355" s="89"/>
      <c r="BJ355" s="89"/>
      <c r="BK355" s="89"/>
      <c r="BL355" s="89"/>
      <c r="BM355" s="89"/>
      <c r="BN355" s="89"/>
      <c r="BO355" s="89"/>
    </row>
    <row r="356" spans="1:67" ht="15.75" customHeight="1" x14ac:dyDescent="0.3">
      <c r="A356" s="88"/>
      <c r="BG356" s="89"/>
      <c r="BH356" s="89"/>
      <c r="BI356" s="89"/>
      <c r="BJ356" s="89"/>
      <c r="BK356" s="89"/>
      <c r="BL356" s="89"/>
      <c r="BM356" s="89"/>
      <c r="BN356" s="89"/>
      <c r="BO356" s="89"/>
    </row>
    <row r="357" spans="1:67" ht="15.75" customHeight="1" x14ac:dyDescent="0.3">
      <c r="A357" s="88"/>
      <c r="BG357" s="89"/>
      <c r="BH357" s="89"/>
      <c r="BI357" s="89"/>
      <c r="BJ357" s="89"/>
      <c r="BK357" s="89"/>
      <c r="BL357" s="89"/>
      <c r="BM357" s="89"/>
      <c r="BN357" s="89"/>
      <c r="BO357" s="89"/>
    </row>
    <row r="358" spans="1:67" ht="15.75" customHeight="1" x14ac:dyDescent="0.3">
      <c r="A358" s="88"/>
      <c r="BG358" s="89"/>
      <c r="BH358" s="89"/>
      <c r="BI358" s="89"/>
      <c r="BJ358" s="89"/>
      <c r="BK358" s="89"/>
      <c r="BL358" s="89"/>
      <c r="BM358" s="89"/>
      <c r="BN358" s="89"/>
      <c r="BO358" s="89"/>
    </row>
    <row r="359" spans="1:67" ht="15.75" customHeight="1" x14ac:dyDescent="0.3">
      <c r="A359" s="88"/>
      <c r="BG359" s="89"/>
      <c r="BH359" s="89"/>
      <c r="BI359" s="89"/>
      <c r="BJ359" s="89"/>
      <c r="BK359" s="89"/>
      <c r="BL359" s="89"/>
      <c r="BM359" s="89"/>
      <c r="BN359" s="89"/>
      <c r="BO359" s="89"/>
    </row>
    <row r="360" spans="1:67" ht="15.75" customHeight="1" x14ac:dyDescent="0.3">
      <c r="A360" s="88"/>
      <c r="BG360" s="89"/>
      <c r="BH360" s="89"/>
      <c r="BI360" s="89"/>
      <c r="BJ360" s="89"/>
      <c r="BK360" s="89"/>
      <c r="BL360" s="89"/>
      <c r="BM360" s="89"/>
      <c r="BN360" s="89"/>
      <c r="BO360" s="89"/>
    </row>
    <row r="361" spans="1:67" ht="15.75" customHeight="1" x14ac:dyDescent="0.3">
      <c r="A361" s="88"/>
      <c r="BG361" s="89"/>
      <c r="BH361" s="89"/>
      <c r="BI361" s="89"/>
      <c r="BJ361" s="89"/>
      <c r="BK361" s="89"/>
      <c r="BL361" s="89"/>
      <c r="BM361" s="89"/>
      <c r="BN361" s="89"/>
      <c r="BO361" s="89"/>
    </row>
    <row r="362" spans="1:67" ht="15.75" customHeight="1" x14ac:dyDescent="0.3">
      <c r="A362" s="88"/>
      <c r="BG362" s="89"/>
      <c r="BH362" s="89"/>
      <c r="BI362" s="89"/>
      <c r="BJ362" s="89"/>
      <c r="BK362" s="89"/>
      <c r="BL362" s="89"/>
      <c r="BM362" s="89"/>
      <c r="BN362" s="89"/>
      <c r="BO362" s="89"/>
    </row>
    <row r="363" spans="1:67" ht="15.75" customHeight="1" x14ac:dyDescent="0.3">
      <c r="A363" s="88"/>
      <c r="BG363" s="89"/>
      <c r="BH363" s="89"/>
      <c r="BI363" s="89"/>
      <c r="BJ363" s="89"/>
      <c r="BK363" s="89"/>
      <c r="BL363" s="89"/>
      <c r="BM363" s="89"/>
      <c r="BN363" s="89"/>
      <c r="BO363" s="89"/>
    </row>
    <row r="364" spans="1:67" ht="15.75" customHeight="1" x14ac:dyDescent="0.3">
      <c r="A364" s="88"/>
      <c r="BG364" s="89"/>
      <c r="BH364" s="89"/>
      <c r="BI364" s="89"/>
      <c r="BJ364" s="89"/>
      <c r="BK364" s="89"/>
      <c r="BL364" s="89"/>
      <c r="BM364" s="89"/>
      <c r="BN364" s="89"/>
      <c r="BO364" s="89"/>
    </row>
    <row r="365" spans="1:67" ht="15.75" customHeight="1" x14ac:dyDescent="0.3">
      <c r="A365" s="88"/>
      <c r="BG365" s="89"/>
      <c r="BH365" s="89"/>
      <c r="BI365" s="89"/>
      <c r="BJ365" s="89"/>
      <c r="BK365" s="89"/>
      <c r="BL365" s="89"/>
      <c r="BM365" s="89"/>
      <c r="BN365" s="89"/>
      <c r="BO365" s="89"/>
    </row>
    <row r="366" spans="1:67" ht="15.75" customHeight="1" x14ac:dyDescent="0.3">
      <c r="A366" s="88"/>
      <c r="BG366" s="89"/>
      <c r="BH366" s="89"/>
      <c r="BI366" s="89"/>
      <c r="BJ366" s="89"/>
      <c r="BK366" s="89"/>
      <c r="BL366" s="89"/>
      <c r="BM366" s="89"/>
      <c r="BN366" s="89"/>
      <c r="BO366" s="89"/>
    </row>
    <row r="367" spans="1:67" ht="15.75" customHeight="1" x14ac:dyDescent="0.3">
      <c r="A367" s="88"/>
      <c r="BG367" s="89"/>
      <c r="BH367" s="89"/>
      <c r="BI367" s="89"/>
      <c r="BJ367" s="89"/>
      <c r="BK367" s="89"/>
      <c r="BL367" s="89"/>
      <c r="BM367" s="89"/>
      <c r="BN367" s="89"/>
      <c r="BO367" s="89"/>
    </row>
    <row r="368" spans="1:67" ht="15.75" customHeight="1" x14ac:dyDescent="0.3">
      <c r="A368" s="88"/>
      <c r="BG368" s="89"/>
      <c r="BH368" s="89"/>
      <c r="BI368" s="89"/>
      <c r="BJ368" s="89"/>
      <c r="BK368" s="89"/>
      <c r="BL368" s="89"/>
      <c r="BM368" s="89"/>
      <c r="BN368" s="89"/>
      <c r="BO368" s="89"/>
    </row>
    <row r="369" spans="1:67" ht="15.75" customHeight="1" x14ac:dyDescent="0.3">
      <c r="A369" s="88"/>
      <c r="BG369" s="89"/>
      <c r="BH369" s="89"/>
      <c r="BI369" s="89"/>
      <c r="BJ369" s="89"/>
      <c r="BK369" s="89"/>
      <c r="BL369" s="89"/>
      <c r="BM369" s="89"/>
      <c r="BN369" s="89"/>
      <c r="BO369" s="89"/>
    </row>
    <row r="370" spans="1:67" ht="15.75" customHeight="1" x14ac:dyDescent="0.3">
      <c r="A370" s="88"/>
      <c r="BG370" s="89"/>
      <c r="BH370" s="89"/>
      <c r="BI370" s="89"/>
      <c r="BJ370" s="89"/>
      <c r="BK370" s="89"/>
      <c r="BL370" s="89"/>
      <c r="BM370" s="89"/>
      <c r="BN370" s="89"/>
      <c r="BO370" s="89"/>
    </row>
    <row r="371" spans="1:67" ht="15.75" customHeight="1" x14ac:dyDescent="0.3">
      <c r="A371" s="88"/>
      <c r="BG371" s="89"/>
      <c r="BH371" s="89"/>
      <c r="BI371" s="89"/>
      <c r="BJ371" s="89"/>
      <c r="BK371" s="89"/>
      <c r="BL371" s="89"/>
      <c r="BM371" s="89"/>
      <c r="BN371" s="89"/>
      <c r="BO371" s="89"/>
    </row>
    <row r="372" spans="1:67" ht="15.75" customHeight="1" x14ac:dyDescent="0.3">
      <c r="A372" s="88"/>
      <c r="BG372" s="89"/>
      <c r="BH372" s="89"/>
      <c r="BI372" s="89"/>
      <c r="BJ372" s="89"/>
      <c r="BK372" s="89"/>
      <c r="BL372" s="89"/>
      <c r="BM372" s="89"/>
      <c r="BN372" s="89"/>
      <c r="BO372" s="89"/>
    </row>
    <row r="373" spans="1:67" ht="15.75" customHeight="1" x14ac:dyDescent="0.3">
      <c r="A373" s="88"/>
      <c r="BG373" s="89"/>
      <c r="BH373" s="89"/>
      <c r="BI373" s="89"/>
      <c r="BJ373" s="89"/>
      <c r="BK373" s="89"/>
      <c r="BL373" s="89"/>
      <c r="BM373" s="89"/>
      <c r="BN373" s="89"/>
      <c r="BO373" s="89"/>
    </row>
    <row r="374" spans="1:67" ht="15.75" customHeight="1" x14ac:dyDescent="0.3">
      <c r="A374" s="88"/>
      <c r="BG374" s="89"/>
      <c r="BH374" s="89"/>
      <c r="BI374" s="89"/>
      <c r="BJ374" s="89"/>
      <c r="BK374" s="89"/>
      <c r="BL374" s="89"/>
      <c r="BM374" s="89"/>
      <c r="BN374" s="89"/>
      <c r="BO374" s="89"/>
    </row>
    <row r="375" spans="1:67" ht="15.75" customHeight="1" x14ac:dyDescent="0.3">
      <c r="A375" s="88"/>
      <c r="BG375" s="89"/>
      <c r="BH375" s="89"/>
      <c r="BI375" s="89"/>
      <c r="BJ375" s="89"/>
      <c r="BK375" s="89"/>
      <c r="BL375" s="89"/>
      <c r="BM375" s="89"/>
      <c r="BN375" s="89"/>
      <c r="BO375" s="89"/>
    </row>
    <row r="376" spans="1:67" ht="15.75" customHeight="1" x14ac:dyDescent="0.3">
      <c r="A376" s="88"/>
      <c r="BG376" s="89"/>
      <c r="BH376" s="89"/>
      <c r="BI376" s="89"/>
      <c r="BJ376" s="89"/>
      <c r="BK376" s="89"/>
      <c r="BL376" s="89"/>
      <c r="BM376" s="89"/>
      <c r="BN376" s="89"/>
      <c r="BO376" s="89"/>
    </row>
    <row r="377" spans="1:67" ht="15.75" customHeight="1" x14ac:dyDescent="0.3">
      <c r="A377" s="88"/>
      <c r="BG377" s="89"/>
      <c r="BH377" s="89"/>
      <c r="BI377" s="89"/>
      <c r="BJ377" s="89"/>
      <c r="BK377" s="89"/>
      <c r="BL377" s="89"/>
      <c r="BM377" s="89"/>
      <c r="BN377" s="89"/>
      <c r="BO377" s="89"/>
    </row>
    <row r="378" spans="1:67" ht="15.75" customHeight="1" x14ac:dyDescent="0.3">
      <c r="A378" s="88"/>
      <c r="BG378" s="89"/>
      <c r="BH378" s="89"/>
      <c r="BI378" s="89"/>
      <c r="BJ378" s="89"/>
      <c r="BK378" s="89"/>
      <c r="BL378" s="89"/>
      <c r="BM378" s="89"/>
      <c r="BN378" s="89"/>
      <c r="BO378" s="89"/>
    </row>
    <row r="379" spans="1:67" ht="15.75" customHeight="1" x14ac:dyDescent="0.3">
      <c r="A379" s="88"/>
      <c r="BG379" s="89"/>
      <c r="BH379" s="89"/>
      <c r="BI379" s="89"/>
      <c r="BJ379" s="89"/>
      <c r="BK379" s="89"/>
      <c r="BL379" s="89"/>
      <c r="BM379" s="89"/>
      <c r="BN379" s="89"/>
      <c r="BO379" s="89"/>
    </row>
    <row r="380" spans="1:67" ht="15.75" customHeight="1" x14ac:dyDescent="0.3">
      <c r="A380" s="88"/>
      <c r="BG380" s="89"/>
      <c r="BH380" s="89"/>
      <c r="BI380" s="89"/>
      <c r="BJ380" s="89"/>
      <c r="BK380" s="89"/>
      <c r="BL380" s="89"/>
      <c r="BM380" s="89"/>
      <c r="BN380" s="89"/>
      <c r="BO380" s="89"/>
    </row>
    <row r="381" spans="1:67" ht="15.75" customHeight="1" x14ac:dyDescent="0.3">
      <c r="A381" s="88"/>
      <c r="BG381" s="89"/>
      <c r="BH381" s="89"/>
      <c r="BI381" s="89"/>
      <c r="BJ381" s="89"/>
      <c r="BK381" s="89"/>
      <c r="BL381" s="89"/>
      <c r="BM381" s="89"/>
      <c r="BN381" s="89"/>
      <c r="BO381" s="89"/>
    </row>
    <row r="382" spans="1:67" ht="15.75" customHeight="1" x14ac:dyDescent="0.3">
      <c r="A382" s="88"/>
      <c r="BG382" s="89"/>
      <c r="BH382" s="89"/>
      <c r="BI382" s="89"/>
      <c r="BJ382" s="89"/>
      <c r="BK382" s="89"/>
      <c r="BL382" s="89"/>
      <c r="BM382" s="89"/>
      <c r="BN382" s="89"/>
      <c r="BO382" s="89"/>
    </row>
    <row r="383" spans="1:67" ht="15.75" customHeight="1" x14ac:dyDescent="0.3">
      <c r="A383" s="88"/>
      <c r="BG383" s="89"/>
      <c r="BH383" s="89"/>
      <c r="BI383" s="89"/>
      <c r="BJ383" s="89"/>
      <c r="BK383" s="89"/>
      <c r="BL383" s="89"/>
      <c r="BM383" s="89"/>
      <c r="BN383" s="89"/>
      <c r="BO383" s="89"/>
    </row>
    <row r="384" spans="1:67" ht="15.75" customHeight="1" x14ac:dyDescent="0.3">
      <c r="A384" s="88"/>
      <c r="BG384" s="89"/>
      <c r="BH384" s="89"/>
      <c r="BI384" s="89"/>
      <c r="BJ384" s="89"/>
      <c r="BK384" s="89"/>
      <c r="BL384" s="89"/>
      <c r="BM384" s="89"/>
      <c r="BN384" s="89"/>
      <c r="BO384" s="89"/>
    </row>
    <row r="385" spans="1:67" ht="15.75" customHeight="1" x14ac:dyDescent="0.3">
      <c r="A385" s="88"/>
      <c r="BG385" s="89"/>
      <c r="BH385" s="89"/>
      <c r="BI385" s="89"/>
      <c r="BJ385" s="89"/>
      <c r="BK385" s="89"/>
      <c r="BL385" s="89"/>
      <c r="BM385" s="89"/>
      <c r="BN385" s="89"/>
      <c r="BO385" s="89"/>
    </row>
    <row r="386" spans="1:67" ht="15.75" customHeight="1" x14ac:dyDescent="0.3">
      <c r="A386" s="88"/>
      <c r="BG386" s="89"/>
      <c r="BH386" s="89"/>
      <c r="BI386" s="89"/>
      <c r="BJ386" s="89"/>
      <c r="BK386" s="89"/>
      <c r="BL386" s="89"/>
      <c r="BM386" s="89"/>
      <c r="BN386" s="89"/>
      <c r="BO386" s="89"/>
    </row>
    <row r="387" spans="1:67" ht="15.75" customHeight="1" x14ac:dyDescent="0.3">
      <c r="A387" s="88"/>
      <c r="BG387" s="89"/>
      <c r="BH387" s="89"/>
      <c r="BI387" s="89"/>
      <c r="BJ387" s="89"/>
      <c r="BK387" s="89"/>
      <c r="BL387" s="89"/>
      <c r="BM387" s="89"/>
      <c r="BN387" s="89"/>
      <c r="BO387" s="89"/>
    </row>
    <row r="388" spans="1:67" ht="15.75" customHeight="1" x14ac:dyDescent="0.3">
      <c r="A388" s="88"/>
      <c r="BG388" s="89"/>
      <c r="BH388" s="89"/>
      <c r="BI388" s="89"/>
      <c r="BJ388" s="89"/>
      <c r="BK388" s="89"/>
      <c r="BL388" s="89"/>
      <c r="BM388" s="89"/>
      <c r="BN388" s="89"/>
      <c r="BO388" s="89"/>
    </row>
    <row r="389" spans="1:67" ht="15.75" customHeight="1" x14ac:dyDescent="0.3">
      <c r="A389" s="88"/>
      <c r="BG389" s="89"/>
      <c r="BH389" s="89"/>
      <c r="BI389" s="89"/>
      <c r="BJ389" s="89"/>
      <c r="BK389" s="89"/>
      <c r="BL389" s="89"/>
      <c r="BM389" s="89"/>
      <c r="BN389" s="89"/>
      <c r="BO389" s="89"/>
    </row>
    <row r="390" spans="1:67" ht="15.75" customHeight="1" x14ac:dyDescent="0.3">
      <c r="A390" s="88"/>
      <c r="BG390" s="89"/>
      <c r="BH390" s="89"/>
      <c r="BI390" s="89"/>
      <c r="BJ390" s="89"/>
      <c r="BK390" s="89"/>
      <c r="BL390" s="89"/>
      <c r="BM390" s="89"/>
      <c r="BN390" s="89"/>
      <c r="BO390" s="89"/>
    </row>
    <row r="391" spans="1:67" ht="15.75" customHeight="1" x14ac:dyDescent="0.3">
      <c r="A391" s="88"/>
      <c r="BG391" s="89"/>
      <c r="BH391" s="89"/>
      <c r="BI391" s="89"/>
      <c r="BJ391" s="89"/>
      <c r="BK391" s="89"/>
      <c r="BL391" s="89"/>
      <c r="BM391" s="89"/>
      <c r="BN391" s="89"/>
      <c r="BO391" s="89"/>
    </row>
    <row r="392" spans="1:67" ht="15.75" customHeight="1" x14ac:dyDescent="0.3">
      <c r="A392" s="88"/>
      <c r="BG392" s="89"/>
      <c r="BH392" s="89"/>
      <c r="BI392" s="89"/>
      <c r="BJ392" s="89"/>
      <c r="BK392" s="89"/>
      <c r="BL392" s="89"/>
      <c r="BM392" s="89"/>
      <c r="BN392" s="89"/>
      <c r="BO392" s="89"/>
    </row>
    <row r="393" spans="1:67" ht="15.75" customHeight="1" x14ac:dyDescent="0.3">
      <c r="A393" s="88"/>
      <c r="BG393" s="89"/>
      <c r="BH393" s="89"/>
      <c r="BI393" s="89"/>
      <c r="BJ393" s="89"/>
      <c r="BK393" s="89"/>
      <c r="BL393" s="89"/>
      <c r="BM393" s="89"/>
      <c r="BN393" s="89"/>
      <c r="BO393" s="89"/>
    </row>
    <row r="394" spans="1:67" ht="15.75" customHeight="1" x14ac:dyDescent="0.3">
      <c r="A394" s="88"/>
      <c r="BG394" s="89"/>
      <c r="BH394" s="89"/>
      <c r="BI394" s="89"/>
      <c r="BJ394" s="89"/>
      <c r="BK394" s="89"/>
      <c r="BL394" s="89"/>
      <c r="BM394" s="89"/>
      <c r="BN394" s="89"/>
      <c r="BO394" s="89"/>
    </row>
    <row r="395" spans="1:67" ht="15.75" customHeight="1" x14ac:dyDescent="0.3">
      <c r="A395" s="88"/>
      <c r="BG395" s="89"/>
      <c r="BH395" s="89"/>
      <c r="BI395" s="89"/>
      <c r="BJ395" s="89"/>
      <c r="BK395" s="89"/>
      <c r="BL395" s="89"/>
      <c r="BM395" s="89"/>
      <c r="BN395" s="89"/>
      <c r="BO395" s="89"/>
    </row>
    <row r="396" spans="1:67" ht="15.75" customHeight="1" x14ac:dyDescent="0.3">
      <c r="A396" s="88"/>
      <c r="BG396" s="89"/>
      <c r="BH396" s="89"/>
      <c r="BI396" s="89"/>
      <c r="BJ396" s="89"/>
      <c r="BK396" s="89"/>
      <c r="BL396" s="89"/>
      <c r="BM396" s="89"/>
      <c r="BN396" s="89"/>
      <c r="BO396" s="89"/>
    </row>
    <row r="397" spans="1:67" ht="15.75" customHeight="1" x14ac:dyDescent="0.3">
      <c r="A397" s="88"/>
      <c r="BG397" s="89"/>
      <c r="BH397" s="89"/>
      <c r="BI397" s="89"/>
      <c r="BJ397" s="89"/>
      <c r="BK397" s="89"/>
      <c r="BL397" s="89"/>
      <c r="BM397" s="89"/>
      <c r="BN397" s="89"/>
      <c r="BO397" s="89"/>
    </row>
    <row r="398" spans="1:67" ht="15.75" customHeight="1" x14ac:dyDescent="0.3">
      <c r="A398" s="88"/>
      <c r="BG398" s="89"/>
      <c r="BH398" s="89"/>
      <c r="BI398" s="89"/>
      <c r="BJ398" s="89"/>
      <c r="BK398" s="89"/>
      <c r="BL398" s="89"/>
      <c r="BM398" s="89"/>
      <c r="BN398" s="89"/>
      <c r="BO398" s="89"/>
    </row>
    <row r="399" spans="1:67" ht="15.75" customHeight="1" x14ac:dyDescent="0.3">
      <c r="A399" s="88"/>
      <c r="BG399" s="89"/>
      <c r="BH399" s="89"/>
      <c r="BI399" s="89"/>
      <c r="BJ399" s="89"/>
      <c r="BK399" s="89"/>
      <c r="BL399" s="89"/>
      <c r="BM399" s="89"/>
      <c r="BN399" s="89"/>
      <c r="BO399" s="89"/>
    </row>
    <row r="400" spans="1:67" ht="15.75" customHeight="1" x14ac:dyDescent="0.3">
      <c r="A400" s="88"/>
      <c r="BG400" s="89"/>
      <c r="BH400" s="89"/>
      <c r="BI400" s="89"/>
      <c r="BJ400" s="89"/>
      <c r="BK400" s="89"/>
      <c r="BL400" s="89"/>
      <c r="BM400" s="89"/>
      <c r="BN400" s="89"/>
      <c r="BO400" s="89"/>
    </row>
    <row r="401" spans="1:67" ht="15.75" customHeight="1" x14ac:dyDescent="0.3">
      <c r="A401" s="88"/>
      <c r="BG401" s="89"/>
      <c r="BH401" s="89"/>
      <c r="BI401" s="89"/>
      <c r="BJ401" s="89"/>
      <c r="BK401" s="89"/>
      <c r="BL401" s="89"/>
      <c r="BM401" s="89"/>
      <c r="BN401" s="89"/>
      <c r="BO401" s="89"/>
    </row>
    <row r="402" spans="1:67" ht="15.75" customHeight="1" x14ac:dyDescent="0.3">
      <c r="A402" s="88"/>
      <c r="BG402" s="89"/>
      <c r="BH402" s="89"/>
      <c r="BI402" s="89"/>
      <c r="BJ402" s="89"/>
      <c r="BK402" s="89"/>
      <c r="BL402" s="89"/>
      <c r="BM402" s="89"/>
      <c r="BN402" s="89"/>
      <c r="BO402" s="89"/>
    </row>
    <row r="403" spans="1:67" ht="15.75" customHeight="1" x14ac:dyDescent="0.3">
      <c r="A403" s="88"/>
      <c r="BG403" s="89"/>
      <c r="BH403" s="89"/>
      <c r="BI403" s="89"/>
      <c r="BJ403" s="89"/>
      <c r="BK403" s="89"/>
      <c r="BL403" s="89"/>
      <c r="BM403" s="89"/>
      <c r="BN403" s="89"/>
      <c r="BO403" s="89"/>
    </row>
    <row r="404" spans="1:67" ht="15.75" customHeight="1" x14ac:dyDescent="0.3">
      <c r="A404" s="88"/>
      <c r="BG404" s="89"/>
      <c r="BH404" s="89"/>
      <c r="BI404" s="89"/>
      <c r="BJ404" s="89"/>
      <c r="BK404" s="89"/>
      <c r="BL404" s="89"/>
      <c r="BM404" s="89"/>
      <c r="BN404" s="89"/>
      <c r="BO404" s="89"/>
    </row>
    <row r="405" spans="1:67" ht="15.75" customHeight="1" x14ac:dyDescent="0.3">
      <c r="A405" s="88"/>
      <c r="BG405" s="89"/>
      <c r="BH405" s="89"/>
      <c r="BI405" s="89"/>
      <c r="BJ405" s="89"/>
      <c r="BK405" s="89"/>
      <c r="BL405" s="89"/>
      <c r="BM405" s="89"/>
      <c r="BN405" s="89"/>
      <c r="BO405" s="89"/>
    </row>
    <row r="406" spans="1:67" ht="15.75" customHeight="1" x14ac:dyDescent="0.3">
      <c r="A406" s="88"/>
      <c r="BG406" s="89"/>
      <c r="BH406" s="89"/>
      <c r="BI406" s="89"/>
      <c r="BJ406" s="89"/>
      <c r="BK406" s="89"/>
      <c r="BL406" s="89"/>
      <c r="BM406" s="89"/>
      <c r="BN406" s="89"/>
      <c r="BO406" s="89"/>
    </row>
    <row r="407" spans="1:67" ht="15.75" customHeight="1" x14ac:dyDescent="0.3">
      <c r="A407" s="88"/>
      <c r="BG407" s="89"/>
      <c r="BH407" s="89"/>
      <c r="BI407" s="89"/>
      <c r="BJ407" s="89"/>
      <c r="BK407" s="89"/>
      <c r="BL407" s="89"/>
      <c r="BM407" s="89"/>
      <c r="BN407" s="89"/>
      <c r="BO407" s="89"/>
    </row>
    <row r="408" spans="1:67" ht="15.75" customHeight="1" x14ac:dyDescent="0.3">
      <c r="A408" s="88"/>
      <c r="BG408" s="89"/>
      <c r="BH408" s="89"/>
      <c r="BI408" s="89"/>
      <c r="BJ408" s="89"/>
      <c r="BK408" s="89"/>
      <c r="BL408" s="89"/>
      <c r="BM408" s="89"/>
      <c r="BN408" s="89"/>
      <c r="BO408" s="89"/>
    </row>
    <row r="409" spans="1:67" ht="15.75" customHeight="1" x14ac:dyDescent="0.3">
      <c r="A409" s="88"/>
      <c r="BG409" s="89"/>
      <c r="BH409" s="89"/>
      <c r="BI409" s="89"/>
      <c r="BJ409" s="89"/>
      <c r="BK409" s="89"/>
      <c r="BL409" s="89"/>
      <c r="BM409" s="89"/>
      <c r="BN409" s="89"/>
      <c r="BO409" s="89"/>
    </row>
    <row r="410" spans="1:67" ht="15.75" customHeight="1" x14ac:dyDescent="0.3">
      <c r="A410" s="88"/>
      <c r="BG410" s="89"/>
      <c r="BH410" s="89"/>
      <c r="BI410" s="89"/>
      <c r="BJ410" s="89"/>
      <c r="BK410" s="89"/>
      <c r="BL410" s="89"/>
      <c r="BM410" s="89"/>
      <c r="BN410" s="89"/>
      <c r="BO410" s="89"/>
    </row>
    <row r="411" spans="1:67" ht="15.75" customHeight="1" x14ac:dyDescent="0.3">
      <c r="A411" s="88"/>
      <c r="BG411" s="89"/>
      <c r="BH411" s="89"/>
      <c r="BI411" s="89"/>
      <c r="BJ411" s="89"/>
      <c r="BK411" s="89"/>
      <c r="BL411" s="89"/>
      <c r="BM411" s="89"/>
      <c r="BN411" s="89"/>
      <c r="BO411" s="89"/>
    </row>
    <row r="412" spans="1:67" ht="15.75" customHeight="1" x14ac:dyDescent="0.3">
      <c r="A412" s="88"/>
      <c r="BG412" s="89"/>
      <c r="BH412" s="89"/>
      <c r="BI412" s="89"/>
      <c r="BJ412" s="89"/>
      <c r="BK412" s="89"/>
      <c r="BL412" s="89"/>
      <c r="BM412" s="89"/>
      <c r="BN412" s="89"/>
      <c r="BO412" s="89"/>
    </row>
    <row r="413" spans="1:67" ht="15.75" customHeight="1" x14ac:dyDescent="0.3">
      <c r="A413" s="88"/>
      <c r="BG413" s="89"/>
      <c r="BH413" s="89"/>
      <c r="BI413" s="89"/>
      <c r="BJ413" s="89"/>
      <c r="BK413" s="89"/>
      <c r="BL413" s="89"/>
      <c r="BM413" s="89"/>
      <c r="BN413" s="89"/>
      <c r="BO413" s="89"/>
    </row>
    <row r="414" spans="1:67" ht="15.75" customHeight="1" x14ac:dyDescent="0.3">
      <c r="A414" s="88"/>
      <c r="BG414" s="89"/>
      <c r="BH414" s="89"/>
      <c r="BI414" s="89"/>
      <c r="BJ414" s="89"/>
      <c r="BK414" s="89"/>
      <c r="BL414" s="89"/>
      <c r="BM414" s="89"/>
      <c r="BN414" s="89"/>
      <c r="BO414" s="89"/>
    </row>
    <row r="415" spans="1:67" ht="15.75" customHeight="1" x14ac:dyDescent="0.3">
      <c r="A415" s="88"/>
      <c r="BG415" s="89"/>
      <c r="BH415" s="89"/>
      <c r="BI415" s="89"/>
      <c r="BJ415" s="89"/>
      <c r="BK415" s="89"/>
      <c r="BL415" s="89"/>
      <c r="BM415" s="89"/>
      <c r="BN415" s="89"/>
      <c r="BO415" s="89"/>
    </row>
    <row r="416" spans="1:67" ht="15.75" customHeight="1" x14ac:dyDescent="0.3">
      <c r="A416" s="88"/>
      <c r="BG416" s="89"/>
      <c r="BH416" s="89"/>
      <c r="BI416" s="89"/>
      <c r="BJ416" s="89"/>
      <c r="BK416" s="89"/>
      <c r="BL416" s="89"/>
      <c r="BM416" s="89"/>
      <c r="BN416" s="89"/>
      <c r="BO416" s="89"/>
    </row>
    <row r="417" spans="1:67" ht="15.75" customHeight="1" x14ac:dyDescent="0.3">
      <c r="A417" s="88"/>
      <c r="BG417" s="89"/>
      <c r="BH417" s="89"/>
      <c r="BI417" s="89"/>
      <c r="BJ417" s="89"/>
      <c r="BK417" s="89"/>
      <c r="BL417" s="89"/>
      <c r="BM417" s="89"/>
      <c r="BN417" s="89"/>
      <c r="BO417" s="89"/>
    </row>
    <row r="418" spans="1:67" ht="15.75" customHeight="1" x14ac:dyDescent="0.3">
      <c r="A418" s="88"/>
      <c r="BG418" s="89"/>
      <c r="BH418" s="89"/>
      <c r="BI418" s="89"/>
      <c r="BJ418" s="89"/>
      <c r="BK418" s="89"/>
      <c r="BL418" s="89"/>
      <c r="BM418" s="89"/>
      <c r="BN418" s="89"/>
      <c r="BO418" s="89"/>
    </row>
    <row r="419" spans="1:67" ht="15.75" customHeight="1" x14ac:dyDescent="0.3">
      <c r="A419" s="88"/>
      <c r="BG419" s="89"/>
      <c r="BH419" s="89"/>
      <c r="BI419" s="89"/>
      <c r="BJ419" s="89"/>
      <c r="BK419" s="89"/>
      <c r="BL419" s="89"/>
      <c r="BM419" s="89"/>
      <c r="BN419" s="89"/>
      <c r="BO419" s="89"/>
    </row>
    <row r="420" spans="1:67" ht="15.75" customHeight="1" x14ac:dyDescent="0.3">
      <c r="A420" s="88"/>
      <c r="BG420" s="89"/>
      <c r="BH420" s="89"/>
      <c r="BI420" s="89"/>
      <c r="BJ420" s="89"/>
      <c r="BK420" s="89"/>
      <c r="BL420" s="89"/>
      <c r="BM420" s="89"/>
      <c r="BN420" s="89"/>
      <c r="BO420" s="89"/>
    </row>
    <row r="421" spans="1:67" ht="15.75" customHeight="1" x14ac:dyDescent="0.3">
      <c r="A421" s="88"/>
      <c r="BG421" s="89"/>
      <c r="BH421" s="89"/>
      <c r="BI421" s="89"/>
      <c r="BJ421" s="89"/>
      <c r="BK421" s="89"/>
      <c r="BL421" s="89"/>
      <c r="BM421" s="89"/>
      <c r="BN421" s="89"/>
      <c r="BO421" s="89"/>
    </row>
    <row r="422" spans="1:67" ht="15.75" customHeight="1" x14ac:dyDescent="0.3">
      <c r="A422" s="88"/>
      <c r="BG422" s="89"/>
      <c r="BH422" s="89"/>
      <c r="BI422" s="89"/>
      <c r="BJ422" s="89"/>
      <c r="BK422" s="89"/>
      <c r="BL422" s="89"/>
      <c r="BM422" s="89"/>
      <c r="BN422" s="89"/>
      <c r="BO422" s="89"/>
    </row>
    <row r="423" spans="1:67" ht="15.75" customHeight="1" x14ac:dyDescent="0.3">
      <c r="A423" s="88"/>
      <c r="BG423" s="89"/>
      <c r="BH423" s="89"/>
      <c r="BI423" s="89"/>
      <c r="BJ423" s="89"/>
      <c r="BK423" s="89"/>
      <c r="BL423" s="89"/>
      <c r="BM423" s="89"/>
      <c r="BN423" s="89"/>
      <c r="BO423" s="89"/>
    </row>
    <row r="424" spans="1:67" ht="15.75" customHeight="1" x14ac:dyDescent="0.3">
      <c r="A424" s="88"/>
      <c r="BG424" s="89"/>
      <c r="BH424" s="89"/>
      <c r="BI424" s="89"/>
      <c r="BJ424" s="89"/>
      <c r="BK424" s="89"/>
      <c r="BL424" s="89"/>
      <c r="BM424" s="89"/>
      <c r="BN424" s="89"/>
      <c r="BO424" s="89"/>
    </row>
    <row r="425" spans="1:67" ht="15.75" customHeight="1" x14ac:dyDescent="0.3">
      <c r="A425" s="88"/>
      <c r="BG425" s="89"/>
      <c r="BH425" s="89"/>
      <c r="BI425" s="89"/>
      <c r="BJ425" s="89"/>
      <c r="BK425" s="89"/>
      <c r="BL425" s="89"/>
      <c r="BM425" s="89"/>
      <c r="BN425" s="89"/>
      <c r="BO425" s="89"/>
    </row>
    <row r="426" spans="1:67" ht="15.75" customHeight="1" x14ac:dyDescent="0.3">
      <c r="A426" s="88"/>
      <c r="BG426" s="89"/>
      <c r="BH426" s="89"/>
      <c r="BI426" s="89"/>
      <c r="BJ426" s="89"/>
      <c r="BK426" s="89"/>
      <c r="BL426" s="89"/>
      <c r="BM426" s="89"/>
      <c r="BN426" s="89"/>
      <c r="BO426" s="89"/>
    </row>
    <row r="427" spans="1:67" ht="15.75" customHeight="1" x14ac:dyDescent="0.3">
      <c r="A427" s="88"/>
      <c r="BG427" s="89"/>
      <c r="BH427" s="89"/>
      <c r="BI427" s="89"/>
      <c r="BJ427" s="89"/>
      <c r="BK427" s="89"/>
      <c r="BL427" s="89"/>
      <c r="BM427" s="89"/>
      <c r="BN427" s="89"/>
      <c r="BO427" s="89"/>
    </row>
    <row r="428" spans="1:67" ht="15.75" customHeight="1" x14ac:dyDescent="0.3">
      <c r="A428" s="88"/>
      <c r="BG428" s="89"/>
      <c r="BH428" s="89"/>
      <c r="BI428" s="89"/>
      <c r="BJ428" s="89"/>
      <c r="BK428" s="89"/>
      <c r="BL428" s="89"/>
      <c r="BM428" s="89"/>
      <c r="BN428" s="89"/>
      <c r="BO428" s="89"/>
    </row>
    <row r="429" spans="1:67" ht="15.75" customHeight="1" x14ac:dyDescent="0.3">
      <c r="A429" s="88"/>
      <c r="BG429" s="89"/>
      <c r="BH429" s="89"/>
      <c r="BI429" s="89"/>
      <c r="BJ429" s="89"/>
      <c r="BK429" s="89"/>
      <c r="BL429" s="89"/>
      <c r="BM429" s="89"/>
      <c r="BN429" s="89"/>
      <c r="BO429" s="89"/>
    </row>
    <row r="430" spans="1:67" ht="15.75" customHeight="1" x14ac:dyDescent="0.3">
      <c r="A430" s="88"/>
      <c r="BG430" s="89"/>
      <c r="BH430" s="89"/>
      <c r="BI430" s="89"/>
      <c r="BJ430" s="89"/>
      <c r="BK430" s="89"/>
      <c r="BL430" s="89"/>
      <c r="BM430" s="89"/>
      <c r="BN430" s="89"/>
      <c r="BO430" s="89"/>
    </row>
    <row r="431" spans="1:67" ht="15.75" customHeight="1" x14ac:dyDescent="0.3">
      <c r="A431" s="88"/>
      <c r="BG431" s="89"/>
      <c r="BH431" s="89"/>
      <c r="BI431" s="89"/>
      <c r="BJ431" s="89"/>
      <c r="BK431" s="89"/>
      <c r="BL431" s="89"/>
      <c r="BM431" s="89"/>
      <c r="BN431" s="89"/>
      <c r="BO431" s="89"/>
    </row>
    <row r="432" spans="1:67" ht="15.75" customHeight="1" x14ac:dyDescent="0.3">
      <c r="A432" s="88"/>
      <c r="BG432" s="89"/>
      <c r="BH432" s="89"/>
      <c r="BI432" s="89"/>
      <c r="BJ432" s="89"/>
      <c r="BK432" s="89"/>
      <c r="BL432" s="89"/>
      <c r="BM432" s="89"/>
      <c r="BN432" s="89"/>
      <c r="BO432" s="89"/>
    </row>
    <row r="433" spans="1:67" ht="15.75" customHeight="1" x14ac:dyDescent="0.3">
      <c r="A433" s="88"/>
      <c r="BG433" s="89"/>
      <c r="BH433" s="89"/>
      <c r="BI433" s="89"/>
      <c r="BJ433" s="89"/>
      <c r="BK433" s="89"/>
      <c r="BL433" s="89"/>
      <c r="BM433" s="89"/>
      <c r="BN433" s="89"/>
      <c r="BO433" s="89"/>
    </row>
    <row r="434" spans="1:67" ht="15.75" customHeight="1" x14ac:dyDescent="0.3">
      <c r="A434" s="88"/>
      <c r="BG434" s="89"/>
      <c r="BH434" s="89"/>
      <c r="BI434" s="89"/>
      <c r="BJ434" s="89"/>
      <c r="BK434" s="89"/>
      <c r="BL434" s="89"/>
      <c r="BM434" s="89"/>
      <c r="BN434" s="89"/>
      <c r="BO434" s="89"/>
    </row>
    <row r="435" spans="1:67" ht="15.75" customHeight="1" x14ac:dyDescent="0.3">
      <c r="A435" s="88"/>
      <c r="BG435" s="89"/>
      <c r="BH435" s="89"/>
      <c r="BI435" s="89"/>
      <c r="BJ435" s="89"/>
      <c r="BK435" s="89"/>
      <c r="BL435" s="89"/>
      <c r="BM435" s="89"/>
      <c r="BN435" s="89"/>
      <c r="BO435" s="89"/>
    </row>
    <row r="436" spans="1:67" ht="15.75" customHeight="1" x14ac:dyDescent="0.3">
      <c r="A436" s="88"/>
      <c r="BG436" s="89"/>
      <c r="BH436" s="89"/>
      <c r="BI436" s="89"/>
      <c r="BJ436" s="89"/>
      <c r="BK436" s="89"/>
      <c r="BL436" s="89"/>
      <c r="BM436" s="89"/>
      <c r="BN436" s="89"/>
      <c r="BO436" s="89"/>
    </row>
    <row r="437" spans="1:67" ht="15.75" customHeight="1" x14ac:dyDescent="0.3">
      <c r="A437" s="88"/>
      <c r="BG437" s="89"/>
      <c r="BH437" s="89"/>
      <c r="BI437" s="89"/>
      <c r="BJ437" s="89"/>
      <c r="BK437" s="89"/>
      <c r="BL437" s="89"/>
      <c r="BM437" s="89"/>
      <c r="BN437" s="89"/>
      <c r="BO437" s="89"/>
    </row>
    <row r="438" spans="1:67" ht="15.75" customHeight="1" x14ac:dyDescent="0.3">
      <c r="A438" s="88"/>
      <c r="BG438" s="89"/>
      <c r="BH438" s="89"/>
      <c r="BI438" s="89"/>
      <c r="BJ438" s="89"/>
      <c r="BK438" s="89"/>
      <c r="BL438" s="89"/>
      <c r="BM438" s="89"/>
      <c r="BN438" s="89"/>
      <c r="BO438" s="89"/>
    </row>
    <row r="439" spans="1:67" ht="15.75" customHeight="1" x14ac:dyDescent="0.3">
      <c r="A439" s="88"/>
      <c r="BG439" s="89"/>
      <c r="BH439" s="89"/>
      <c r="BI439" s="89"/>
      <c r="BJ439" s="89"/>
      <c r="BK439" s="89"/>
      <c r="BL439" s="89"/>
      <c r="BM439" s="89"/>
      <c r="BN439" s="89"/>
      <c r="BO439" s="89"/>
    </row>
    <row r="440" spans="1:67" ht="15.75" customHeight="1" x14ac:dyDescent="0.3">
      <c r="A440" s="88"/>
      <c r="BG440" s="89"/>
      <c r="BH440" s="89"/>
      <c r="BI440" s="89"/>
      <c r="BJ440" s="89"/>
      <c r="BK440" s="89"/>
      <c r="BL440" s="89"/>
      <c r="BM440" s="89"/>
      <c r="BN440" s="89"/>
      <c r="BO440" s="89"/>
    </row>
    <row r="441" spans="1:67" ht="15.75" customHeight="1" x14ac:dyDescent="0.3">
      <c r="A441" s="88"/>
      <c r="BG441" s="89"/>
      <c r="BH441" s="89"/>
      <c r="BI441" s="89"/>
      <c r="BJ441" s="89"/>
      <c r="BK441" s="89"/>
      <c r="BL441" s="89"/>
      <c r="BM441" s="89"/>
      <c r="BN441" s="89"/>
      <c r="BO441" s="89"/>
    </row>
    <row r="442" spans="1:67" ht="15.75" customHeight="1" x14ac:dyDescent="0.3">
      <c r="A442" s="88"/>
      <c r="BG442" s="89"/>
      <c r="BH442" s="89"/>
      <c r="BI442" s="89"/>
      <c r="BJ442" s="89"/>
      <c r="BK442" s="89"/>
      <c r="BL442" s="89"/>
      <c r="BM442" s="89"/>
      <c r="BN442" s="89"/>
      <c r="BO442" s="89"/>
    </row>
    <row r="443" spans="1:67" ht="15.75" customHeight="1" x14ac:dyDescent="0.3">
      <c r="A443" s="88"/>
      <c r="BG443" s="89"/>
      <c r="BH443" s="89"/>
      <c r="BI443" s="89"/>
      <c r="BJ443" s="89"/>
      <c r="BK443" s="89"/>
      <c r="BL443" s="89"/>
      <c r="BM443" s="89"/>
      <c r="BN443" s="89"/>
      <c r="BO443" s="89"/>
    </row>
    <row r="444" spans="1:67" ht="15.75" customHeight="1" x14ac:dyDescent="0.3">
      <c r="A444" s="88"/>
      <c r="BG444" s="89"/>
      <c r="BH444" s="89"/>
      <c r="BI444" s="89"/>
      <c r="BJ444" s="89"/>
      <c r="BK444" s="89"/>
      <c r="BL444" s="89"/>
      <c r="BM444" s="89"/>
      <c r="BN444" s="89"/>
      <c r="BO444" s="89"/>
    </row>
    <row r="445" spans="1:67" ht="15.75" customHeight="1" x14ac:dyDescent="0.3">
      <c r="A445" s="88"/>
      <c r="BG445" s="89"/>
      <c r="BH445" s="89"/>
      <c r="BI445" s="89"/>
      <c r="BJ445" s="89"/>
      <c r="BK445" s="89"/>
      <c r="BL445" s="89"/>
      <c r="BM445" s="89"/>
      <c r="BN445" s="89"/>
      <c r="BO445" s="89"/>
    </row>
    <row r="446" spans="1:67" ht="15.75" customHeight="1" x14ac:dyDescent="0.3">
      <c r="A446" s="88"/>
      <c r="BG446" s="89"/>
      <c r="BH446" s="89"/>
      <c r="BI446" s="89"/>
      <c r="BJ446" s="89"/>
      <c r="BK446" s="89"/>
      <c r="BL446" s="89"/>
      <c r="BM446" s="89"/>
      <c r="BN446" s="89"/>
      <c r="BO446" s="89"/>
    </row>
    <row r="447" spans="1:67" ht="15.75" customHeight="1" x14ac:dyDescent="0.3">
      <c r="A447" s="88"/>
      <c r="BG447" s="89"/>
      <c r="BH447" s="89"/>
      <c r="BI447" s="89"/>
      <c r="BJ447" s="89"/>
      <c r="BK447" s="89"/>
      <c r="BL447" s="89"/>
      <c r="BM447" s="89"/>
      <c r="BN447" s="89"/>
      <c r="BO447" s="89"/>
    </row>
    <row r="448" spans="1:67" ht="15.75" customHeight="1" x14ac:dyDescent="0.3">
      <c r="A448" s="88"/>
      <c r="BG448" s="89"/>
      <c r="BH448" s="89"/>
      <c r="BI448" s="89"/>
      <c r="BJ448" s="89"/>
      <c r="BK448" s="89"/>
      <c r="BL448" s="89"/>
      <c r="BM448" s="89"/>
      <c r="BN448" s="89"/>
      <c r="BO448" s="89"/>
    </row>
    <row r="449" spans="1:67" ht="15.75" customHeight="1" x14ac:dyDescent="0.3">
      <c r="A449" s="88"/>
      <c r="BG449" s="89"/>
      <c r="BH449" s="89"/>
      <c r="BI449" s="89"/>
      <c r="BJ449" s="89"/>
      <c r="BK449" s="89"/>
      <c r="BL449" s="89"/>
      <c r="BM449" s="89"/>
      <c r="BN449" s="89"/>
      <c r="BO449" s="89"/>
    </row>
    <row r="450" spans="1:67" ht="15.75" customHeight="1" x14ac:dyDescent="0.3">
      <c r="A450" s="88"/>
      <c r="BG450" s="89"/>
      <c r="BH450" s="89"/>
      <c r="BI450" s="89"/>
      <c r="BJ450" s="89"/>
      <c r="BK450" s="89"/>
      <c r="BL450" s="89"/>
      <c r="BM450" s="89"/>
      <c r="BN450" s="89"/>
      <c r="BO450" s="89"/>
    </row>
    <row r="451" spans="1:67" ht="15.75" customHeight="1" x14ac:dyDescent="0.3">
      <c r="A451" s="88"/>
      <c r="BG451" s="89"/>
      <c r="BH451" s="89"/>
      <c r="BI451" s="89"/>
      <c r="BJ451" s="89"/>
      <c r="BK451" s="89"/>
      <c r="BL451" s="89"/>
      <c r="BM451" s="89"/>
      <c r="BN451" s="89"/>
      <c r="BO451" s="89"/>
    </row>
    <row r="452" spans="1:67" ht="15.75" customHeight="1" x14ac:dyDescent="0.3">
      <c r="A452" s="88"/>
      <c r="BG452" s="89"/>
      <c r="BH452" s="89"/>
      <c r="BI452" s="89"/>
      <c r="BJ452" s="89"/>
      <c r="BK452" s="89"/>
      <c r="BL452" s="89"/>
      <c r="BM452" s="89"/>
      <c r="BN452" s="89"/>
      <c r="BO452" s="89"/>
    </row>
    <row r="453" spans="1:67" ht="15.75" customHeight="1" x14ac:dyDescent="0.3">
      <c r="A453" s="88"/>
      <c r="BG453" s="89"/>
      <c r="BH453" s="89"/>
      <c r="BI453" s="89"/>
      <c r="BJ453" s="89"/>
      <c r="BK453" s="89"/>
      <c r="BL453" s="89"/>
      <c r="BM453" s="89"/>
      <c r="BN453" s="89"/>
      <c r="BO453" s="89"/>
    </row>
    <row r="454" spans="1:67" ht="15.75" customHeight="1" x14ac:dyDescent="0.3">
      <c r="A454" s="88"/>
      <c r="BG454" s="89"/>
      <c r="BH454" s="89"/>
      <c r="BI454" s="89"/>
      <c r="BJ454" s="89"/>
      <c r="BK454" s="89"/>
      <c r="BL454" s="89"/>
      <c r="BM454" s="89"/>
      <c r="BN454" s="89"/>
      <c r="BO454" s="89"/>
    </row>
    <row r="455" spans="1:67" ht="15.75" customHeight="1" x14ac:dyDescent="0.3">
      <c r="A455" s="88"/>
      <c r="BG455" s="89"/>
      <c r="BH455" s="89"/>
      <c r="BI455" s="89"/>
      <c r="BJ455" s="89"/>
      <c r="BK455" s="89"/>
      <c r="BL455" s="89"/>
      <c r="BM455" s="89"/>
      <c r="BN455" s="89"/>
      <c r="BO455" s="89"/>
    </row>
    <row r="456" spans="1:67" ht="15.75" customHeight="1" x14ac:dyDescent="0.3">
      <c r="A456" s="88"/>
      <c r="BG456" s="89"/>
      <c r="BH456" s="89"/>
      <c r="BI456" s="89"/>
      <c r="BJ456" s="89"/>
      <c r="BK456" s="89"/>
      <c r="BL456" s="89"/>
      <c r="BM456" s="89"/>
      <c r="BN456" s="89"/>
      <c r="BO456" s="89"/>
    </row>
    <row r="457" spans="1:67" ht="15.75" customHeight="1" x14ac:dyDescent="0.3">
      <c r="A457" s="88"/>
      <c r="BG457" s="89"/>
      <c r="BH457" s="89"/>
      <c r="BI457" s="89"/>
      <c r="BJ457" s="89"/>
      <c r="BK457" s="89"/>
      <c r="BL457" s="89"/>
      <c r="BM457" s="89"/>
      <c r="BN457" s="89"/>
      <c r="BO457" s="89"/>
    </row>
    <row r="458" spans="1:67" ht="15.75" customHeight="1" x14ac:dyDescent="0.3">
      <c r="A458" s="88"/>
      <c r="BG458" s="89"/>
      <c r="BH458" s="89"/>
      <c r="BI458" s="89"/>
      <c r="BJ458" s="89"/>
      <c r="BK458" s="89"/>
      <c r="BL458" s="89"/>
      <c r="BM458" s="89"/>
      <c r="BN458" s="89"/>
      <c r="BO458" s="89"/>
    </row>
    <row r="459" spans="1:67" ht="15.75" customHeight="1" x14ac:dyDescent="0.3">
      <c r="A459" s="88"/>
      <c r="BG459" s="89"/>
      <c r="BH459" s="89"/>
      <c r="BI459" s="89"/>
      <c r="BJ459" s="89"/>
      <c r="BK459" s="89"/>
      <c r="BL459" s="89"/>
      <c r="BM459" s="89"/>
      <c r="BN459" s="89"/>
      <c r="BO459" s="89"/>
    </row>
    <row r="460" spans="1:67" ht="15.75" customHeight="1" x14ac:dyDescent="0.3">
      <c r="A460" s="88"/>
      <c r="BG460" s="89"/>
      <c r="BH460" s="89"/>
      <c r="BI460" s="89"/>
      <c r="BJ460" s="89"/>
      <c r="BK460" s="89"/>
      <c r="BL460" s="89"/>
      <c r="BM460" s="89"/>
      <c r="BN460" s="89"/>
      <c r="BO460" s="89"/>
    </row>
    <row r="461" spans="1:67" ht="15.75" customHeight="1" x14ac:dyDescent="0.3">
      <c r="A461" s="88"/>
      <c r="BG461" s="89"/>
      <c r="BH461" s="89"/>
      <c r="BI461" s="89"/>
      <c r="BJ461" s="89"/>
      <c r="BK461" s="89"/>
      <c r="BL461" s="89"/>
      <c r="BM461" s="89"/>
      <c r="BN461" s="89"/>
      <c r="BO461" s="89"/>
    </row>
    <row r="462" spans="1:67" ht="15.75" customHeight="1" x14ac:dyDescent="0.3">
      <c r="A462" s="88"/>
      <c r="BG462" s="89"/>
      <c r="BH462" s="89"/>
      <c r="BI462" s="89"/>
      <c r="BJ462" s="89"/>
      <c r="BK462" s="89"/>
      <c r="BL462" s="89"/>
      <c r="BM462" s="89"/>
      <c r="BN462" s="89"/>
      <c r="BO462" s="89"/>
    </row>
    <row r="463" spans="1:67" ht="15.75" customHeight="1" x14ac:dyDescent="0.3">
      <c r="A463" s="88"/>
      <c r="BG463" s="89"/>
      <c r="BH463" s="89"/>
      <c r="BI463" s="89"/>
      <c r="BJ463" s="89"/>
      <c r="BK463" s="89"/>
      <c r="BL463" s="89"/>
      <c r="BM463" s="89"/>
      <c r="BN463" s="89"/>
      <c r="BO463" s="89"/>
    </row>
    <row r="464" spans="1:67" ht="15.75" customHeight="1" x14ac:dyDescent="0.3">
      <c r="A464" s="88"/>
      <c r="BG464" s="89"/>
      <c r="BH464" s="89"/>
      <c r="BI464" s="89"/>
      <c r="BJ464" s="89"/>
      <c r="BK464" s="89"/>
      <c r="BL464" s="89"/>
      <c r="BM464" s="89"/>
      <c r="BN464" s="89"/>
      <c r="BO464" s="89"/>
    </row>
    <row r="465" spans="1:67" ht="15.75" customHeight="1" x14ac:dyDescent="0.3">
      <c r="A465" s="88"/>
      <c r="BG465" s="89"/>
      <c r="BH465" s="89"/>
      <c r="BI465" s="89"/>
      <c r="BJ465" s="89"/>
      <c r="BK465" s="89"/>
      <c r="BL465" s="89"/>
      <c r="BM465" s="89"/>
      <c r="BN465" s="89"/>
      <c r="BO465" s="89"/>
    </row>
    <row r="466" spans="1:67" ht="15.75" customHeight="1" x14ac:dyDescent="0.3">
      <c r="A466" s="88"/>
      <c r="BG466" s="89"/>
      <c r="BH466" s="89"/>
      <c r="BI466" s="89"/>
      <c r="BJ466" s="89"/>
      <c r="BK466" s="89"/>
      <c r="BL466" s="89"/>
      <c r="BM466" s="89"/>
      <c r="BN466" s="89"/>
      <c r="BO466" s="89"/>
    </row>
    <row r="467" spans="1:67" ht="15.75" customHeight="1" x14ac:dyDescent="0.3">
      <c r="A467" s="88"/>
      <c r="BG467" s="89"/>
      <c r="BH467" s="89"/>
      <c r="BI467" s="89"/>
      <c r="BJ467" s="89"/>
      <c r="BK467" s="89"/>
      <c r="BL467" s="89"/>
      <c r="BM467" s="89"/>
      <c r="BN467" s="89"/>
      <c r="BO467" s="89"/>
    </row>
    <row r="468" spans="1:67" ht="15.75" customHeight="1" x14ac:dyDescent="0.3">
      <c r="A468" s="88"/>
      <c r="BG468" s="89"/>
      <c r="BH468" s="89"/>
      <c r="BI468" s="89"/>
      <c r="BJ468" s="89"/>
      <c r="BK468" s="89"/>
      <c r="BL468" s="89"/>
      <c r="BM468" s="89"/>
      <c r="BN468" s="89"/>
      <c r="BO468" s="89"/>
    </row>
    <row r="469" spans="1:67" ht="15.75" customHeight="1" x14ac:dyDescent="0.3">
      <c r="A469" s="88"/>
      <c r="BG469" s="89"/>
      <c r="BH469" s="89"/>
      <c r="BI469" s="89"/>
      <c r="BJ469" s="89"/>
      <c r="BK469" s="89"/>
      <c r="BL469" s="89"/>
      <c r="BM469" s="89"/>
      <c r="BN469" s="89"/>
      <c r="BO469" s="89"/>
    </row>
    <row r="470" spans="1:67" ht="15.75" customHeight="1" x14ac:dyDescent="0.3">
      <c r="A470" s="88"/>
      <c r="BG470" s="89"/>
      <c r="BH470" s="89"/>
      <c r="BI470" s="89"/>
      <c r="BJ470" s="89"/>
      <c r="BK470" s="89"/>
      <c r="BL470" s="89"/>
      <c r="BM470" s="89"/>
      <c r="BN470" s="89"/>
      <c r="BO470" s="89"/>
    </row>
    <row r="471" spans="1:67" ht="15.75" customHeight="1" x14ac:dyDescent="0.3">
      <c r="A471" s="88"/>
      <c r="BG471" s="89"/>
      <c r="BH471" s="89"/>
      <c r="BI471" s="89"/>
      <c r="BJ471" s="89"/>
      <c r="BK471" s="89"/>
      <c r="BL471" s="89"/>
      <c r="BM471" s="89"/>
      <c r="BN471" s="89"/>
      <c r="BO471" s="89"/>
    </row>
    <row r="472" spans="1:67" ht="15.75" customHeight="1" x14ac:dyDescent="0.3">
      <c r="A472" s="88"/>
      <c r="BG472" s="89"/>
      <c r="BH472" s="89"/>
      <c r="BI472" s="89"/>
      <c r="BJ472" s="89"/>
      <c r="BK472" s="89"/>
      <c r="BL472" s="89"/>
      <c r="BM472" s="89"/>
      <c r="BN472" s="89"/>
      <c r="BO472" s="89"/>
    </row>
    <row r="473" spans="1:67" ht="15.75" customHeight="1" x14ac:dyDescent="0.3">
      <c r="A473" s="88"/>
      <c r="BG473" s="89"/>
      <c r="BH473" s="89"/>
      <c r="BI473" s="89"/>
      <c r="BJ473" s="89"/>
      <c r="BK473" s="89"/>
      <c r="BL473" s="89"/>
      <c r="BM473" s="89"/>
      <c r="BN473" s="89"/>
      <c r="BO473" s="89"/>
    </row>
    <row r="474" spans="1:67" ht="15.75" customHeight="1" x14ac:dyDescent="0.3">
      <c r="A474" s="88"/>
      <c r="BG474" s="89"/>
      <c r="BH474" s="89"/>
      <c r="BI474" s="89"/>
      <c r="BJ474" s="89"/>
      <c r="BK474" s="89"/>
      <c r="BL474" s="89"/>
      <c r="BM474" s="89"/>
      <c r="BN474" s="89"/>
      <c r="BO474" s="89"/>
    </row>
    <row r="475" spans="1:67" ht="15.75" customHeight="1" x14ac:dyDescent="0.3">
      <c r="A475" s="88"/>
      <c r="BG475" s="89"/>
      <c r="BH475" s="89"/>
      <c r="BI475" s="89"/>
      <c r="BJ475" s="89"/>
      <c r="BK475" s="89"/>
      <c r="BL475" s="89"/>
      <c r="BM475" s="89"/>
      <c r="BN475" s="89"/>
      <c r="BO475" s="89"/>
    </row>
    <row r="476" spans="1:67" ht="15.75" customHeight="1" x14ac:dyDescent="0.3">
      <c r="A476" s="88"/>
      <c r="BG476" s="89"/>
      <c r="BH476" s="89"/>
      <c r="BI476" s="89"/>
      <c r="BJ476" s="89"/>
      <c r="BK476" s="89"/>
      <c r="BL476" s="89"/>
      <c r="BM476" s="89"/>
      <c r="BN476" s="89"/>
      <c r="BO476" s="89"/>
    </row>
    <row r="477" spans="1:67" ht="15.75" customHeight="1" x14ac:dyDescent="0.3">
      <c r="A477" s="88"/>
      <c r="BG477" s="89"/>
      <c r="BH477" s="89"/>
      <c r="BI477" s="89"/>
      <c r="BJ477" s="89"/>
      <c r="BK477" s="89"/>
      <c r="BL477" s="89"/>
      <c r="BM477" s="89"/>
      <c r="BN477" s="89"/>
      <c r="BO477" s="89"/>
    </row>
    <row r="478" spans="1:67" ht="15.75" customHeight="1" x14ac:dyDescent="0.3">
      <c r="A478" s="88"/>
      <c r="BG478" s="89"/>
      <c r="BH478" s="89"/>
      <c r="BI478" s="89"/>
      <c r="BJ478" s="89"/>
      <c r="BK478" s="89"/>
      <c r="BL478" s="89"/>
      <c r="BM478" s="89"/>
      <c r="BN478" s="89"/>
      <c r="BO478" s="89"/>
    </row>
    <row r="479" spans="1:67" ht="15.75" customHeight="1" x14ac:dyDescent="0.3">
      <c r="A479" s="88"/>
      <c r="BG479" s="89"/>
      <c r="BH479" s="89"/>
      <c r="BI479" s="89"/>
      <c r="BJ479" s="89"/>
      <c r="BK479" s="89"/>
      <c r="BL479" s="89"/>
      <c r="BM479" s="89"/>
      <c r="BN479" s="89"/>
      <c r="BO479" s="89"/>
    </row>
    <row r="480" spans="1:67" ht="15.75" customHeight="1" x14ac:dyDescent="0.3">
      <c r="A480" s="88"/>
      <c r="BG480" s="89"/>
      <c r="BH480" s="89"/>
      <c r="BI480" s="89"/>
      <c r="BJ480" s="89"/>
      <c r="BK480" s="89"/>
      <c r="BL480" s="89"/>
      <c r="BM480" s="89"/>
      <c r="BN480" s="89"/>
      <c r="BO480" s="89"/>
    </row>
    <row r="481" spans="1:67" ht="15.75" customHeight="1" x14ac:dyDescent="0.3">
      <c r="A481" s="88"/>
      <c r="BG481" s="89"/>
      <c r="BH481" s="89"/>
      <c r="BI481" s="89"/>
      <c r="BJ481" s="89"/>
      <c r="BK481" s="89"/>
      <c r="BL481" s="89"/>
      <c r="BM481" s="89"/>
      <c r="BN481" s="89"/>
      <c r="BO481" s="89"/>
    </row>
    <row r="482" spans="1:67" ht="15.75" customHeight="1" x14ac:dyDescent="0.3">
      <c r="A482" s="88"/>
      <c r="BG482" s="89"/>
      <c r="BH482" s="89"/>
      <c r="BI482" s="89"/>
      <c r="BJ482" s="89"/>
      <c r="BK482" s="89"/>
      <c r="BL482" s="89"/>
      <c r="BM482" s="89"/>
      <c r="BN482" s="89"/>
      <c r="BO482" s="89"/>
    </row>
    <row r="483" spans="1:67" ht="15.75" customHeight="1" x14ac:dyDescent="0.3">
      <c r="A483" s="88"/>
      <c r="BG483" s="89"/>
      <c r="BH483" s="89"/>
      <c r="BI483" s="89"/>
      <c r="BJ483" s="89"/>
      <c r="BK483" s="89"/>
      <c r="BL483" s="89"/>
      <c r="BM483" s="89"/>
      <c r="BN483" s="89"/>
      <c r="BO483" s="89"/>
    </row>
    <row r="484" spans="1:67" ht="15.75" customHeight="1" x14ac:dyDescent="0.3">
      <c r="A484" s="88"/>
      <c r="BG484" s="89"/>
      <c r="BH484" s="89"/>
      <c r="BI484" s="89"/>
      <c r="BJ484" s="89"/>
      <c r="BK484" s="89"/>
      <c r="BL484" s="89"/>
      <c r="BM484" s="89"/>
      <c r="BN484" s="89"/>
      <c r="BO484" s="89"/>
    </row>
    <row r="485" spans="1:67" ht="15.75" customHeight="1" x14ac:dyDescent="0.3">
      <c r="A485" s="88"/>
      <c r="BG485" s="89"/>
      <c r="BH485" s="89"/>
      <c r="BI485" s="89"/>
      <c r="BJ485" s="89"/>
      <c r="BK485" s="89"/>
      <c r="BL485" s="89"/>
      <c r="BM485" s="89"/>
      <c r="BN485" s="89"/>
      <c r="BO485" s="89"/>
    </row>
    <row r="486" spans="1:67" ht="15.75" customHeight="1" x14ac:dyDescent="0.3">
      <c r="A486" s="88"/>
      <c r="BG486" s="89"/>
      <c r="BH486" s="89"/>
      <c r="BI486" s="89"/>
      <c r="BJ486" s="89"/>
      <c r="BK486" s="89"/>
      <c r="BL486" s="89"/>
      <c r="BM486" s="89"/>
      <c r="BN486" s="89"/>
      <c r="BO486" s="89"/>
    </row>
    <row r="487" spans="1:67" ht="15.75" customHeight="1" x14ac:dyDescent="0.3">
      <c r="A487" s="88"/>
      <c r="BG487" s="89"/>
      <c r="BH487" s="89"/>
      <c r="BI487" s="89"/>
      <c r="BJ487" s="89"/>
      <c r="BK487" s="89"/>
      <c r="BL487" s="89"/>
      <c r="BM487" s="89"/>
      <c r="BN487" s="89"/>
      <c r="BO487" s="89"/>
    </row>
    <row r="488" spans="1:67" ht="15.75" customHeight="1" x14ac:dyDescent="0.3">
      <c r="A488" s="88"/>
      <c r="BG488" s="89"/>
      <c r="BH488" s="89"/>
      <c r="BI488" s="89"/>
      <c r="BJ488" s="89"/>
      <c r="BK488" s="89"/>
      <c r="BL488" s="89"/>
      <c r="BM488" s="89"/>
      <c r="BN488" s="89"/>
      <c r="BO488" s="89"/>
    </row>
    <row r="489" spans="1:67" ht="15.75" customHeight="1" x14ac:dyDescent="0.3">
      <c r="A489" s="88"/>
      <c r="BG489" s="89"/>
      <c r="BH489" s="89"/>
      <c r="BI489" s="89"/>
      <c r="BJ489" s="89"/>
      <c r="BK489" s="89"/>
      <c r="BL489" s="89"/>
      <c r="BM489" s="89"/>
      <c r="BN489" s="89"/>
      <c r="BO489" s="89"/>
    </row>
    <row r="490" spans="1:67" ht="15.75" customHeight="1" x14ac:dyDescent="0.3">
      <c r="A490" s="88"/>
      <c r="BG490" s="89"/>
      <c r="BH490" s="89"/>
      <c r="BI490" s="89"/>
      <c r="BJ490" s="89"/>
      <c r="BK490" s="89"/>
      <c r="BL490" s="89"/>
      <c r="BM490" s="89"/>
      <c r="BN490" s="89"/>
      <c r="BO490" s="89"/>
    </row>
    <row r="491" spans="1:67" ht="15.75" customHeight="1" x14ac:dyDescent="0.3">
      <c r="A491" s="88"/>
      <c r="BG491" s="89"/>
      <c r="BH491" s="89"/>
      <c r="BI491" s="89"/>
      <c r="BJ491" s="89"/>
      <c r="BK491" s="89"/>
      <c r="BL491" s="89"/>
      <c r="BM491" s="89"/>
      <c r="BN491" s="89"/>
      <c r="BO491" s="89"/>
    </row>
    <row r="492" spans="1:67" ht="15.75" customHeight="1" x14ac:dyDescent="0.3">
      <c r="A492" s="88"/>
      <c r="BG492" s="89"/>
      <c r="BH492" s="89"/>
      <c r="BI492" s="89"/>
      <c r="BJ492" s="89"/>
      <c r="BK492" s="89"/>
      <c r="BL492" s="89"/>
      <c r="BM492" s="89"/>
      <c r="BN492" s="89"/>
      <c r="BO492" s="89"/>
    </row>
    <row r="493" spans="1:67" ht="15.75" customHeight="1" x14ac:dyDescent="0.3">
      <c r="A493" s="88"/>
      <c r="BG493" s="89"/>
      <c r="BH493" s="89"/>
      <c r="BI493" s="89"/>
      <c r="BJ493" s="89"/>
      <c r="BK493" s="89"/>
      <c r="BL493" s="89"/>
      <c r="BM493" s="89"/>
      <c r="BN493" s="89"/>
      <c r="BO493" s="89"/>
    </row>
    <row r="494" spans="1:67" ht="15.75" customHeight="1" x14ac:dyDescent="0.3">
      <c r="A494" s="88"/>
      <c r="BG494" s="89"/>
      <c r="BH494" s="89"/>
      <c r="BI494" s="89"/>
      <c r="BJ494" s="89"/>
      <c r="BK494" s="89"/>
      <c r="BL494" s="89"/>
      <c r="BM494" s="89"/>
      <c r="BN494" s="89"/>
      <c r="BO494" s="89"/>
    </row>
    <row r="495" spans="1:67" ht="15.75" customHeight="1" x14ac:dyDescent="0.3">
      <c r="A495" s="88"/>
      <c r="BG495" s="89"/>
      <c r="BH495" s="89"/>
      <c r="BI495" s="89"/>
      <c r="BJ495" s="89"/>
      <c r="BK495" s="89"/>
      <c r="BL495" s="89"/>
      <c r="BM495" s="89"/>
      <c r="BN495" s="89"/>
      <c r="BO495" s="89"/>
    </row>
    <row r="496" spans="1:67" ht="15.75" customHeight="1" x14ac:dyDescent="0.3">
      <c r="A496" s="88"/>
      <c r="BG496" s="89"/>
      <c r="BH496" s="89"/>
      <c r="BI496" s="89"/>
      <c r="BJ496" s="89"/>
      <c r="BK496" s="89"/>
      <c r="BL496" s="89"/>
      <c r="BM496" s="89"/>
      <c r="BN496" s="89"/>
      <c r="BO496" s="89"/>
    </row>
    <row r="497" spans="1:67" ht="15.75" customHeight="1" x14ac:dyDescent="0.3">
      <c r="A497" s="88"/>
      <c r="BG497" s="89"/>
      <c r="BH497" s="89"/>
      <c r="BI497" s="89"/>
      <c r="BJ497" s="89"/>
      <c r="BK497" s="89"/>
      <c r="BL497" s="89"/>
      <c r="BM497" s="89"/>
      <c r="BN497" s="89"/>
      <c r="BO497" s="89"/>
    </row>
    <row r="498" spans="1:67" ht="15.75" customHeight="1" x14ac:dyDescent="0.3">
      <c r="A498" s="88"/>
      <c r="BG498" s="89"/>
      <c r="BH498" s="89"/>
      <c r="BI498" s="89"/>
      <c r="BJ498" s="89"/>
      <c r="BK498" s="89"/>
      <c r="BL498" s="89"/>
      <c r="BM498" s="89"/>
      <c r="BN498" s="89"/>
      <c r="BO498" s="89"/>
    </row>
    <row r="499" spans="1:67" ht="15.75" customHeight="1" x14ac:dyDescent="0.3">
      <c r="A499" s="88"/>
      <c r="BG499" s="89"/>
      <c r="BH499" s="89"/>
      <c r="BI499" s="89"/>
      <c r="BJ499" s="89"/>
      <c r="BK499" s="89"/>
      <c r="BL499" s="89"/>
      <c r="BM499" s="89"/>
      <c r="BN499" s="89"/>
      <c r="BO499" s="89"/>
    </row>
    <row r="500" spans="1:67" ht="15.75" customHeight="1" x14ac:dyDescent="0.3">
      <c r="A500" s="88"/>
      <c r="BG500" s="89"/>
      <c r="BH500" s="89"/>
      <c r="BI500" s="89"/>
      <c r="BJ500" s="89"/>
      <c r="BK500" s="89"/>
      <c r="BL500" s="89"/>
      <c r="BM500" s="89"/>
      <c r="BN500" s="89"/>
      <c r="BO500" s="89"/>
    </row>
    <row r="501" spans="1:67" ht="15.75" customHeight="1" x14ac:dyDescent="0.3">
      <c r="A501" s="88"/>
      <c r="BG501" s="89"/>
      <c r="BH501" s="89"/>
      <c r="BI501" s="89"/>
      <c r="BJ501" s="89"/>
      <c r="BK501" s="89"/>
      <c r="BL501" s="89"/>
      <c r="BM501" s="89"/>
      <c r="BN501" s="89"/>
      <c r="BO501" s="89"/>
    </row>
    <row r="502" spans="1:67" ht="15.75" customHeight="1" x14ac:dyDescent="0.3">
      <c r="A502" s="88"/>
      <c r="BG502" s="89"/>
      <c r="BH502" s="89"/>
      <c r="BI502" s="89"/>
      <c r="BJ502" s="89"/>
      <c r="BK502" s="89"/>
      <c r="BL502" s="89"/>
      <c r="BM502" s="89"/>
      <c r="BN502" s="89"/>
      <c r="BO502" s="89"/>
    </row>
    <row r="503" spans="1:67" ht="15.75" customHeight="1" x14ac:dyDescent="0.3">
      <c r="A503" s="88"/>
      <c r="BG503" s="89"/>
      <c r="BH503" s="89"/>
      <c r="BI503" s="89"/>
      <c r="BJ503" s="89"/>
      <c r="BK503" s="89"/>
      <c r="BL503" s="89"/>
      <c r="BM503" s="89"/>
      <c r="BN503" s="89"/>
      <c r="BO503" s="89"/>
    </row>
    <row r="504" spans="1:67" ht="15.75" customHeight="1" x14ac:dyDescent="0.3">
      <c r="A504" s="88"/>
      <c r="BG504" s="89"/>
      <c r="BH504" s="89"/>
      <c r="BI504" s="89"/>
      <c r="BJ504" s="89"/>
      <c r="BK504" s="89"/>
      <c r="BL504" s="89"/>
      <c r="BM504" s="89"/>
      <c r="BN504" s="89"/>
      <c r="BO504" s="89"/>
    </row>
    <row r="505" spans="1:67" ht="15.75" customHeight="1" x14ac:dyDescent="0.3">
      <c r="A505" s="88"/>
      <c r="BG505" s="89"/>
      <c r="BH505" s="89"/>
      <c r="BI505" s="89"/>
      <c r="BJ505" s="89"/>
      <c r="BK505" s="89"/>
      <c r="BL505" s="89"/>
      <c r="BM505" s="89"/>
      <c r="BN505" s="89"/>
      <c r="BO505" s="89"/>
    </row>
    <row r="506" spans="1:67" ht="15.75" customHeight="1" x14ac:dyDescent="0.3">
      <c r="A506" s="88"/>
      <c r="BG506" s="89"/>
      <c r="BH506" s="89"/>
      <c r="BI506" s="89"/>
      <c r="BJ506" s="89"/>
      <c r="BK506" s="89"/>
      <c r="BL506" s="89"/>
      <c r="BM506" s="89"/>
      <c r="BN506" s="89"/>
      <c r="BO506" s="89"/>
    </row>
    <row r="507" spans="1:67" ht="15.75" customHeight="1" x14ac:dyDescent="0.3">
      <c r="A507" s="88"/>
      <c r="BG507" s="89"/>
      <c r="BH507" s="89"/>
      <c r="BI507" s="89"/>
      <c r="BJ507" s="89"/>
      <c r="BK507" s="89"/>
      <c r="BL507" s="89"/>
      <c r="BM507" s="89"/>
      <c r="BN507" s="89"/>
      <c r="BO507" s="89"/>
    </row>
    <row r="508" spans="1:67" ht="15.75" customHeight="1" x14ac:dyDescent="0.3">
      <c r="A508" s="88"/>
      <c r="BG508" s="89"/>
      <c r="BH508" s="89"/>
      <c r="BI508" s="89"/>
      <c r="BJ508" s="89"/>
      <c r="BK508" s="89"/>
      <c r="BL508" s="89"/>
      <c r="BM508" s="89"/>
      <c r="BN508" s="89"/>
      <c r="BO508" s="89"/>
    </row>
    <row r="509" spans="1:67" ht="15.75" customHeight="1" x14ac:dyDescent="0.3">
      <c r="A509" s="88"/>
      <c r="BG509" s="89"/>
      <c r="BH509" s="89"/>
      <c r="BI509" s="89"/>
      <c r="BJ509" s="89"/>
      <c r="BK509" s="89"/>
      <c r="BL509" s="89"/>
      <c r="BM509" s="89"/>
      <c r="BN509" s="89"/>
      <c r="BO509" s="89"/>
    </row>
    <row r="510" spans="1:67" ht="15.75" customHeight="1" x14ac:dyDescent="0.3">
      <c r="A510" s="88"/>
      <c r="BG510" s="89"/>
      <c r="BH510" s="89"/>
      <c r="BI510" s="89"/>
      <c r="BJ510" s="89"/>
      <c r="BK510" s="89"/>
      <c r="BL510" s="89"/>
      <c r="BM510" s="89"/>
      <c r="BN510" s="89"/>
      <c r="BO510" s="89"/>
    </row>
    <row r="511" spans="1:67" ht="15.75" customHeight="1" x14ac:dyDescent="0.3">
      <c r="A511" s="88"/>
      <c r="BG511" s="89"/>
      <c r="BH511" s="89"/>
      <c r="BI511" s="89"/>
      <c r="BJ511" s="89"/>
      <c r="BK511" s="89"/>
      <c r="BL511" s="89"/>
      <c r="BM511" s="89"/>
      <c r="BN511" s="89"/>
      <c r="BO511" s="89"/>
    </row>
    <row r="512" spans="1:67" ht="15.75" customHeight="1" x14ac:dyDescent="0.3">
      <c r="A512" s="88"/>
      <c r="BG512" s="89"/>
      <c r="BH512" s="89"/>
      <c r="BI512" s="89"/>
      <c r="BJ512" s="89"/>
      <c r="BK512" s="89"/>
      <c r="BL512" s="89"/>
      <c r="BM512" s="89"/>
      <c r="BN512" s="89"/>
      <c r="BO512" s="89"/>
    </row>
    <row r="513" spans="1:67" ht="15.75" customHeight="1" x14ac:dyDescent="0.3">
      <c r="A513" s="88"/>
      <c r="BG513" s="89"/>
      <c r="BH513" s="89"/>
      <c r="BI513" s="89"/>
      <c r="BJ513" s="89"/>
      <c r="BK513" s="89"/>
      <c r="BL513" s="89"/>
      <c r="BM513" s="89"/>
      <c r="BN513" s="89"/>
      <c r="BO513" s="89"/>
    </row>
    <row r="514" spans="1:67" ht="15.75" customHeight="1" x14ac:dyDescent="0.3">
      <c r="A514" s="88"/>
      <c r="BG514" s="89"/>
      <c r="BH514" s="89"/>
      <c r="BI514" s="89"/>
      <c r="BJ514" s="89"/>
      <c r="BK514" s="89"/>
      <c r="BL514" s="89"/>
      <c r="BM514" s="89"/>
      <c r="BN514" s="89"/>
      <c r="BO514" s="89"/>
    </row>
    <row r="515" spans="1:67" ht="15.75" customHeight="1" x14ac:dyDescent="0.3">
      <c r="A515" s="88"/>
      <c r="BG515" s="89"/>
      <c r="BH515" s="89"/>
      <c r="BI515" s="89"/>
      <c r="BJ515" s="89"/>
      <c r="BK515" s="89"/>
      <c r="BL515" s="89"/>
      <c r="BM515" s="89"/>
      <c r="BN515" s="89"/>
      <c r="BO515" s="89"/>
    </row>
    <row r="516" spans="1:67" ht="15.75" customHeight="1" x14ac:dyDescent="0.3">
      <c r="A516" s="88"/>
      <c r="BG516" s="89"/>
      <c r="BH516" s="89"/>
      <c r="BI516" s="89"/>
      <c r="BJ516" s="89"/>
      <c r="BK516" s="89"/>
      <c r="BL516" s="89"/>
      <c r="BM516" s="89"/>
      <c r="BN516" s="89"/>
      <c r="BO516" s="89"/>
    </row>
    <row r="517" spans="1:67" ht="15.75" customHeight="1" x14ac:dyDescent="0.3">
      <c r="A517" s="88"/>
      <c r="BG517" s="89"/>
      <c r="BH517" s="89"/>
      <c r="BI517" s="89"/>
      <c r="BJ517" s="89"/>
      <c r="BK517" s="89"/>
      <c r="BL517" s="89"/>
      <c r="BM517" s="89"/>
      <c r="BN517" s="89"/>
      <c r="BO517" s="89"/>
    </row>
    <row r="518" spans="1:67" ht="15.75" customHeight="1" x14ac:dyDescent="0.3">
      <c r="A518" s="88"/>
      <c r="BG518" s="89"/>
      <c r="BH518" s="89"/>
      <c r="BI518" s="89"/>
      <c r="BJ518" s="89"/>
      <c r="BK518" s="89"/>
      <c r="BL518" s="89"/>
      <c r="BM518" s="89"/>
      <c r="BN518" s="89"/>
      <c r="BO518" s="89"/>
    </row>
    <row r="519" spans="1:67" ht="15.75" customHeight="1" x14ac:dyDescent="0.3">
      <c r="A519" s="88"/>
      <c r="BG519" s="89"/>
      <c r="BH519" s="89"/>
      <c r="BI519" s="89"/>
      <c r="BJ519" s="89"/>
      <c r="BK519" s="89"/>
      <c r="BL519" s="89"/>
      <c r="BM519" s="89"/>
      <c r="BN519" s="89"/>
      <c r="BO519" s="89"/>
    </row>
    <row r="520" spans="1:67" ht="15.75" customHeight="1" x14ac:dyDescent="0.3">
      <c r="A520" s="88"/>
      <c r="BG520" s="89"/>
      <c r="BH520" s="89"/>
      <c r="BI520" s="89"/>
      <c r="BJ520" s="89"/>
      <c r="BK520" s="89"/>
      <c r="BL520" s="89"/>
      <c r="BM520" s="89"/>
      <c r="BN520" s="89"/>
      <c r="BO520" s="89"/>
    </row>
    <row r="521" spans="1:67" ht="15.75" customHeight="1" x14ac:dyDescent="0.3">
      <c r="A521" s="88"/>
      <c r="BG521" s="89"/>
      <c r="BH521" s="89"/>
      <c r="BI521" s="89"/>
      <c r="BJ521" s="89"/>
      <c r="BK521" s="89"/>
      <c r="BL521" s="89"/>
      <c r="BM521" s="89"/>
      <c r="BN521" s="89"/>
      <c r="BO521" s="89"/>
    </row>
    <row r="522" spans="1:67" ht="15.75" customHeight="1" x14ac:dyDescent="0.3">
      <c r="A522" s="88"/>
      <c r="BG522" s="89"/>
      <c r="BH522" s="89"/>
      <c r="BI522" s="89"/>
      <c r="BJ522" s="89"/>
      <c r="BK522" s="89"/>
      <c r="BL522" s="89"/>
      <c r="BM522" s="89"/>
      <c r="BN522" s="89"/>
      <c r="BO522" s="89"/>
    </row>
    <row r="523" spans="1:67" ht="15.75" customHeight="1" x14ac:dyDescent="0.3">
      <c r="A523" s="88"/>
      <c r="BG523" s="89"/>
      <c r="BH523" s="89"/>
      <c r="BI523" s="89"/>
      <c r="BJ523" s="89"/>
      <c r="BK523" s="89"/>
      <c r="BL523" s="89"/>
      <c r="BM523" s="89"/>
      <c r="BN523" s="89"/>
      <c r="BO523" s="89"/>
    </row>
    <row r="524" spans="1:67" ht="15.75" customHeight="1" x14ac:dyDescent="0.3">
      <c r="A524" s="88"/>
      <c r="BG524" s="89"/>
      <c r="BH524" s="89"/>
      <c r="BI524" s="89"/>
      <c r="BJ524" s="89"/>
      <c r="BK524" s="89"/>
      <c r="BL524" s="89"/>
      <c r="BM524" s="89"/>
      <c r="BN524" s="89"/>
      <c r="BO524" s="89"/>
    </row>
    <row r="525" spans="1:67" ht="15.75" customHeight="1" x14ac:dyDescent="0.3">
      <c r="A525" s="88"/>
      <c r="BG525" s="89"/>
      <c r="BH525" s="89"/>
      <c r="BI525" s="89"/>
      <c r="BJ525" s="89"/>
      <c r="BK525" s="89"/>
      <c r="BL525" s="89"/>
      <c r="BM525" s="89"/>
      <c r="BN525" s="89"/>
      <c r="BO525" s="89"/>
    </row>
    <row r="526" spans="1:67" ht="15.75" customHeight="1" x14ac:dyDescent="0.3">
      <c r="A526" s="88"/>
      <c r="BG526" s="89"/>
      <c r="BH526" s="89"/>
      <c r="BI526" s="89"/>
      <c r="BJ526" s="89"/>
      <c r="BK526" s="89"/>
      <c r="BL526" s="89"/>
      <c r="BM526" s="89"/>
      <c r="BN526" s="89"/>
      <c r="BO526" s="89"/>
    </row>
    <row r="527" spans="1:67" ht="15.75" customHeight="1" x14ac:dyDescent="0.3">
      <c r="A527" s="88"/>
      <c r="BG527" s="89"/>
      <c r="BH527" s="89"/>
      <c r="BI527" s="89"/>
      <c r="BJ527" s="89"/>
      <c r="BK527" s="89"/>
      <c r="BL527" s="89"/>
      <c r="BM527" s="89"/>
      <c r="BN527" s="89"/>
      <c r="BO527" s="89"/>
    </row>
    <row r="528" spans="1:67" ht="15.75" customHeight="1" x14ac:dyDescent="0.3">
      <c r="A528" s="88"/>
      <c r="BG528" s="89"/>
      <c r="BH528" s="89"/>
      <c r="BI528" s="89"/>
      <c r="BJ528" s="89"/>
      <c r="BK528" s="89"/>
      <c r="BL528" s="89"/>
      <c r="BM528" s="89"/>
      <c r="BN528" s="89"/>
      <c r="BO528" s="89"/>
    </row>
    <row r="529" spans="1:67" ht="15.75" customHeight="1" x14ac:dyDescent="0.3">
      <c r="A529" s="88"/>
      <c r="BG529" s="89"/>
      <c r="BH529" s="89"/>
      <c r="BI529" s="89"/>
      <c r="BJ529" s="89"/>
      <c r="BK529" s="89"/>
      <c r="BL529" s="89"/>
      <c r="BM529" s="89"/>
      <c r="BN529" s="89"/>
      <c r="BO529" s="89"/>
    </row>
    <row r="530" spans="1:67" ht="15.75" customHeight="1" x14ac:dyDescent="0.3">
      <c r="A530" s="88"/>
      <c r="BG530" s="89"/>
      <c r="BH530" s="89"/>
      <c r="BI530" s="89"/>
      <c r="BJ530" s="89"/>
      <c r="BK530" s="89"/>
      <c r="BL530" s="89"/>
      <c r="BM530" s="89"/>
      <c r="BN530" s="89"/>
      <c r="BO530" s="89"/>
    </row>
    <row r="531" spans="1:67" ht="15.75" customHeight="1" x14ac:dyDescent="0.3">
      <c r="A531" s="88"/>
      <c r="BG531" s="89"/>
      <c r="BH531" s="89"/>
      <c r="BI531" s="89"/>
      <c r="BJ531" s="89"/>
      <c r="BK531" s="89"/>
      <c r="BL531" s="89"/>
      <c r="BM531" s="89"/>
      <c r="BN531" s="89"/>
      <c r="BO531" s="89"/>
    </row>
    <row r="532" spans="1:67" ht="15.75" customHeight="1" x14ac:dyDescent="0.3">
      <c r="A532" s="88"/>
      <c r="BG532" s="89"/>
      <c r="BH532" s="89"/>
      <c r="BI532" s="89"/>
      <c r="BJ532" s="89"/>
      <c r="BK532" s="89"/>
      <c r="BL532" s="89"/>
      <c r="BM532" s="89"/>
      <c r="BN532" s="89"/>
      <c r="BO532" s="89"/>
    </row>
    <row r="533" spans="1:67" ht="15.75" customHeight="1" x14ac:dyDescent="0.3">
      <c r="A533" s="88"/>
      <c r="BG533" s="89"/>
      <c r="BH533" s="89"/>
      <c r="BI533" s="89"/>
      <c r="BJ533" s="89"/>
      <c r="BK533" s="89"/>
      <c r="BL533" s="89"/>
      <c r="BM533" s="89"/>
      <c r="BN533" s="89"/>
      <c r="BO533" s="89"/>
    </row>
    <row r="534" spans="1:67" ht="15.75" customHeight="1" x14ac:dyDescent="0.3">
      <c r="A534" s="88"/>
      <c r="BG534" s="89"/>
      <c r="BH534" s="89"/>
      <c r="BI534" s="89"/>
      <c r="BJ534" s="89"/>
      <c r="BK534" s="89"/>
      <c r="BL534" s="89"/>
      <c r="BM534" s="89"/>
      <c r="BN534" s="89"/>
      <c r="BO534" s="89"/>
    </row>
    <row r="535" spans="1:67" ht="15.75" customHeight="1" x14ac:dyDescent="0.3">
      <c r="A535" s="88"/>
      <c r="BG535" s="89"/>
      <c r="BH535" s="89"/>
      <c r="BI535" s="89"/>
      <c r="BJ535" s="89"/>
      <c r="BK535" s="89"/>
      <c r="BL535" s="89"/>
      <c r="BM535" s="89"/>
      <c r="BN535" s="89"/>
      <c r="BO535" s="89"/>
    </row>
    <row r="536" spans="1:67" ht="15.75" customHeight="1" x14ac:dyDescent="0.3">
      <c r="A536" s="88"/>
      <c r="BG536" s="89"/>
      <c r="BH536" s="89"/>
      <c r="BI536" s="89"/>
      <c r="BJ536" s="89"/>
      <c r="BK536" s="89"/>
      <c r="BL536" s="89"/>
      <c r="BM536" s="89"/>
      <c r="BN536" s="89"/>
      <c r="BO536" s="89"/>
    </row>
    <row r="537" spans="1:67" ht="15.75" customHeight="1" x14ac:dyDescent="0.3">
      <c r="A537" s="88"/>
      <c r="BG537" s="89"/>
      <c r="BH537" s="89"/>
      <c r="BI537" s="89"/>
      <c r="BJ537" s="89"/>
      <c r="BK537" s="89"/>
      <c r="BL537" s="89"/>
      <c r="BM537" s="89"/>
      <c r="BN537" s="89"/>
      <c r="BO537" s="89"/>
    </row>
    <row r="538" spans="1:67" ht="15.75" customHeight="1" x14ac:dyDescent="0.3">
      <c r="A538" s="88"/>
      <c r="BG538" s="89"/>
      <c r="BH538" s="89"/>
      <c r="BI538" s="89"/>
      <c r="BJ538" s="89"/>
      <c r="BK538" s="89"/>
      <c r="BL538" s="89"/>
      <c r="BM538" s="89"/>
      <c r="BN538" s="89"/>
      <c r="BO538" s="89"/>
    </row>
    <row r="539" spans="1:67" ht="15.75" customHeight="1" x14ac:dyDescent="0.3">
      <c r="A539" s="88"/>
      <c r="BG539" s="89"/>
      <c r="BH539" s="89"/>
      <c r="BI539" s="89"/>
      <c r="BJ539" s="89"/>
      <c r="BK539" s="89"/>
      <c r="BL539" s="89"/>
      <c r="BM539" s="89"/>
      <c r="BN539" s="89"/>
      <c r="BO539" s="89"/>
    </row>
    <row r="540" spans="1:67" ht="15.75" customHeight="1" x14ac:dyDescent="0.3">
      <c r="A540" s="88"/>
      <c r="BG540" s="89"/>
      <c r="BH540" s="89"/>
      <c r="BI540" s="89"/>
      <c r="BJ540" s="89"/>
      <c r="BK540" s="89"/>
      <c r="BL540" s="89"/>
      <c r="BM540" s="89"/>
      <c r="BN540" s="89"/>
      <c r="BO540" s="89"/>
    </row>
    <row r="541" spans="1:67" ht="15.75" customHeight="1" x14ac:dyDescent="0.3">
      <c r="A541" s="88"/>
      <c r="BG541" s="89"/>
      <c r="BH541" s="89"/>
      <c r="BI541" s="89"/>
      <c r="BJ541" s="89"/>
      <c r="BK541" s="89"/>
      <c r="BL541" s="89"/>
      <c r="BM541" s="89"/>
      <c r="BN541" s="89"/>
      <c r="BO541" s="89"/>
    </row>
    <row r="542" spans="1:67" ht="15.75" customHeight="1" x14ac:dyDescent="0.3">
      <c r="A542" s="88"/>
      <c r="BG542" s="89"/>
      <c r="BH542" s="89"/>
      <c r="BI542" s="89"/>
      <c r="BJ542" s="89"/>
      <c r="BK542" s="89"/>
      <c r="BL542" s="89"/>
      <c r="BM542" s="89"/>
      <c r="BN542" s="89"/>
      <c r="BO542" s="89"/>
    </row>
    <row r="543" spans="1:67" ht="15.75" customHeight="1" x14ac:dyDescent="0.3">
      <c r="A543" s="88"/>
      <c r="BG543" s="89"/>
      <c r="BH543" s="89"/>
      <c r="BI543" s="89"/>
      <c r="BJ543" s="89"/>
      <c r="BK543" s="89"/>
      <c r="BL543" s="89"/>
      <c r="BM543" s="89"/>
      <c r="BN543" s="89"/>
      <c r="BO543" s="89"/>
    </row>
    <row r="544" spans="1:67" ht="15.75" customHeight="1" x14ac:dyDescent="0.3">
      <c r="A544" s="88"/>
      <c r="BG544" s="89"/>
      <c r="BH544" s="89"/>
      <c r="BI544" s="89"/>
      <c r="BJ544" s="89"/>
      <c r="BK544" s="89"/>
      <c r="BL544" s="89"/>
      <c r="BM544" s="89"/>
      <c r="BN544" s="89"/>
      <c r="BO544" s="89"/>
    </row>
    <row r="545" spans="1:67" ht="15.75" customHeight="1" x14ac:dyDescent="0.3">
      <c r="A545" s="88"/>
      <c r="BG545" s="89"/>
      <c r="BH545" s="89"/>
      <c r="BI545" s="89"/>
      <c r="BJ545" s="89"/>
      <c r="BK545" s="89"/>
      <c r="BL545" s="89"/>
      <c r="BM545" s="89"/>
      <c r="BN545" s="89"/>
      <c r="BO545" s="89"/>
    </row>
    <row r="546" spans="1:67" ht="15.75" customHeight="1" x14ac:dyDescent="0.3">
      <c r="A546" s="88"/>
      <c r="BG546" s="89"/>
      <c r="BH546" s="89"/>
      <c r="BI546" s="89"/>
      <c r="BJ546" s="89"/>
      <c r="BK546" s="89"/>
      <c r="BL546" s="89"/>
      <c r="BM546" s="89"/>
      <c r="BN546" s="89"/>
      <c r="BO546" s="89"/>
    </row>
    <row r="547" spans="1:67" ht="15.75" customHeight="1" x14ac:dyDescent="0.3">
      <c r="A547" s="88"/>
      <c r="BG547" s="89"/>
      <c r="BH547" s="89"/>
      <c r="BI547" s="89"/>
      <c r="BJ547" s="89"/>
      <c r="BK547" s="89"/>
      <c r="BL547" s="89"/>
      <c r="BM547" s="89"/>
      <c r="BN547" s="89"/>
      <c r="BO547" s="89"/>
    </row>
    <row r="548" spans="1:67" ht="15.75" customHeight="1" x14ac:dyDescent="0.3">
      <c r="A548" s="88"/>
      <c r="BG548" s="89"/>
      <c r="BH548" s="89"/>
      <c r="BI548" s="89"/>
      <c r="BJ548" s="89"/>
      <c r="BK548" s="89"/>
      <c r="BL548" s="89"/>
      <c r="BM548" s="89"/>
      <c r="BN548" s="89"/>
      <c r="BO548" s="89"/>
    </row>
    <row r="549" spans="1:67" ht="15.75" customHeight="1" x14ac:dyDescent="0.3">
      <c r="A549" s="88"/>
      <c r="BG549" s="89"/>
      <c r="BH549" s="89"/>
      <c r="BI549" s="89"/>
      <c r="BJ549" s="89"/>
      <c r="BK549" s="89"/>
      <c r="BL549" s="89"/>
      <c r="BM549" s="89"/>
      <c r="BN549" s="89"/>
      <c r="BO549" s="89"/>
    </row>
    <row r="550" spans="1:67" ht="15.75" customHeight="1" x14ac:dyDescent="0.3">
      <c r="A550" s="88"/>
      <c r="BG550" s="89"/>
      <c r="BH550" s="89"/>
      <c r="BI550" s="89"/>
      <c r="BJ550" s="89"/>
      <c r="BK550" s="89"/>
      <c r="BL550" s="89"/>
      <c r="BM550" s="89"/>
      <c r="BN550" s="89"/>
      <c r="BO550" s="89"/>
    </row>
    <row r="551" spans="1:67" ht="15.75" customHeight="1" x14ac:dyDescent="0.3">
      <c r="A551" s="88"/>
      <c r="BG551" s="89"/>
      <c r="BH551" s="89"/>
      <c r="BI551" s="89"/>
      <c r="BJ551" s="89"/>
      <c r="BK551" s="89"/>
      <c r="BL551" s="89"/>
      <c r="BM551" s="89"/>
      <c r="BN551" s="89"/>
      <c r="BO551" s="89"/>
    </row>
    <row r="552" spans="1:67" ht="15.75" customHeight="1" x14ac:dyDescent="0.3">
      <c r="A552" s="88"/>
      <c r="BG552" s="89"/>
      <c r="BH552" s="89"/>
      <c r="BI552" s="89"/>
      <c r="BJ552" s="89"/>
      <c r="BK552" s="89"/>
      <c r="BL552" s="89"/>
      <c r="BM552" s="89"/>
      <c r="BN552" s="89"/>
      <c r="BO552" s="89"/>
    </row>
    <row r="553" spans="1:67" ht="15.75" customHeight="1" x14ac:dyDescent="0.3">
      <c r="A553" s="88"/>
      <c r="BG553" s="89"/>
      <c r="BH553" s="89"/>
      <c r="BI553" s="89"/>
      <c r="BJ553" s="89"/>
      <c r="BK553" s="89"/>
      <c r="BL553" s="89"/>
      <c r="BM553" s="89"/>
      <c r="BN553" s="89"/>
      <c r="BO553" s="89"/>
    </row>
    <row r="554" spans="1:67" ht="15.75" customHeight="1" x14ac:dyDescent="0.3">
      <c r="A554" s="88"/>
      <c r="BG554" s="89"/>
      <c r="BH554" s="89"/>
      <c r="BI554" s="89"/>
      <c r="BJ554" s="89"/>
      <c r="BK554" s="89"/>
      <c r="BL554" s="89"/>
      <c r="BM554" s="89"/>
      <c r="BN554" s="89"/>
      <c r="BO554" s="89"/>
    </row>
    <row r="555" spans="1:67" ht="15.75" customHeight="1" x14ac:dyDescent="0.3">
      <c r="A555" s="88"/>
      <c r="BG555" s="89"/>
      <c r="BH555" s="89"/>
      <c r="BI555" s="89"/>
      <c r="BJ555" s="89"/>
      <c r="BK555" s="89"/>
      <c r="BL555" s="89"/>
      <c r="BM555" s="89"/>
      <c r="BN555" s="89"/>
      <c r="BO555" s="89"/>
    </row>
    <row r="556" spans="1:67" ht="15.75" customHeight="1" x14ac:dyDescent="0.3">
      <c r="A556" s="88"/>
      <c r="BG556" s="89"/>
      <c r="BH556" s="89"/>
      <c r="BI556" s="89"/>
      <c r="BJ556" s="89"/>
      <c r="BK556" s="89"/>
      <c r="BL556" s="89"/>
      <c r="BM556" s="89"/>
      <c r="BN556" s="89"/>
      <c r="BO556" s="89"/>
    </row>
    <row r="557" spans="1:67" ht="15.75" customHeight="1" x14ac:dyDescent="0.3">
      <c r="A557" s="88"/>
      <c r="BG557" s="89"/>
      <c r="BH557" s="89"/>
      <c r="BI557" s="89"/>
      <c r="BJ557" s="89"/>
      <c r="BK557" s="89"/>
      <c r="BL557" s="89"/>
      <c r="BM557" s="89"/>
      <c r="BN557" s="89"/>
      <c r="BO557" s="89"/>
    </row>
    <row r="558" spans="1:67" ht="15.75" customHeight="1" x14ac:dyDescent="0.3">
      <c r="A558" s="88"/>
      <c r="BG558" s="89"/>
      <c r="BH558" s="89"/>
      <c r="BI558" s="89"/>
      <c r="BJ558" s="89"/>
      <c r="BK558" s="89"/>
      <c r="BL558" s="89"/>
      <c r="BM558" s="89"/>
      <c r="BN558" s="89"/>
      <c r="BO558" s="89"/>
    </row>
    <row r="559" spans="1:67" ht="15.75" customHeight="1" x14ac:dyDescent="0.3">
      <c r="A559" s="88"/>
      <c r="BG559" s="89"/>
      <c r="BH559" s="89"/>
      <c r="BI559" s="89"/>
      <c r="BJ559" s="89"/>
      <c r="BK559" s="89"/>
      <c r="BL559" s="89"/>
      <c r="BM559" s="89"/>
      <c r="BN559" s="89"/>
      <c r="BO559" s="89"/>
    </row>
    <row r="560" spans="1:67" ht="15.75" customHeight="1" x14ac:dyDescent="0.3">
      <c r="A560" s="88"/>
      <c r="BG560" s="89"/>
      <c r="BH560" s="89"/>
      <c r="BI560" s="89"/>
      <c r="BJ560" s="89"/>
      <c r="BK560" s="89"/>
      <c r="BL560" s="89"/>
      <c r="BM560" s="89"/>
      <c r="BN560" s="89"/>
      <c r="BO560" s="89"/>
    </row>
    <row r="561" spans="1:67" ht="15.75" customHeight="1" x14ac:dyDescent="0.3">
      <c r="A561" s="88"/>
      <c r="BG561" s="89"/>
      <c r="BH561" s="89"/>
      <c r="BI561" s="89"/>
      <c r="BJ561" s="89"/>
      <c r="BK561" s="89"/>
      <c r="BL561" s="89"/>
      <c r="BM561" s="89"/>
      <c r="BN561" s="89"/>
      <c r="BO561" s="89"/>
    </row>
    <row r="562" spans="1:67" ht="15.75" customHeight="1" x14ac:dyDescent="0.3">
      <c r="A562" s="88"/>
      <c r="BG562" s="89"/>
      <c r="BH562" s="89"/>
      <c r="BI562" s="89"/>
      <c r="BJ562" s="89"/>
      <c r="BK562" s="89"/>
      <c r="BL562" s="89"/>
      <c r="BM562" s="89"/>
      <c r="BN562" s="89"/>
      <c r="BO562" s="89"/>
    </row>
    <row r="563" spans="1:67" ht="15.75" customHeight="1" x14ac:dyDescent="0.3">
      <c r="A563" s="88"/>
      <c r="BG563" s="89"/>
      <c r="BH563" s="89"/>
      <c r="BI563" s="89"/>
      <c r="BJ563" s="89"/>
      <c r="BK563" s="89"/>
      <c r="BL563" s="89"/>
      <c r="BM563" s="89"/>
      <c r="BN563" s="89"/>
      <c r="BO563" s="89"/>
    </row>
    <row r="564" spans="1:67" ht="15.75" customHeight="1" x14ac:dyDescent="0.3">
      <c r="A564" s="88"/>
      <c r="BG564" s="89"/>
      <c r="BH564" s="89"/>
      <c r="BI564" s="89"/>
      <c r="BJ564" s="89"/>
      <c r="BK564" s="89"/>
      <c r="BL564" s="89"/>
      <c r="BM564" s="89"/>
      <c r="BN564" s="89"/>
      <c r="BO564" s="89"/>
    </row>
    <row r="565" spans="1:67" ht="15.75" customHeight="1" x14ac:dyDescent="0.3">
      <c r="A565" s="88"/>
      <c r="BG565" s="89"/>
      <c r="BH565" s="89"/>
      <c r="BI565" s="89"/>
      <c r="BJ565" s="89"/>
      <c r="BK565" s="89"/>
      <c r="BL565" s="89"/>
      <c r="BM565" s="89"/>
      <c r="BN565" s="89"/>
      <c r="BO565" s="89"/>
    </row>
    <row r="566" spans="1:67" ht="15.75" customHeight="1" x14ac:dyDescent="0.3">
      <c r="A566" s="88"/>
      <c r="BG566" s="89"/>
      <c r="BH566" s="89"/>
      <c r="BI566" s="89"/>
      <c r="BJ566" s="89"/>
      <c r="BK566" s="89"/>
      <c r="BL566" s="89"/>
      <c r="BM566" s="89"/>
      <c r="BN566" s="89"/>
      <c r="BO566" s="89"/>
    </row>
    <row r="567" spans="1:67" ht="15.75" customHeight="1" x14ac:dyDescent="0.3">
      <c r="A567" s="88"/>
      <c r="BG567" s="89"/>
      <c r="BH567" s="89"/>
      <c r="BI567" s="89"/>
      <c r="BJ567" s="89"/>
      <c r="BK567" s="89"/>
      <c r="BL567" s="89"/>
      <c r="BM567" s="89"/>
      <c r="BN567" s="89"/>
      <c r="BO567" s="89"/>
    </row>
    <row r="568" spans="1:67" ht="15.75" customHeight="1" x14ac:dyDescent="0.3">
      <c r="A568" s="88"/>
      <c r="BG568" s="89"/>
      <c r="BH568" s="89"/>
      <c r="BI568" s="89"/>
      <c r="BJ568" s="89"/>
      <c r="BK568" s="89"/>
      <c r="BL568" s="89"/>
      <c r="BM568" s="89"/>
      <c r="BN568" s="89"/>
      <c r="BO568" s="89"/>
    </row>
    <row r="569" spans="1:67" ht="15.75" customHeight="1" x14ac:dyDescent="0.3">
      <c r="A569" s="88"/>
      <c r="BG569" s="89"/>
      <c r="BH569" s="89"/>
      <c r="BI569" s="89"/>
      <c r="BJ569" s="89"/>
      <c r="BK569" s="89"/>
      <c r="BL569" s="89"/>
      <c r="BM569" s="89"/>
      <c r="BN569" s="89"/>
      <c r="BO569" s="89"/>
    </row>
    <row r="570" spans="1:67" ht="15.75" customHeight="1" x14ac:dyDescent="0.3">
      <c r="A570" s="88"/>
      <c r="BG570" s="89"/>
      <c r="BH570" s="89"/>
      <c r="BI570" s="89"/>
      <c r="BJ570" s="89"/>
      <c r="BK570" s="89"/>
      <c r="BL570" s="89"/>
      <c r="BM570" s="89"/>
      <c r="BN570" s="89"/>
      <c r="BO570" s="89"/>
    </row>
    <row r="571" spans="1:67" ht="15.75" customHeight="1" x14ac:dyDescent="0.3">
      <c r="A571" s="88"/>
      <c r="BG571" s="89"/>
      <c r="BH571" s="89"/>
      <c r="BI571" s="89"/>
      <c r="BJ571" s="89"/>
      <c r="BK571" s="89"/>
      <c r="BL571" s="89"/>
      <c r="BM571" s="89"/>
      <c r="BN571" s="89"/>
      <c r="BO571" s="89"/>
    </row>
    <row r="572" spans="1:67" ht="15.75" customHeight="1" x14ac:dyDescent="0.3">
      <c r="A572" s="88"/>
      <c r="BG572" s="89"/>
      <c r="BH572" s="89"/>
      <c r="BI572" s="89"/>
      <c r="BJ572" s="89"/>
      <c r="BK572" s="89"/>
      <c r="BL572" s="89"/>
      <c r="BM572" s="89"/>
      <c r="BN572" s="89"/>
      <c r="BO572" s="89"/>
    </row>
    <row r="573" spans="1:67" ht="15.75" customHeight="1" x14ac:dyDescent="0.3">
      <c r="A573" s="88"/>
      <c r="BG573" s="89"/>
      <c r="BH573" s="89"/>
      <c r="BI573" s="89"/>
      <c r="BJ573" s="89"/>
      <c r="BK573" s="89"/>
      <c r="BL573" s="89"/>
      <c r="BM573" s="89"/>
      <c r="BN573" s="89"/>
      <c r="BO573" s="89"/>
    </row>
    <row r="574" spans="1:67" ht="15.75" customHeight="1" x14ac:dyDescent="0.3">
      <c r="A574" s="88"/>
      <c r="BG574" s="89"/>
      <c r="BH574" s="89"/>
      <c r="BI574" s="89"/>
      <c r="BJ574" s="89"/>
      <c r="BK574" s="89"/>
      <c r="BL574" s="89"/>
      <c r="BM574" s="89"/>
      <c r="BN574" s="89"/>
      <c r="BO574" s="89"/>
    </row>
    <row r="575" spans="1:67" ht="15.75" customHeight="1" x14ac:dyDescent="0.3">
      <c r="A575" s="88"/>
      <c r="BG575" s="89"/>
      <c r="BH575" s="89"/>
      <c r="BI575" s="89"/>
      <c r="BJ575" s="89"/>
      <c r="BK575" s="89"/>
      <c r="BL575" s="89"/>
      <c r="BM575" s="89"/>
      <c r="BN575" s="89"/>
      <c r="BO575" s="89"/>
    </row>
    <row r="576" spans="1:67" ht="15.75" customHeight="1" x14ac:dyDescent="0.3">
      <c r="A576" s="88"/>
      <c r="BG576" s="89"/>
      <c r="BH576" s="89"/>
      <c r="BI576" s="89"/>
      <c r="BJ576" s="89"/>
      <c r="BK576" s="89"/>
      <c r="BL576" s="89"/>
      <c r="BM576" s="89"/>
      <c r="BN576" s="89"/>
      <c r="BO576" s="89"/>
    </row>
    <row r="577" spans="1:67" ht="15.75" customHeight="1" x14ac:dyDescent="0.3">
      <c r="A577" s="88"/>
      <c r="BG577" s="89"/>
      <c r="BH577" s="89"/>
      <c r="BI577" s="89"/>
      <c r="BJ577" s="89"/>
      <c r="BK577" s="89"/>
      <c r="BL577" s="89"/>
      <c r="BM577" s="89"/>
      <c r="BN577" s="89"/>
      <c r="BO577" s="89"/>
    </row>
    <row r="578" spans="1:67" ht="15.75" customHeight="1" x14ac:dyDescent="0.3">
      <c r="A578" s="88"/>
      <c r="BG578" s="89"/>
      <c r="BH578" s="89"/>
      <c r="BI578" s="89"/>
      <c r="BJ578" s="89"/>
      <c r="BK578" s="89"/>
      <c r="BL578" s="89"/>
      <c r="BM578" s="89"/>
      <c r="BN578" s="89"/>
      <c r="BO578" s="89"/>
    </row>
    <row r="579" spans="1:67" ht="15.75" customHeight="1" x14ac:dyDescent="0.3">
      <c r="A579" s="88"/>
      <c r="BG579" s="89"/>
      <c r="BH579" s="89"/>
      <c r="BI579" s="89"/>
      <c r="BJ579" s="89"/>
      <c r="BK579" s="89"/>
      <c r="BL579" s="89"/>
      <c r="BM579" s="89"/>
      <c r="BN579" s="89"/>
      <c r="BO579" s="89"/>
    </row>
    <row r="580" spans="1:67" ht="15.75" customHeight="1" x14ac:dyDescent="0.3">
      <c r="A580" s="88"/>
      <c r="BG580" s="89"/>
      <c r="BH580" s="89"/>
      <c r="BI580" s="89"/>
      <c r="BJ580" s="89"/>
      <c r="BK580" s="89"/>
      <c r="BL580" s="89"/>
      <c r="BM580" s="89"/>
      <c r="BN580" s="89"/>
      <c r="BO580" s="89"/>
    </row>
    <row r="581" spans="1:67" ht="15.75" customHeight="1" x14ac:dyDescent="0.3">
      <c r="A581" s="88"/>
      <c r="BG581" s="89"/>
      <c r="BH581" s="89"/>
      <c r="BI581" s="89"/>
      <c r="BJ581" s="89"/>
      <c r="BK581" s="89"/>
      <c r="BL581" s="89"/>
      <c r="BM581" s="89"/>
      <c r="BN581" s="89"/>
      <c r="BO581" s="89"/>
    </row>
    <row r="582" spans="1:67" ht="15.75" customHeight="1" x14ac:dyDescent="0.3">
      <c r="A582" s="88"/>
      <c r="BG582" s="89"/>
      <c r="BH582" s="89"/>
      <c r="BI582" s="89"/>
      <c r="BJ582" s="89"/>
      <c r="BK582" s="89"/>
      <c r="BL582" s="89"/>
      <c r="BM582" s="89"/>
      <c r="BN582" s="89"/>
      <c r="BO582" s="89"/>
    </row>
    <row r="583" spans="1:67" ht="15.75" customHeight="1" x14ac:dyDescent="0.3">
      <c r="A583" s="88"/>
      <c r="BG583" s="89"/>
      <c r="BH583" s="89"/>
      <c r="BI583" s="89"/>
      <c r="BJ583" s="89"/>
      <c r="BK583" s="89"/>
      <c r="BL583" s="89"/>
      <c r="BM583" s="89"/>
      <c r="BN583" s="89"/>
      <c r="BO583" s="89"/>
    </row>
    <row r="584" spans="1:67" ht="15.75" customHeight="1" x14ac:dyDescent="0.3">
      <c r="A584" s="88"/>
      <c r="BG584" s="89"/>
      <c r="BH584" s="89"/>
      <c r="BI584" s="89"/>
      <c r="BJ584" s="89"/>
      <c r="BK584" s="89"/>
      <c r="BL584" s="89"/>
      <c r="BM584" s="89"/>
      <c r="BN584" s="89"/>
      <c r="BO584" s="89"/>
    </row>
    <row r="585" spans="1:67" ht="15.75" customHeight="1" x14ac:dyDescent="0.3">
      <c r="A585" s="88"/>
      <c r="BG585" s="89"/>
      <c r="BH585" s="89"/>
      <c r="BI585" s="89"/>
      <c r="BJ585" s="89"/>
      <c r="BK585" s="89"/>
      <c r="BL585" s="89"/>
      <c r="BM585" s="89"/>
      <c r="BN585" s="89"/>
      <c r="BO585" s="89"/>
    </row>
    <row r="586" spans="1:67" ht="15.75" customHeight="1" x14ac:dyDescent="0.3">
      <c r="A586" s="88"/>
      <c r="BG586" s="89"/>
      <c r="BH586" s="89"/>
      <c r="BI586" s="89"/>
      <c r="BJ586" s="89"/>
      <c r="BK586" s="89"/>
      <c r="BL586" s="89"/>
      <c r="BM586" s="89"/>
      <c r="BN586" s="89"/>
      <c r="BO586" s="89"/>
    </row>
    <row r="587" spans="1:67" ht="15.75" customHeight="1" x14ac:dyDescent="0.3">
      <c r="A587" s="88"/>
      <c r="BG587" s="89"/>
      <c r="BH587" s="89"/>
      <c r="BI587" s="89"/>
      <c r="BJ587" s="89"/>
      <c r="BK587" s="89"/>
      <c r="BL587" s="89"/>
      <c r="BM587" s="89"/>
      <c r="BN587" s="89"/>
      <c r="BO587" s="89"/>
    </row>
    <row r="588" spans="1:67" ht="15.75" customHeight="1" x14ac:dyDescent="0.3">
      <c r="A588" s="88"/>
      <c r="BG588" s="89"/>
      <c r="BH588" s="89"/>
      <c r="BI588" s="89"/>
      <c r="BJ588" s="89"/>
      <c r="BK588" s="89"/>
      <c r="BL588" s="89"/>
      <c r="BM588" s="89"/>
      <c r="BN588" s="89"/>
      <c r="BO588" s="89"/>
    </row>
    <row r="589" spans="1:67" ht="15.75" customHeight="1" x14ac:dyDescent="0.3">
      <c r="A589" s="88"/>
      <c r="BG589" s="89"/>
      <c r="BH589" s="89"/>
      <c r="BI589" s="89"/>
      <c r="BJ589" s="89"/>
      <c r="BK589" s="89"/>
      <c r="BL589" s="89"/>
      <c r="BM589" s="89"/>
      <c r="BN589" s="89"/>
      <c r="BO589" s="89"/>
    </row>
    <row r="590" spans="1:67" ht="15.75" customHeight="1" x14ac:dyDescent="0.3">
      <c r="A590" s="88"/>
      <c r="BG590" s="89"/>
      <c r="BH590" s="89"/>
      <c r="BI590" s="89"/>
      <c r="BJ590" s="89"/>
      <c r="BK590" s="89"/>
      <c r="BL590" s="89"/>
      <c r="BM590" s="89"/>
      <c r="BN590" s="89"/>
      <c r="BO590" s="89"/>
    </row>
    <row r="591" spans="1:67" ht="15.75" customHeight="1" x14ac:dyDescent="0.3">
      <c r="A591" s="88"/>
      <c r="BG591" s="89"/>
      <c r="BH591" s="89"/>
      <c r="BI591" s="89"/>
      <c r="BJ591" s="89"/>
      <c r="BK591" s="89"/>
      <c r="BL591" s="89"/>
      <c r="BM591" s="89"/>
      <c r="BN591" s="89"/>
      <c r="BO591" s="89"/>
    </row>
    <row r="592" spans="1:67" ht="15.75" customHeight="1" x14ac:dyDescent="0.3">
      <c r="A592" s="88"/>
      <c r="BG592" s="89"/>
      <c r="BH592" s="89"/>
      <c r="BI592" s="89"/>
      <c r="BJ592" s="89"/>
      <c r="BK592" s="89"/>
      <c r="BL592" s="89"/>
      <c r="BM592" s="89"/>
      <c r="BN592" s="89"/>
      <c r="BO592" s="89"/>
    </row>
    <row r="593" spans="1:67" ht="15.75" customHeight="1" x14ac:dyDescent="0.3">
      <c r="A593" s="88"/>
      <c r="BG593" s="89"/>
      <c r="BH593" s="89"/>
      <c r="BI593" s="89"/>
      <c r="BJ593" s="89"/>
      <c r="BK593" s="89"/>
      <c r="BL593" s="89"/>
      <c r="BM593" s="89"/>
      <c r="BN593" s="89"/>
      <c r="BO593" s="89"/>
    </row>
    <row r="594" spans="1:67" ht="15.75" customHeight="1" x14ac:dyDescent="0.3">
      <c r="A594" s="88"/>
      <c r="BG594" s="89"/>
      <c r="BH594" s="89"/>
      <c r="BI594" s="89"/>
      <c r="BJ594" s="89"/>
      <c r="BK594" s="89"/>
      <c r="BL594" s="89"/>
      <c r="BM594" s="89"/>
      <c r="BN594" s="89"/>
      <c r="BO594" s="89"/>
    </row>
    <row r="595" spans="1:67" ht="15.75" customHeight="1" x14ac:dyDescent="0.3">
      <c r="A595" s="88"/>
      <c r="BG595" s="89"/>
      <c r="BH595" s="89"/>
      <c r="BI595" s="89"/>
      <c r="BJ595" s="89"/>
      <c r="BK595" s="89"/>
      <c r="BL595" s="89"/>
      <c r="BM595" s="89"/>
      <c r="BN595" s="89"/>
      <c r="BO595" s="89"/>
    </row>
    <row r="596" spans="1:67" ht="15.75" customHeight="1" x14ac:dyDescent="0.3">
      <c r="A596" s="88"/>
      <c r="BG596" s="89"/>
      <c r="BH596" s="89"/>
      <c r="BI596" s="89"/>
      <c r="BJ596" s="89"/>
      <c r="BK596" s="89"/>
      <c r="BL596" s="89"/>
      <c r="BM596" s="89"/>
      <c r="BN596" s="89"/>
      <c r="BO596" s="89"/>
    </row>
    <row r="597" spans="1:67" ht="15.75" customHeight="1" x14ac:dyDescent="0.3">
      <c r="A597" s="88"/>
      <c r="BG597" s="89"/>
      <c r="BH597" s="89"/>
      <c r="BI597" s="89"/>
      <c r="BJ597" s="89"/>
      <c r="BK597" s="89"/>
      <c r="BL597" s="89"/>
      <c r="BM597" s="89"/>
      <c r="BN597" s="89"/>
      <c r="BO597" s="89"/>
    </row>
    <row r="598" spans="1:67" ht="15.75" customHeight="1" x14ac:dyDescent="0.3">
      <c r="A598" s="88"/>
      <c r="BG598" s="89"/>
      <c r="BH598" s="89"/>
      <c r="BI598" s="89"/>
      <c r="BJ598" s="89"/>
      <c r="BK598" s="89"/>
      <c r="BL598" s="89"/>
      <c r="BM598" s="89"/>
      <c r="BN598" s="89"/>
      <c r="BO598" s="89"/>
    </row>
    <row r="599" spans="1:67" ht="15.75" customHeight="1" x14ac:dyDescent="0.3">
      <c r="A599" s="88"/>
      <c r="BG599" s="89"/>
      <c r="BH599" s="89"/>
      <c r="BI599" s="89"/>
      <c r="BJ599" s="89"/>
      <c r="BK599" s="89"/>
      <c r="BL599" s="89"/>
      <c r="BM599" s="89"/>
      <c r="BN599" s="89"/>
      <c r="BO599" s="89"/>
    </row>
    <row r="600" spans="1:67" ht="15.75" customHeight="1" x14ac:dyDescent="0.3">
      <c r="A600" s="88"/>
      <c r="BG600" s="89"/>
      <c r="BH600" s="89"/>
      <c r="BI600" s="89"/>
      <c r="BJ600" s="89"/>
      <c r="BK600" s="89"/>
      <c r="BL600" s="89"/>
      <c r="BM600" s="89"/>
      <c r="BN600" s="89"/>
      <c r="BO600" s="89"/>
    </row>
    <row r="601" spans="1:67" ht="15.75" customHeight="1" x14ac:dyDescent="0.3">
      <c r="A601" s="88"/>
      <c r="BG601" s="89"/>
      <c r="BH601" s="89"/>
      <c r="BI601" s="89"/>
      <c r="BJ601" s="89"/>
      <c r="BK601" s="89"/>
      <c r="BL601" s="89"/>
      <c r="BM601" s="89"/>
      <c r="BN601" s="89"/>
      <c r="BO601" s="89"/>
    </row>
    <row r="602" spans="1:67" ht="15.75" customHeight="1" x14ac:dyDescent="0.3">
      <c r="A602" s="88"/>
      <c r="BG602" s="89"/>
      <c r="BH602" s="89"/>
      <c r="BI602" s="89"/>
      <c r="BJ602" s="89"/>
      <c r="BK602" s="89"/>
      <c r="BL602" s="89"/>
      <c r="BM602" s="89"/>
      <c r="BN602" s="89"/>
      <c r="BO602" s="89"/>
    </row>
    <row r="603" spans="1:67" ht="15.75" customHeight="1" x14ac:dyDescent="0.3">
      <c r="A603" s="88"/>
      <c r="BG603" s="89"/>
      <c r="BH603" s="89"/>
      <c r="BI603" s="89"/>
      <c r="BJ603" s="89"/>
      <c r="BK603" s="89"/>
      <c r="BL603" s="89"/>
      <c r="BM603" s="89"/>
      <c r="BN603" s="89"/>
      <c r="BO603" s="89"/>
    </row>
    <row r="604" spans="1:67" ht="15.75" customHeight="1" x14ac:dyDescent="0.3">
      <c r="A604" s="88"/>
      <c r="BG604" s="89"/>
      <c r="BH604" s="89"/>
      <c r="BI604" s="89"/>
      <c r="BJ604" s="89"/>
      <c r="BK604" s="89"/>
      <c r="BL604" s="89"/>
      <c r="BM604" s="89"/>
      <c r="BN604" s="89"/>
      <c r="BO604" s="89"/>
    </row>
    <row r="605" spans="1:67" ht="15.75" customHeight="1" x14ac:dyDescent="0.3">
      <c r="A605" s="88"/>
      <c r="BG605" s="89"/>
      <c r="BH605" s="89"/>
      <c r="BI605" s="89"/>
      <c r="BJ605" s="89"/>
      <c r="BK605" s="89"/>
      <c r="BL605" s="89"/>
      <c r="BM605" s="89"/>
      <c r="BN605" s="89"/>
      <c r="BO605" s="89"/>
    </row>
    <row r="606" spans="1:67" ht="15.75" customHeight="1" x14ac:dyDescent="0.3">
      <c r="A606" s="88"/>
      <c r="BG606" s="89"/>
      <c r="BH606" s="89"/>
      <c r="BI606" s="89"/>
      <c r="BJ606" s="89"/>
      <c r="BK606" s="89"/>
      <c r="BL606" s="89"/>
      <c r="BM606" s="89"/>
      <c r="BN606" s="89"/>
      <c r="BO606" s="89"/>
    </row>
    <row r="607" spans="1:67" ht="15.75" customHeight="1" x14ac:dyDescent="0.3">
      <c r="A607" s="88"/>
      <c r="BG607" s="89"/>
      <c r="BH607" s="89"/>
      <c r="BI607" s="89"/>
      <c r="BJ607" s="89"/>
      <c r="BK607" s="89"/>
      <c r="BL607" s="89"/>
      <c r="BM607" s="89"/>
      <c r="BN607" s="89"/>
      <c r="BO607" s="89"/>
    </row>
    <row r="608" spans="1:67" ht="15.75" customHeight="1" x14ac:dyDescent="0.3">
      <c r="A608" s="88"/>
      <c r="BG608" s="89"/>
      <c r="BH608" s="89"/>
      <c r="BI608" s="89"/>
      <c r="BJ608" s="89"/>
      <c r="BK608" s="89"/>
      <c r="BL608" s="89"/>
      <c r="BM608" s="89"/>
      <c r="BN608" s="89"/>
      <c r="BO608" s="89"/>
    </row>
    <row r="609" spans="1:67" ht="15.75" customHeight="1" x14ac:dyDescent="0.3">
      <c r="A609" s="88"/>
      <c r="BG609" s="89"/>
      <c r="BH609" s="89"/>
      <c r="BI609" s="89"/>
      <c r="BJ609" s="89"/>
      <c r="BK609" s="89"/>
      <c r="BL609" s="89"/>
      <c r="BM609" s="89"/>
      <c r="BN609" s="89"/>
      <c r="BO609" s="89"/>
    </row>
    <row r="610" spans="1:67" ht="15.75" customHeight="1" x14ac:dyDescent="0.3">
      <c r="A610" s="88"/>
      <c r="BG610" s="89"/>
      <c r="BH610" s="89"/>
      <c r="BI610" s="89"/>
      <c r="BJ610" s="89"/>
      <c r="BK610" s="89"/>
      <c r="BL610" s="89"/>
      <c r="BM610" s="89"/>
      <c r="BN610" s="89"/>
      <c r="BO610" s="89"/>
    </row>
    <row r="611" spans="1:67" ht="15.75" customHeight="1" x14ac:dyDescent="0.3">
      <c r="A611" s="88"/>
      <c r="BG611" s="89"/>
      <c r="BH611" s="89"/>
      <c r="BI611" s="89"/>
      <c r="BJ611" s="89"/>
      <c r="BK611" s="89"/>
      <c r="BL611" s="89"/>
      <c r="BM611" s="89"/>
      <c r="BN611" s="89"/>
      <c r="BO611" s="89"/>
    </row>
    <row r="612" spans="1:67" ht="15.75" customHeight="1" x14ac:dyDescent="0.3">
      <c r="A612" s="88"/>
      <c r="BG612" s="89"/>
      <c r="BH612" s="89"/>
      <c r="BI612" s="89"/>
      <c r="BJ612" s="89"/>
      <c r="BK612" s="89"/>
      <c r="BL612" s="89"/>
      <c r="BM612" s="89"/>
      <c r="BN612" s="89"/>
      <c r="BO612" s="89"/>
    </row>
    <row r="613" spans="1:67" ht="15.75" customHeight="1" x14ac:dyDescent="0.3">
      <c r="A613" s="88"/>
      <c r="BG613" s="89"/>
      <c r="BH613" s="89"/>
      <c r="BI613" s="89"/>
      <c r="BJ613" s="89"/>
      <c r="BK613" s="89"/>
      <c r="BL613" s="89"/>
      <c r="BM613" s="89"/>
      <c r="BN613" s="89"/>
      <c r="BO613" s="89"/>
    </row>
    <row r="614" spans="1:67" ht="15.75" customHeight="1" x14ac:dyDescent="0.3">
      <c r="A614" s="88"/>
      <c r="BG614" s="89"/>
      <c r="BH614" s="89"/>
      <c r="BI614" s="89"/>
      <c r="BJ614" s="89"/>
      <c r="BK614" s="89"/>
      <c r="BL614" s="89"/>
      <c r="BM614" s="89"/>
      <c r="BN614" s="89"/>
      <c r="BO614" s="89"/>
    </row>
    <row r="615" spans="1:67" ht="15.75" customHeight="1" x14ac:dyDescent="0.3">
      <c r="A615" s="88"/>
      <c r="BG615" s="89"/>
      <c r="BH615" s="89"/>
      <c r="BI615" s="89"/>
      <c r="BJ615" s="89"/>
      <c r="BK615" s="89"/>
      <c r="BL615" s="89"/>
      <c r="BM615" s="89"/>
      <c r="BN615" s="89"/>
      <c r="BO615" s="89"/>
    </row>
    <row r="616" spans="1:67" ht="15.75" customHeight="1" x14ac:dyDescent="0.3">
      <c r="A616" s="88"/>
      <c r="BG616" s="89"/>
      <c r="BH616" s="89"/>
      <c r="BI616" s="89"/>
      <c r="BJ616" s="89"/>
      <c r="BK616" s="89"/>
      <c r="BL616" s="89"/>
      <c r="BM616" s="89"/>
      <c r="BN616" s="89"/>
      <c r="BO616" s="89"/>
    </row>
    <row r="617" spans="1:67" ht="15.75" customHeight="1" x14ac:dyDescent="0.3">
      <c r="A617" s="88"/>
      <c r="BG617" s="89"/>
      <c r="BH617" s="89"/>
      <c r="BI617" s="89"/>
      <c r="BJ617" s="89"/>
      <c r="BK617" s="89"/>
      <c r="BL617" s="89"/>
      <c r="BM617" s="89"/>
      <c r="BN617" s="89"/>
      <c r="BO617" s="89"/>
    </row>
    <row r="618" spans="1:67" ht="15.75" customHeight="1" x14ac:dyDescent="0.3">
      <c r="A618" s="88"/>
      <c r="BG618" s="89"/>
      <c r="BH618" s="89"/>
      <c r="BI618" s="89"/>
      <c r="BJ618" s="89"/>
      <c r="BK618" s="89"/>
      <c r="BL618" s="89"/>
      <c r="BM618" s="89"/>
      <c r="BN618" s="89"/>
      <c r="BO618" s="89"/>
    </row>
    <row r="619" spans="1:67" ht="15.75" customHeight="1" x14ac:dyDescent="0.3">
      <c r="A619" s="88"/>
      <c r="BG619" s="89"/>
      <c r="BH619" s="89"/>
      <c r="BI619" s="89"/>
      <c r="BJ619" s="89"/>
      <c r="BK619" s="89"/>
      <c r="BL619" s="89"/>
      <c r="BM619" s="89"/>
      <c r="BN619" s="89"/>
      <c r="BO619" s="89"/>
    </row>
    <row r="620" spans="1:67" ht="15.75" customHeight="1" x14ac:dyDescent="0.3">
      <c r="A620" s="88"/>
      <c r="BG620" s="89"/>
      <c r="BH620" s="89"/>
      <c r="BI620" s="89"/>
      <c r="BJ620" s="89"/>
      <c r="BK620" s="89"/>
      <c r="BL620" s="89"/>
      <c r="BM620" s="89"/>
      <c r="BN620" s="89"/>
      <c r="BO620" s="89"/>
    </row>
    <row r="621" spans="1:67" ht="15.75" customHeight="1" x14ac:dyDescent="0.3">
      <c r="A621" s="88"/>
      <c r="BG621" s="89"/>
      <c r="BH621" s="89"/>
      <c r="BI621" s="89"/>
      <c r="BJ621" s="89"/>
      <c r="BK621" s="89"/>
      <c r="BL621" s="89"/>
      <c r="BM621" s="89"/>
      <c r="BN621" s="89"/>
      <c r="BO621" s="89"/>
    </row>
    <row r="622" spans="1:67" ht="15.75" customHeight="1" x14ac:dyDescent="0.3">
      <c r="A622" s="88"/>
      <c r="BG622" s="89"/>
      <c r="BH622" s="89"/>
      <c r="BI622" s="89"/>
      <c r="BJ622" s="89"/>
      <c r="BK622" s="89"/>
      <c r="BL622" s="89"/>
      <c r="BM622" s="89"/>
      <c r="BN622" s="89"/>
      <c r="BO622" s="89"/>
    </row>
    <row r="623" spans="1:67" ht="15.75" customHeight="1" x14ac:dyDescent="0.3">
      <c r="A623" s="88"/>
      <c r="BG623" s="89"/>
      <c r="BH623" s="89"/>
      <c r="BI623" s="89"/>
      <c r="BJ623" s="89"/>
      <c r="BK623" s="89"/>
      <c r="BL623" s="89"/>
      <c r="BM623" s="89"/>
      <c r="BN623" s="89"/>
      <c r="BO623" s="89"/>
    </row>
    <row r="624" spans="1:67" ht="15.75" customHeight="1" x14ac:dyDescent="0.3">
      <c r="A624" s="88"/>
      <c r="BG624" s="89"/>
      <c r="BH624" s="89"/>
      <c r="BI624" s="89"/>
      <c r="BJ624" s="89"/>
      <c r="BK624" s="89"/>
      <c r="BL624" s="89"/>
      <c r="BM624" s="89"/>
      <c r="BN624" s="89"/>
      <c r="BO624" s="89"/>
    </row>
    <row r="625" spans="1:67" ht="15.75" customHeight="1" x14ac:dyDescent="0.3">
      <c r="A625" s="88"/>
      <c r="BG625" s="89"/>
      <c r="BH625" s="89"/>
      <c r="BI625" s="89"/>
      <c r="BJ625" s="89"/>
      <c r="BK625" s="89"/>
      <c r="BL625" s="89"/>
      <c r="BM625" s="89"/>
      <c r="BN625" s="89"/>
      <c r="BO625" s="89"/>
    </row>
    <row r="626" spans="1:67" ht="15.75" customHeight="1" x14ac:dyDescent="0.3">
      <c r="A626" s="88"/>
      <c r="BG626" s="89"/>
      <c r="BH626" s="89"/>
      <c r="BI626" s="89"/>
      <c r="BJ626" s="89"/>
      <c r="BK626" s="89"/>
      <c r="BL626" s="89"/>
      <c r="BM626" s="89"/>
      <c r="BN626" s="89"/>
      <c r="BO626" s="89"/>
    </row>
    <row r="627" spans="1:67" ht="15.75" customHeight="1" x14ac:dyDescent="0.3">
      <c r="A627" s="88"/>
      <c r="BG627" s="89"/>
      <c r="BH627" s="89"/>
      <c r="BI627" s="89"/>
      <c r="BJ627" s="89"/>
      <c r="BK627" s="89"/>
      <c r="BL627" s="89"/>
      <c r="BM627" s="89"/>
      <c r="BN627" s="89"/>
      <c r="BO627" s="89"/>
    </row>
    <row r="628" spans="1:67" ht="15.75" customHeight="1" x14ac:dyDescent="0.3">
      <c r="A628" s="88"/>
      <c r="BG628" s="89"/>
      <c r="BH628" s="89"/>
      <c r="BI628" s="89"/>
      <c r="BJ628" s="89"/>
      <c r="BK628" s="89"/>
      <c r="BL628" s="89"/>
      <c r="BM628" s="89"/>
      <c r="BN628" s="89"/>
      <c r="BO628" s="89"/>
    </row>
    <row r="629" spans="1:67" ht="15.75" customHeight="1" x14ac:dyDescent="0.3">
      <c r="A629" s="88"/>
      <c r="BG629" s="89"/>
      <c r="BH629" s="89"/>
      <c r="BI629" s="89"/>
      <c r="BJ629" s="89"/>
      <c r="BK629" s="89"/>
      <c r="BL629" s="89"/>
      <c r="BM629" s="89"/>
      <c r="BN629" s="89"/>
      <c r="BO629" s="89"/>
    </row>
    <row r="630" spans="1:67" ht="15.75" customHeight="1" x14ac:dyDescent="0.3">
      <c r="A630" s="88"/>
      <c r="BG630" s="89"/>
      <c r="BH630" s="89"/>
      <c r="BI630" s="89"/>
      <c r="BJ630" s="89"/>
      <c r="BK630" s="89"/>
      <c r="BL630" s="89"/>
      <c r="BM630" s="89"/>
      <c r="BN630" s="89"/>
      <c r="BO630" s="89"/>
    </row>
    <row r="631" spans="1:67" ht="15.75" customHeight="1" x14ac:dyDescent="0.3">
      <c r="A631" s="88"/>
      <c r="BG631" s="89"/>
      <c r="BH631" s="89"/>
      <c r="BI631" s="89"/>
      <c r="BJ631" s="89"/>
      <c r="BK631" s="89"/>
      <c r="BL631" s="89"/>
      <c r="BM631" s="89"/>
      <c r="BN631" s="89"/>
      <c r="BO631" s="89"/>
    </row>
    <row r="632" spans="1:67" ht="15.75" customHeight="1" x14ac:dyDescent="0.3">
      <c r="A632" s="88"/>
      <c r="BG632" s="89"/>
      <c r="BH632" s="89"/>
      <c r="BI632" s="89"/>
      <c r="BJ632" s="89"/>
      <c r="BK632" s="89"/>
      <c r="BL632" s="89"/>
      <c r="BM632" s="89"/>
      <c r="BN632" s="89"/>
      <c r="BO632" s="89"/>
    </row>
    <row r="633" spans="1:67" ht="15.75" customHeight="1" x14ac:dyDescent="0.3">
      <c r="A633" s="88"/>
      <c r="BG633" s="89"/>
      <c r="BH633" s="89"/>
      <c r="BI633" s="89"/>
      <c r="BJ633" s="89"/>
      <c r="BK633" s="89"/>
      <c r="BL633" s="89"/>
      <c r="BM633" s="89"/>
      <c r="BN633" s="89"/>
      <c r="BO633" s="89"/>
    </row>
    <row r="634" spans="1:67" ht="15.75" customHeight="1" x14ac:dyDescent="0.3">
      <c r="A634" s="88"/>
      <c r="BG634" s="89"/>
      <c r="BH634" s="89"/>
      <c r="BI634" s="89"/>
      <c r="BJ634" s="89"/>
      <c r="BK634" s="89"/>
      <c r="BL634" s="89"/>
      <c r="BM634" s="89"/>
      <c r="BN634" s="89"/>
      <c r="BO634" s="89"/>
    </row>
    <row r="635" spans="1:67" ht="15.75" customHeight="1" x14ac:dyDescent="0.3">
      <c r="A635" s="88"/>
      <c r="BG635" s="89"/>
      <c r="BH635" s="89"/>
      <c r="BI635" s="89"/>
      <c r="BJ635" s="89"/>
      <c r="BK635" s="89"/>
      <c r="BL635" s="89"/>
      <c r="BM635" s="89"/>
      <c r="BN635" s="89"/>
      <c r="BO635" s="89"/>
    </row>
    <row r="636" spans="1:67" ht="15.75" customHeight="1" x14ac:dyDescent="0.3">
      <c r="A636" s="88"/>
      <c r="BG636" s="89"/>
      <c r="BH636" s="89"/>
      <c r="BI636" s="89"/>
      <c r="BJ636" s="89"/>
      <c r="BK636" s="89"/>
      <c r="BL636" s="89"/>
      <c r="BM636" s="89"/>
      <c r="BN636" s="89"/>
      <c r="BO636" s="89"/>
    </row>
    <row r="637" spans="1:67" ht="15.75" customHeight="1" x14ac:dyDescent="0.3">
      <c r="A637" s="88"/>
      <c r="BG637" s="89"/>
      <c r="BH637" s="89"/>
      <c r="BI637" s="89"/>
      <c r="BJ637" s="89"/>
      <c r="BK637" s="89"/>
      <c r="BL637" s="89"/>
      <c r="BM637" s="89"/>
      <c r="BN637" s="89"/>
      <c r="BO637" s="89"/>
    </row>
    <row r="638" spans="1:67" ht="15.75" customHeight="1" x14ac:dyDescent="0.3">
      <c r="A638" s="88"/>
      <c r="BG638" s="89"/>
      <c r="BH638" s="89"/>
      <c r="BI638" s="89"/>
      <c r="BJ638" s="89"/>
      <c r="BK638" s="89"/>
      <c r="BL638" s="89"/>
      <c r="BM638" s="89"/>
      <c r="BN638" s="89"/>
      <c r="BO638" s="89"/>
    </row>
    <row r="639" spans="1:67" ht="15.75" customHeight="1" x14ac:dyDescent="0.3">
      <c r="A639" s="88"/>
      <c r="BG639" s="89"/>
      <c r="BH639" s="89"/>
      <c r="BI639" s="89"/>
      <c r="BJ639" s="89"/>
      <c r="BK639" s="89"/>
      <c r="BL639" s="89"/>
      <c r="BM639" s="89"/>
      <c r="BN639" s="89"/>
      <c r="BO639" s="89"/>
    </row>
    <row r="640" spans="1:67" ht="15.75" customHeight="1" x14ac:dyDescent="0.3">
      <c r="A640" s="88"/>
      <c r="BG640" s="89"/>
      <c r="BH640" s="89"/>
      <c r="BI640" s="89"/>
      <c r="BJ640" s="89"/>
      <c r="BK640" s="89"/>
      <c r="BL640" s="89"/>
      <c r="BM640" s="89"/>
      <c r="BN640" s="89"/>
      <c r="BO640" s="89"/>
    </row>
    <row r="641" spans="1:67" ht="15.75" customHeight="1" x14ac:dyDescent="0.3">
      <c r="A641" s="88"/>
      <c r="BG641" s="89"/>
      <c r="BH641" s="89"/>
      <c r="BI641" s="89"/>
      <c r="BJ641" s="89"/>
      <c r="BK641" s="89"/>
      <c r="BL641" s="89"/>
      <c r="BM641" s="89"/>
      <c r="BN641" s="89"/>
      <c r="BO641" s="89"/>
    </row>
    <row r="642" spans="1:67" ht="15.75" customHeight="1" x14ac:dyDescent="0.3">
      <c r="A642" s="88"/>
      <c r="BG642" s="89"/>
      <c r="BH642" s="89"/>
      <c r="BI642" s="89"/>
      <c r="BJ642" s="89"/>
      <c r="BK642" s="89"/>
      <c r="BL642" s="89"/>
      <c r="BM642" s="89"/>
      <c r="BN642" s="89"/>
      <c r="BO642" s="89"/>
    </row>
    <row r="643" spans="1:67" ht="15.75" customHeight="1" x14ac:dyDescent="0.3">
      <c r="A643" s="88"/>
      <c r="BG643" s="89"/>
      <c r="BH643" s="89"/>
      <c r="BI643" s="89"/>
      <c r="BJ643" s="89"/>
      <c r="BK643" s="89"/>
      <c r="BL643" s="89"/>
      <c r="BM643" s="89"/>
      <c r="BN643" s="89"/>
      <c r="BO643" s="89"/>
    </row>
    <row r="644" spans="1:67" ht="15.75" customHeight="1" x14ac:dyDescent="0.3">
      <c r="A644" s="88"/>
      <c r="BG644" s="89"/>
      <c r="BH644" s="89"/>
      <c r="BI644" s="89"/>
      <c r="BJ644" s="89"/>
      <c r="BK644" s="89"/>
      <c r="BL644" s="89"/>
      <c r="BM644" s="89"/>
      <c r="BN644" s="89"/>
      <c r="BO644" s="89"/>
    </row>
    <row r="645" spans="1:67" ht="15.75" customHeight="1" x14ac:dyDescent="0.3">
      <c r="A645" s="88"/>
      <c r="BG645" s="89"/>
      <c r="BH645" s="89"/>
      <c r="BI645" s="89"/>
      <c r="BJ645" s="89"/>
      <c r="BK645" s="89"/>
      <c r="BL645" s="89"/>
      <c r="BM645" s="89"/>
      <c r="BN645" s="89"/>
      <c r="BO645" s="89"/>
    </row>
    <row r="646" spans="1:67" ht="15.75" customHeight="1" x14ac:dyDescent="0.3">
      <c r="A646" s="88"/>
      <c r="BG646" s="89"/>
      <c r="BH646" s="89"/>
      <c r="BI646" s="89"/>
      <c r="BJ646" s="89"/>
      <c r="BK646" s="89"/>
      <c r="BL646" s="89"/>
      <c r="BM646" s="89"/>
      <c r="BN646" s="89"/>
      <c r="BO646" s="89"/>
    </row>
    <row r="647" spans="1:67" ht="15.75" customHeight="1" x14ac:dyDescent="0.3">
      <c r="A647" s="88"/>
      <c r="BG647" s="89"/>
      <c r="BH647" s="89"/>
      <c r="BI647" s="89"/>
      <c r="BJ647" s="89"/>
      <c r="BK647" s="89"/>
      <c r="BL647" s="89"/>
      <c r="BM647" s="89"/>
      <c r="BN647" s="89"/>
      <c r="BO647" s="89"/>
    </row>
    <row r="648" spans="1:67" ht="15.75" customHeight="1" x14ac:dyDescent="0.3">
      <c r="A648" s="88"/>
      <c r="BG648" s="89"/>
      <c r="BH648" s="89"/>
      <c r="BI648" s="89"/>
      <c r="BJ648" s="89"/>
      <c r="BK648" s="89"/>
      <c r="BL648" s="89"/>
      <c r="BM648" s="89"/>
      <c r="BN648" s="89"/>
      <c r="BO648" s="89"/>
    </row>
    <row r="649" spans="1:67" ht="15.75" customHeight="1" x14ac:dyDescent="0.3">
      <c r="A649" s="88"/>
      <c r="BG649" s="89"/>
      <c r="BH649" s="89"/>
      <c r="BI649" s="89"/>
      <c r="BJ649" s="89"/>
      <c r="BK649" s="89"/>
      <c r="BL649" s="89"/>
      <c r="BM649" s="89"/>
      <c r="BN649" s="89"/>
      <c r="BO649" s="89"/>
    </row>
    <row r="650" spans="1:67" ht="15.75" customHeight="1" x14ac:dyDescent="0.3">
      <c r="A650" s="88"/>
      <c r="BG650" s="89"/>
      <c r="BH650" s="89"/>
      <c r="BI650" s="89"/>
      <c r="BJ650" s="89"/>
      <c r="BK650" s="89"/>
      <c r="BL650" s="89"/>
      <c r="BM650" s="89"/>
      <c r="BN650" s="89"/>
      <c r="BO650" s="89"/>
    </row>
    <row r="651" spans="1:67" ht="15.75" customHeight="1" x14ac:dyDescent="0.3">
      <c r="A651" s="88"/>
      <c r="BG651" s="89"/>
      <c r="BH651" s="89"/>
      <c r="BI651" s="89"/>
      <c r="BJ651" s="89"/>
      <c r="BK651" s="89"/>
      <c r="BL651" s="89"/>
      <c r="BM651" s="89"/>
      <c r="BN651" s="89"/>
      <c r="BO651" s="89"/>
    </row>
    <row r="652" spans="1:67" ht="15.75" customHeight="1" x14ac:dyDescent="0.3">
      <c r="A652" s="88"/>
      <c r="BG652" s="89"/>
      <c r="BH652" s="89"/>
      <c r="BI652" s="89"/>
      <c r="BJ652" s="89"/>
      <c r="BK652" s="89"/>
      <c r="BL652" s="89"/>
      <c r="BM652" s="89"/>
      <c r="BN652" s="89"/>
      <c r="BO652" s="89"/>
    </row>
    <row r="653" spans="1:67" ht="15.75" customHeight="1" x14ac:dyDescent="0.3">
      <c r="A653" s="88"/>
      <c r="BG653" s="89"/>
      <c r="BH653" s="89"/>
      <c r="BI653" s="89"/>
      <c r="BJ653" s="89"/>
      <c r="BK653" s="89"/>
      <c r="BL653" s="89"/>
      <c r="BM653" s="89"/>
      <c r="BN653" s="89"/>
      <c r="BO653" s="89"/>
    </row>
    <row r="654" spans="1:67" ht="15.75" customHeight="1" x14ac:dyDescent="0.3">
      <c r="A654" s="88"/>
      <c r="BG654" s="89"/>
      <c r="BH654" s="89"/>
      <c r="BI654" s="89"/>
      <c r="BJ654" s="89"/>
      <c r="BK654" s="89"/>
      <c r="BL654" s="89"/>
      <c r="BM654" s="89"/>
      <c r="BN654" s="89"/>
      <c r="BO654" s="89"/>
    </row>
    <row r="655" spans="1:67" ht="15.75" customHeight="1" x14ac:dyDescent="0.3">
      <c r="A655" s="88"/>
      <c r="BG655" s="89"/>
      <c r="BH655" s="89"/>
      <c r="BI655" s="89"/>
      <c r="BJ655" s="89"/>
      <c r="BK655" s="89"/>
      <c r="BL655" s="89"/>
      <c r="BM655" s="89"/>
      <c r="BN655" s="89"/>
      <c r="BO655" s="89"/>
    </row>
    <row r="656" spans="1:67" ht="15.75" customHeight="1" x14ac:dyDescent="0.3">
      <c r="A656" s="88"/>
      <c r="BG656" s="89"/>
      <c r="BH656" s="89"/>
      <c r="BI656" s="89"/>
      <c r="BJ656" s="89"/>
      <c r="BK656" s="89"/>
      <c r="BL656" s="89"/>
      <c r="BM656" s="89"/>
      <c r="BN656" s="89"/>
      <c r="BO656" s="89"/>
    </row>
    <row r="657" spans="1:67" ht="15.75" customHeight="1" x14ac:dyDescent="0.3">
      <c r="A657" s="88"/>
      <c r="BG657" s="89"/>
      <c r="BH657" s="89"/>
      <c r="BI657" s="89"/>
      <c r="BJ657" s="89"/>
      <c r="BK657" s="89"/>
      <c r="BL657" s="89"/>
      <c r="BM657" s="89"/>
      <c r="BN657" s="89"/>
      <c r="BO657" s="89"/>
    </row>
    <row r="658" spans="1:67" ht="15.75" customHeight="1" x14ac:dyDescent="0.3">
      <c r="A658" s="88"/>
      <c r="BG658" s="89"/>
      <c r="BH658" s="89"/>
      <c r="BI658" s="89"/>
      <c r="BJ658" s="89"/>
      <c r="BK658" s="89"/>
      <c r="BL658" s="89"/>
      <c r="BM658" s="89"/>
      <c r="BN658" s="89"/>
      <c r="BO658" s="89"/>
    </row>
    <row r="659" spans="1:67" ht="15.75" customHeight="1" x14ac:dyDescent="0.3">
      <c r="A659" s="88"/>
      <c r="BG659" s="89"/>
      <c r="BH659" s="89"/>
      <c r="BI659" s="89"/>
      <c r="BJ659" s="89"/>
      <c r="BK659" s="89"/>
      <c r="BL659" s="89"/>
      <c r="BM659" s="89"/>
      <c r="BN659" s="89"/>
      <c r="BO659" s="89"/>
    </row>
    <row r="660" spans="1:67" ht="15.75" customHeight="1" x14ac:dyDescent="0.3">
      <c r="A660" s="88"/>
      <c r="BG660" s="89"/>
      <c r="BH660" s="89"/>
      <c r="BI660" s="89"/>
      <c r="BJ660" s="89"/>
      <c r="BK660" s="89"/>
      <c r="BL660" s="89"/>
      <c r="BM660" s="89"/>
      <c r="BN660" s="89"/>
      <c r="BO660" s="89"/>
    </row>
    <row r="661" spans="1:67" ht="15.75" customHeight="1" x14ac:dyDescent="0.3">
      <c r="A661" s="88"/>
      <c r="BG661" s="89"/>
      <c r="BH661" s="89"/>
      <c r="BI661" s="89"/>
      <c r="BJ661" s="89"/>
      <c r="BK661" s="89"/>
      <c r="BL661" s="89"/>
      <c r="BM661" s="89"/>
      <c r="BN661" s="89"/>
      <c r="BO661" s="89"/>
    </row>
    <row r="662" spans="1:67" ht="15.75" customHeight="1" x14ac:dyDescent="0.3">
      <c r="A662" s="88"/>
      <c r="BG662" s="89"/>
      <c r="BH662" s="89"/>
      <c r="BI662" s="89"/>
      <c r="BJ662" s="89"/>
      <c r="BK662" s="89"/>
      <c r="BL662" s="89"/>
      <c r="BM662" s="89"/>
      <c r="BN662" s="89"/>
      <c r="BO662" s="89"/>
    </row>
    <row r="663" spans="1:67" ht="15.75" customHeight="1" x14ac:dyDescent="0.3">
      <c r="A663" s="88"/>
      <c r="BG663" s="89"/>
      <c r="BH663" s="89"/>
      <c r="BI663" s="89"/>
      <c r="BJ663" s="89"/>
      <c r="BK663" s="89"/>
      <c r="BL663" s="89"/>
      <c r="BM663" s="89"/>
      <c r="BN663" s="89"/>
      <c r="BO663" s="89"/>
    </row>
    <row r="664" spans="1:67" ht="15.75" customHeight="1" x14ac:dyDescent="0.3">
      <c r="A664" s="88"/>
      <c r="BG664" s="89"/>
      <c r="BH664" s="89"/>
      <c r="BI664" s="89"/>
      <c r="BJ664" s="89"/>
      <c r="BK664" s="89"/>
      <c r="BL664" s="89"/>
      <c r="BM664" s="89"/>
      <c r="BN664" s="89"/>
      <c r="BO664" s="89"/>
    </row>
    <row r="665" spans="1:67" ht="15.75" customHeight="1" x14ac:dyDescent="0.3">
      <c r="A665" s="88"/>
      <c r="BG665" s="89"/>
      <c r="BH665" s="89"/>
      <c r="BI665" s="89"/>
      <c r="BJ665" s="89"/>
      <c r="BK665" s="89"/>
      <c r="BL665" s="89"/>
      <c r="BM665" s="89"/>
      <c r="BN665" s="89"/>
      <c r="BO665" s="89"/>
    </row>
    <row r="666" spans="1:67" ht="15.75" customHeight="1" x14ac:dyDescent="0.3">
      <c r="A666" s="88"/>
      <c r="BG666" s="89"/>
      <c r="BH666" s="89"/>
      <c r="BI666" s="89"/>
      <c r="BJ666" s="89"/>
      <c r="BK666" s="89"/>
      <c r="BL666" s="89"/>
      <c r="BM666" s="89"/>
      <c r="BN666" s="89"/>
      <c r="BO666" s="89"/>
    </row>
    <row r="667" spans="1:67" ht="15.75" customHeight="1" x14ac:dyDescent="0.3">
      <c r="A667" s="88"/>
      <c r="BG667" s="89"/>
      <c r="BH667" s="89"/>
      <c r="BI667" s="89"/>
      <c r="BJ667" s="89"/>
      <c r="BK667" s="89"/>
      <c r="BL667" s="89"/>
      <c r="BM667" s="89"/>
      <c r="BN667" s="89"/>
      <c r="BO667" s="89"/>
    </row>
    <row r="668" spans="1:67" ht="15.75" customHeight="1" x14ac:dyDescent="0.3">
      <c r="A668" s="88"/>
      <c r="BG668" s="89"/>
      <c r="BH668" s="89"/>
      <c r="BI668" s="89"/>
      <c r="BJ668" s="89"/>
      <c r="BK668" s="89"/>
      <c r="BL668" s="89"/>
      <c r="BM668" s="89"/>
      <c r="BN668" s="89"/>
      <c r="BO668" s="89"/>
    </row>
    <row r="669" spans="1:67" ht="15.75" customHeight="1" x14ac:dyDescent="0.3">
      <c r="A669" s="88"/>
      <c r="BG669" s="89"/>
      <c r="BH669" s="89"/>
      <c r="BI669" s="89"/>
      <c r="BJ669" s="89"/>
      <c r="BK669" s="89"/>
      <c r="BL669" s="89"/>
      <c r="BM669" s="89"/>
      <c r="BN669" s="89"/>
      <c r="BO669" s="89"/>
    </row>
    <row r="670" spans="1:67" ht="15.75" customHeight="1" x14ac:dyDescent="0.3">
      <c r="A670" s="88"/>
      <c r="BG670" s="89"/>
      <c r="BH670" s="89"/>
      <c r="BI670" s="89"/>
      <c r="BJ670" s="89"/>
      <c r="BK670" s="89"/>
      <c r="BL670" s="89"/>
      <c r="BM670" s="89"/>
      <c r="BN670" s="89"/>
      <c r="BO670" s="89"/>
    </row>
    <row r="671" spans="1:67" ht="15.75" customHeight="1" x14ac:dyDescent="0.3">
      <c r="A671" s="88"/>
      <c r="BG671" s="89"/>
      <c r="BH671" s="89"/>
      <c r="BI671" s="89"/>
      <c r="BJ671" s="89"/>
      <c r="BK671" s="89"/>
      <c r="BL671" s="89"/>
      <c r="BM671" s="89"/>
      <c r="BN671" s="89"/>
      <c r="BO671" s="89"/>
    </row>
    <row r="672" spans="1:67" ht="15.75" customHeight="1" x14ac:dyDescent="0.3">
      <c r="A672" s="88"/>
      <c r="BG672" s="89"/>
      <c r="BH672" s="89"/>
      <c r="BI672" s="89"/>
      <c r="BJ672" s="89"/>
      <c r="BK672" s="89"/>
      <c r="BL672" s="89"/>
      <c r="BM672" s="89"/>
      <c r="BN672" s="89"/>
      <c r="BO672" s="89"/>
    </row>
    <row r="673" spans="1:67" ht="15.75" customHeight="1" x14ac:dyDescent="0.3">
      <c r="A673" s="88"/>
      <c r="BG673" s="89"/>
      <c r="BH673" s="89"/>
      <c r="BI673" s="89"/>
      <c r="BJ673" s="89"/>
      <c r="BK673" s="89"/>
      <c r="BL673" s="89"/>
      <c r="BM673" s="89"/>
      <c r="BN673" s="89"/>
      <c r="BO673" s="89"/>
    </row>
    <row r="674" spans="1:67" ht="15.75" customHeight="1" x14ac:dyDescent="0.3">
      <c r="A674" s="88"/>
      <c r="BG674" s="89"/>
      <c r="BH674" s="89"/>
      <c r="BI674" s="89"/>
      <c r="BJ674" s="89"/>
      <c r="BK674" s="89"/>
      <c r="BL674" s="89"/>
      <c r="BM674" s="89"/>
      <c r="BN674" s="89"/>
      <c r="BO674" s="89"/>
    </row>
    <row r="675" spans="1:67" ht="15.75" customHeight="1" x14ac:dyDescent="0.3">
      <c r="A675" s="88"/>
      <c r="BG675" s="89"/>
      <c r="BH675" s="89"/>
      <c r="BI675" s="89"/>
      <c r="BJ675" s="89"/>
      <c r="BK675" s="89"/>
      <c r="BL675" s="89"/>
      <c r="BM675" s="89"/>
      <c r="BN675" s="89"/>
      <c r="BO675" s="89"/>
    </row>
    <row r="676" spans="1:67" ht="15.75" customHeight="1" x14ac:dyDescent="0.3">
      <c r="A676" s="88"/>
      <c r="BG676" s="89"/>
      <c r="BH676" s="89"/>
      <c r="BI676" s="89"/>
      <c r="BJ676" s="89"/>
      <c r="BK676" s="89"/>
      <c r="BL676" s="89"/>
      <c r="BM676" s="89"/>
      <c r="BN676" s="89"/>
      <c r="BO676" s="89"/>
    </row>
    <row r="677" spans="1:67" ht="15.75" customHeight="1" x14ac:dyDescent="0.3">
      <c r="A677" s="88"/>
      <c r="BG677" s="89"/>
      <c r="BH677" s="89"/>
      <c r="BI677" s="89"/>
      <c r="BJ677" s="89"/>
      <c r="BK677" s="89"/>
      <c r="BL677" s="89"/>
      <c r="BM677" s="89"/>
      <c r="BN677" s="89"/>
      <c r="BO677" s="89"/>
    </row>
    <row r="678" spans="1:67" ht="15.75" customHeight="1" x14ac:dyDescent="0.3">
      <c r="A678" s="88"/>
      <c r="BG678" s="89"/>
      <c r="BH678" s="89"/>
      <c r="BI678" s="89"/>
      <c r="BJ678" s="89"/>
      <c r="BK678" s="89"/>
      <c r="BL678" s="89"/>
      <c r="BM678" s="89"/>
      <c r="BN678" s="89"/>
      <c r="BO678" s="89"/>
    </row>
    <row r="679" spans="1:67" ht="15.75" customHeight="1" x14ac:dyDescent="0.3">
      <c r="A679" s="88"/>
      <c r="BG679" s="89"/>
      <c r="BH679" s="89"/>
      <c r="BI679" s="89"/>
      <c r="BJ679" s="89"/>
      <c r="BK679" s="89"/>
      <c r="BL679" s="89"/>
      <c r="BM679" s="89"/>
      <c r="BN679" s="89"/>
      <c r="BO679" s="89"/>
    </row>
    <row r="680" spans="1:67" ht="15.75" customHeight="1" x14ac:dyDescent="0.3">
      <c r="A680" s="88"/>
      <c r="BG680" s="89"/>
      <c r="BH680" s="89"/>
      <c r="BI680" s="89"/>
      <c r="BJ680" s="89"/>
      <c r="BK680" s="89"/>
      <c r="BL680" s="89"/>
      <c r="BM680" s="89"/>
      <c r="BN680" s="89"/>
      <c r="BO680" s="89"/>
    </row>
    <row r="681" spans="1:67" ht="15.75" customHeight="1" x14ac:dyDescent="0.3">
      <c r="A681" s="88"/>
      <c r="BG681" s="89"/>
      <c r="BH681" s="89"/>
      <c r="BI681" s="89"/>
      <c r="BJ681" s="89"/>
      <c r="BK681" s="89"/>
      <c r="BL681" s="89"/>
      <c r="BM681" s="89"/>
      <c r="BN681" s="89"/>
      <c r="BO681" s="89"/>
    </row>
    <row r="682" spans="1:67" ht="15.75" customHeight="1" x14ac:dyDescent="0.3">
      <c r="A682" s="88"/>
      <c r="BG682" s="89"/>
      <c r="BH682" s="89"/>
      <c r="BI682" s="89"/>
      <c r="BJ682" s="89"/>
      <c r="BK682" s="89"/>
      <c r="BL682" s="89"/>
      <c r="BM682" s="89"/>
      <c r="BN682" s="89"/>
      <c r="BO682" s="89"/>
    </row>
    <row r="683" spans="1:67" ht="15.75" customHeight="1" x14ac:dyDescent="0.3">
      <c r="A683" s="88"/>
      <c r="BG683" s="89"/>
      <c r="BH683" s="89"/>
      <c r="BI683" s="89"/>
      <c r="BJ683" s="89"/>
      <c r="BK683" s="89"/>
      <c r="BL683" s="89"/>
      <c r="BM683" s="89"/>
      <c r="BN683" s="89"/>
      <c r="BO683" s="89"/>
    </row>
    <row r="684" spans="1:67" ht="15.75" customHeight="1" x14ac:dyDescent="0.3">
      <c r="A684" s="88"/>
      <c r="BG684" s="89"/>
      <c r="BH684" s="89"/>
      <c r="BI684" s="89"/>
      <c r="BJ684" s="89"/>
      <c r="BK684" s="89"/>
      <c r="BL684" s="89"/>
      <c r="BM684" s="89"/>
      <c r="BN684" s="89"/>
      <c r="BO684" s="89"/>
    </row>
    <row r="685" spans="1:67" ht="15.75" customHeight="1" x14ac:dyDescent="0.3">
      <c r="A685" s="88"/>
      <c r="BG685" s="89"/>
      <c r="BH685" s="89"/>
      <c r="BI685" s="89"/>
      <c r="BJ685" s="89"/>
      <c r="BK685" s="89"/>
      <c r="BL685" s="89"/>
      <c r="BM685" s="89"/>
      <c r="BN685" s="89"/>
      <c r="BO685" s="89"/>
    </row>
    <row r="686" spans="1:67" ht="15.75" customHeight="1" x14ac:dyDescent="0.3">
      <c r="A686" s="88"/>
      <c r="BG686" s="89"/>
      <c r="BH686" s="89"/>
      <c r="BI686" s="89"/>
      <c r="BJ686" s="89"/>
      <c r="BK686" s="89"/>
      <c r="BL686" s="89"/>
      <c r="BM686" s="89"/>
      <c r="BN686" s="89"/>
      <c r="BO686" s="89"/>
    </row>
    <row r="687" spans="1:67" ht="15.75" customHeight="1" x14ac:dyDescent="0.3">
      <c r="A687" s="88"/>
      <c r="BG687" s="89"/>
      <c r="BH687" s="89"/>
      <c r="BI687" s="89"/>
      <c r="BJ687" s="89"/>
      <c r="BK687" s="89"/>
      <c r="BL687" s="89"/>
      <c r="BM687" s="89"/>
      <c r="BN687" s="89"/>
      <c r="BO687" s="89"/>
    </row>
    <row r="688" spans="1:67" ht="15.75" customHeight="1" x14ac:dyDescent="0.3">
      <c r="A688" s="88"/>
      <c r="BG688" s="89"/>
      <c r="BH688" s="89"/>
      <c r="BI688" s="89"/>
      <c r="BJ688" s="89"/>
      <c r="BK688" s="89"/>
      <c r="BL688" s="89"/>
      <c r="BM688" s="89"/>
      <c r="BN688" s="89"/>
      <c r="BO688" s="89"/>
    </row>
    <row r="689" spans="1:67" ht="15.75" customHeight="1" x14ac:dyDescent="0.3">
      <c r="A689" s="88"/>
      <c r="BG689" s="89"/>
      <c r="BH689" s="89"/>
      <c r="BI689" s="89"/>
      <c r="BJ689" s="89"/>
      <c r="BK689" s="89"/>
      <c r="BL689" s="89"/>
      <c r="BM689" s="89"/>
      <c r="BN689" s="89"/>
      <c r="BO689" s="89"/>
    </row>
    <row r="690" spans="1:67" ht="15.75" customHeight="1" x14ac:dyDescent="0.3">
      <c r="A690" s="88"/>
      <c r="BG690" s="89"/>
      <c r="BH690" s="89"/>
      <c r="BI690" s="89"/>
      <c r="BJ690" s="89"/>
      <c r="BK690" s="89"/>
      <c r="BL690" s="89"/>
      <c r="BM690" s="89"/>
      <c r="BN690" s="89"/>
      <c r="BO690" s="89"/>
    </row>
    <row r="691" spans="1:67" ht="15.75" customHeight="1" x14ac:dyDescent="0.3">
      <c r="A691" s="88"/>
      <c r="BG691" s="89"/>
      <c r="BH691" s="89"/>
      <c r="BI691" s="89"/>
      <c r="BJ691" s="89"/>
      <c r="BK691" s="89"/>
      <c r="BL691" s="89"/>
      <c r="BM691" s="89"/>
      <c r="BN691" s="89"/>
      <c r="BO691" s="89"/>
    </row>
    <row r="692" spans="1:67" ht="15.75" customHeight="1" x14ac:dyDescent="0.3">
      <c r="A692" s="88"/>
      <c r="BG692" s="89"/>
      <c r="BH692" s="89"/>
      <c r="BI692" s="89"/>
      <c r="BJ692" s="89"/>
      <c r="BK692" s="89"/>
      <c r="BL692" s="89"/>
      <c r="BM692" s="89"/>
      <c r="BN692" s="89"/>
      <c r="BO692" s="89"/>
    </row>
    <row r="693" spans="1:67" ht="15.75" customHeight="1" x14ac:dyDescent="0.3">
      <c r="A693" s="88"/>
      <c r="BG693" s="89"/>
      <c r="BH693" s="89"/>
      <c r="BI693" s="89"/>
      <c r="BJ693" s="89"/>
      <c r="BK693" s="89"/>
      <c r="BL693" s="89"/>
      <c r="BM693" s="89"/>
      <c r="BN693" s="89"/>
      <c r="BO693" s="89"/>
    </row>
    <row r="694" spans="1:67" ht="15.75" customHeight="1" x14ac:dyDescent="0.3">
      <c r="A694" s="88"/>
      <c r="BG694" s="89"/>
      <c r="BH694" s="89"/>
      <c r="BI694" s="89"/>
      <c r="BJ694" s="89"/>
      <c r="BK694" s="89"/>
      <c r="BL694" s="89"/>
      <c r="BM694" s="89"/>
      <c r="BN694" s="89"/>
      <c r="BO694" s="89"/>
    </row>
    <row r="695" spans="1:67" ht="15.75" customHeight="1" x14ac:dyDescent="0.3">
      <c r="A695" s="88"/>
      <c r="BG695" s="89"/>
      <c r="BH695" s="89"/>
      <c r="BI695" s="89"/>
      <c r="BJ695" s="89"/>
      <c r="BK695" s="89"/>
      <c r="BL695" s="89"/>
      <c r="BM695" s="89"/>
      <c r="BN695" s="89"/>
      <c r="BO695" s="89"/>
    </row>
    <row r="696" spans="1:67" ht="15.75" customHeight="1" x14ac:dyDescent="0.3">
      <c r="A696" s="88"/>
      <c r="BG696" s="89"/>
      <c r="BH696" s="89"/>
      <c r="BI696" s="89"/>
      <c r="BJ696" s="89"/>
      <c r="BK696" s="89"/>
      <c r="BL696" s="89"/>
      <c r="BM696" s="89"/>
      <c r="BN696" s="89"/>
      <c r="BO696" s="89"/>
    </row>
    <row r="697" spans="1:67" ht="15.75" customHeight="1" x14ac:dyDescent="0.3">
      <c r="A697" s="88"/>
      <c r="BG697" s="89"/>
      <c r="BH697" s="89"/>
      <c r="BI697" s="89"/>
      <c r="BJ697" s="89"/>
      <c r="BK697" s="89"/>
      <c r="BL697" s="89"/>
      <c r="BM697" s="89"/>
      <c r="BN697" s="89"/>
      <c r="BO697" s="89"/>
    </row>
    <row r="698" spans="1:67" ht="15.75" customHeight="1" x14ac:dyDescent="0.3">
      <c r="A698" s="88"/>
      <c r="BG698" s="89"/>
      <c r="BH698" s="89"/>
      <c r="BI698" s="89"/>
      <c r="BJ698" s="89"/>
      <c r="BK698" s="89"/>
      <c r="BL698" s="89"/>
      <c r="BM698" s="89"/>
      <c r="BN698" s="89"/>
      <c r="BO698" s="89"/>
    </row>
    <row r="699" spans="1:67" ht="15.75" customHeight="1" x14ac:dyDescent="0.3">
      <c r="A699" s="88"/>
      <c r="BG699" s="89"/>
      <c r="BH699" s="89"/>
      <c r="BI699" s="89"/>
      <c r="BJ699" s="89"/>
      <c r="BK699" s="89"/>
      <c r="BL699" s="89"/>
      <c r="BM699" s="89"/>
      <c r="BN699" s="89"/>
      <c r="BO699" s="89"/>
    </row>
    <row r="700" spans="1:67" ht="15.75" customHeight="1" x14ac:dyDescent="0.3">
      <c r="A700" s="88"/>
      <c r="BG700" s="89"/>
      <c r="BH700" s="89"/>
      <c r="BI700" s="89"/>
      <c r="BJ700" s="89"/>
      <c r="BK700" s="89"/>
      <c r="BL700" s="89"/>
      <c r="BM700" s="89"/>
      <c r="BN700" s="89"/>
      <c r="BO700" s="89"/>
    </row>
    <row r="701" spans="1:67" ht="15.75" customHeight="1" x14ac:dyDescent="0.3">
      <c r="A701" s="88"/>
      <c r="BG701" s="89"/>
      <c r="BH701" s="89"/>
      <c r="BI701" s="89"/>
      <c r="BJ701" s="89"/>
      <c r="BK701" s="89"/>
      <c r="BL701" s="89"/>
      <c r="BM701" s="89"/>
      <c r="BN701" s="89"/>
      <c r="BO701" s="89"/>
    </row>
    <row r="702" spans="1:67" ht="15.75" customHeight="1" x14ac:dyDescent="0.3">
      <c r="A702" s="88"/>
      <c r="BG702" s="89"/>
      <c r="BH702" s="89"/>
      <c r="BI702" s="89"/>
      <c r="BJ702" s="89"/>
      <c r="BK702" s="89"/>
      <c r="BL702" s="89"/>
      <c r="BM702" s="89"/>
      <c r="BN702" s="89"/>
      <c r="BO702" s="89"/>
    </row>
    <row r="703" spans="1:67" ht="15.75" customHeight="1" x14ac:dyDescent="0.3">
      <c r="A703" s="88"/>
      <c r="BG703" s="89"/>
      <c r="BH703" s="89"/>
      <c r="BI703" s="89"/>
      <c r="BJ703" s="89"/>
      <c r="BK703" s="89"/>
      <c r="BL703" s="89"/>
      <c r="BM703" s="89"/>
      <c r="BN703" s="89"/>
      <c r="BO703" s="89"/>
    </row>
    <row r="704" spans="1:67" ht="15.75" customHeight="1" x14ac:dyDescent="0.3">
      <c r="A704" s="88"/>
      <c r="BG704" s="89"/>
      <c r="BH704" s="89"/>
      <c r="BI704" s="89"/>
      <c r="BJ704" s="89"/>
      <c r="BK704" s="89"/>
      <c r="BL704" s="89"/>
      <c r="BM704" s="89"/>
      <c r="BN704" s="89"/>
      <c r="BO704" s="89"/>
    </row>
    <row r="705" spans="1:67" ht="15.75" customHeight="1" x14ac:dyDescent="0.3">
      <c r="A705" s="88"/>
      <c r="BG705" s="89"/>
      <c r="BH705" s="89"/>
      <c r="BI705" s="89"/>
      <c r="BJ705" s="89"/>
      <c r="BK705" s="89"/>
      <c r="BL705" s="89"/>
      <c r="BM705" s="89"/>
      <c r="BN705" s="89"/>
      <c r="BO705" s="89"/>
    </row>
    <row r="706" spans="1:67" ht="15.75" customHeight="1" x14ac:dyDescent="0.3">
      <c r="A706" s="88"/>
      <c r="BG706" s="89"/>
      <c r="BH706" s="89"/>
      <c r="BI706" s="89"/>
      <c r="BJ706" s="89"/>
      <c r="BK706" s="89"/>
      <c r="BL706" s="89"/>
      <c r="BM706" s="89"/>
      <c r="BN706" s="89"/>
      <c r="BO706" s="89"/>
    </row>
    <row r="707" spans="1:67" ht="15.75" customHeight="1" x14ac:dyDescent="0.3">
      <c r="A707" s="88"/>
      <c r="BG707" s="89"/>
      <c r="BH707" s="89"/>
      <c r="BI707" s="89"/>
      <c r="BJ707" s="89"/>
      <c r="BK707" s="89"/>
      <c r="BL707" s="89"/>
      <c r="BM707" s="89"/>
      <c r="BN707" s="89"/>
      <c r="BO707" s="89"/>
    </row>
    <row r="708" spans="1:67" ht="15.75" customHeight="1" x14ac:dyDescent="0.3">
      <c r="A708" s="88"/>
      <c r="BG708" s="89"/>
      <c r="BH708" s="89"/>
      <c r="BI708" s="89"/>
      <c r="BJ708" s="89"/>
      <c r="BK708" s="89"/>
      <c r="BL708" s="89"/>
      <c r="BM708" s="89"/>
      <c r="BN708" s="89"/>
      <c r="BO708" s="89"/>
    </row>
    <row r="709" spans="1:67" ht="15.75" customHeight="1" x14ac:dyDescent="0.3">
      <c r="A709" s="88"/>
      <c r="BG709" s="89"/>
      <c r="BH709" s="89"/>
      <c r="BI709" s="89"/>
      <c r="BJ709" s="89"/>
      <c r="BK709" s="89"/>
      <c r="BL709" s="89"/>
      <c r="BM709" s="89"/>
      <c r="BN709" s="89"/>
      <c r="BO709" s="89"/>
    </row>
    <row r="710" spans="1:67" ht="15.75" customHeight="1" x14ac:dyDescent="0.3">
      <c r="A710" s="88"/>
      <c r="BG710" s="89"/>
      <c r="BH710" s="89"/>
      <c r="BI710" s="89"/>
      <c r="BJ710" s="89"/>
      <c r="BK710" s="89"/>
      <c r="BL710" s="89"/>
      <c r="BM710" s="89"/>
      <c r="BN710" s="89"/>
      <c r="BO710" s="89"/>
    </row>
    <row r="711" spans="1:67" ht="15.75" customHeight="1" x14ac:dyDescent="0.3">
      <c r="A711" s="88"/>
      <c r="BG711" s="89"/>
      <c r="BH711" s="89"/>
      <c r="BI711" s="89"/>
      <c r="BJ711" s="89"/>
      <c r="BK711" s="89"/>
      <c r="BL711" s="89"/>
      <c r="BM711" s="89"/>
      <c r="BN711" s="89"/>
      <c r="BO711" s="89"/>
    </row>
    <row r="712" spans="1:67" ht="15.75" customHeight="1" x14ac:dyDescent="0.3">
      <c r="A712" s="88"/>
      <c r="BG712" s="89"/>
      <c r="BH712" s="89"/>
      <c r="BI712" s="89"/>
      <c r="BJ712" s="89"/>
      <c r="BK712" s="89"/>
      <c r="BL712" s="89"/>
      <c r="BM712" s="89"/>
      <c r="BN712" s="89"/>
      <c r="BO712" s="89"/>
    </row>
    <row r="713" spans="1:67" ht="15.75" customHeight="1" x14ac:dyDescent="0.3">
      <c r="A713" s="88"/>
      <c r="BG713" s="89"/>
      <c r="BH713" s="89"/>
      <c r="BI713" s="89"/>
      <c r="BJ713" s="89"/>
      <c r="BK713" s="89"/>
      <c r="BL713" s="89"/>
      <c r="BM713" s="89"/>
      <c r="BN713" s="89"/>
      <c r="BO713" s="89"/>
    </row>
    <row r="714" spans="1:67" ht="15.75" customHeight="1" x14ac:dyDescent="0.3">
      <c r="A714" s="88"/>
      <c r="BG714" s="89"/>
      <c r="BH714" s="89"/>
      <c r="BI714" s="89"/>
      <c r="BJ714" s="89"/>
      <c r="BK714" s="89"/>
      <c r="BL714" s="89"/>
      <c r="BM714" s="89"/>
      <c r="BN714" s="89"/>
      <c r="BO714" s="89"/>
    </row>
    <row r="715" spans="1:67" ht="15.75" customHeight="1" x14ac:dyDescent="0.3">
      <c r="A715" s="88"/>
      <c r="BG715" s="89"/>
      <c r="BH715" s="89"/>
      <c r="BI715" s="89"/>
      <c r="BJ715" s="89"/>
      <c r="BK715" s="89"/>
      <c r="BL715" s="89"/>
      <c r="BM715" s="89"/>
      <c r="BN715" s="89"/>
      <c r="BO715" s="89"/>
    </row>
    <row r="716" spans="1:67" ht="15.75" customHeight="1" x14ac:dyDescent="0.3">
      <c r="A716" s="88"/>
      <c r="BG716" s="89"/>
      <c r="BH716" s="89"/>
      <c r="BI716" s="89"/>
      <c r="BJ716" s="89"/>
      <c r="BK716" s="89"/>
      <c r="BL716" s="89"/>
      <c r="BM716" s="89"/>
      <c r="BN716" s="89"/>
      <c r="BO716" s="89"/>
    </row>
    <row r="717" spans="1:67" ht="15.75" customHeight="1" x14ac:dyDescent="0.3">
      <c r="A717" s="88"/>
      <c r="BG717" s="89"/>
      <c r="BH717" s="89"/>
      <c r="BI717" s="89"/>
      <c r="BJ717" s="89"/>
      <c r="BK717" s="89"/>
      <c r="BL717" s="89"/>
      <c r="BM717" s="89"/>
      <c r="BN717" s="89"/>
      <c r="BO717" s="89"/>
    </row>
    <row r="718" spans="1:67" ht="15.75" customHeight="1" x14ac:dyDescent="0.3">
      <c r="A718" s="88"/>
      <c r="BG718" s="89"/>
      <c r="BH718" s="89"/>
      <c r="BI718" s="89"/>
      <c r="BJ718" s="89"/>
      <c r="BK718" s="89"/>
      <c r="BL718" s="89"/>
      <c r="BM718" s="89"/>
      <c r="BN718" s="89"/>
      <c r="BO718" s="89"/>
    </row>
    <row r="719" spans="1:67" ht="15.75" customHeight="1" x14ac:dyDescent="0.3">
      <c r="A719" s="88"/>
      <c r="BG719" s="89"/>
      <c r="BH719" s="89"/>
      <c r="BI719" s="89"/>
      <c r="BJ719" s="89"/>
      <c r="BK719" s="89"/>
      <c r="BL719" s="89"/>
      <c r="BM719" s="89"/>
      <c r="BN719" s="89"/>
      <c r="BO719" s="89"/>
    </row>
    <row r="720" spans="1:67" ht="15.75" customHeight="1" x14ac:dyDescent="0.3">
      <c r="A720" s="88"/>
      <c r="BG720" s="89"/>
      <c r="BH720" s="89"/>
      <c r="BI720" s="89"/>
      <c r="BJ720" s="89"/>
      <c r="BK720" s="89"/>
      <c r="BL720" s="89"/>
      <c r="BM720" s="89"/>
      <c r="BN720" s="89"/>
      <c r="BO720" s="89"/>
    </row>
    <row r="721" spans="1:67" ht="15.75" customHeight="1" x14ac:dyDescent="0.3">
      <c r="A721" s="88"/>
      <c r="BG721" s="89"/>
      <c r="BH721" s="89"/>
      <c r="BI721" s="89"/>
      <c r="BJ721" s="89"/>
      <c r="BK721" s="89"/>
      <c r="BL721" s="89"/>
      <c r="BM721" s="89"/>
      <c r="BN721" s="89"/>
      <c r="BO721" s="89"/>
    </row>
    <row r="722" spans="1:67" ht="15.75" customHeight="1" x14ac:dyDescent="0.3">
      <c r="A722" s="88"/>
      <c r="BG722" s="89"/>
      <c r="BH722" s="89"/>
      <c r="BI722" s="89"/>
      <c r="BJ722" s="89"/>
      <c r="BK722" s="89"/>
      <c r="BL722" s="89"/>
      <c r="BM722" s="89"/>
      <c r="BN722" s="89"/>
      <c r="BO722" s="89"/>
    </row>
    <row r="723" spans="1:67" ht="15.75" customHeight="1" x14ac:dyDescent="0.3">
      <c r="A723" s="88"/>
      <c r="BG723" s="89"/>
      <c r="BH723" s="89"/>
      <c r="BI723" s="89"/>
      <c r="BJ723" s="89"/>
      <c r="BK723" s="89"/>
      <c r="BL723" s="89"/>
      <c r="BM723" s="89"/>
      <c r="BN723" s="89"/>
      <c r="BO723" s="89"/>
    </row>
    <row r="724" spans="1:67" ht="15.75" customHeight="1" x14ac:dyDescent="0.3">
      <c r="A724" s="88"/>
      <c r="BG724" s="89"/>
      <c r="BH724" s="89"/>
      <c r="BI724" s="89"/>
      <c r="BJ724" s="89"/>
      <c r="BK724" s="89"/>
      <c r="BL724" s="89"/>
      <c r="BM724" s="89"/>
      <c r="BN724" s="89"/>
      <c r="BO724" s="89"/>
    </row>
    <row r="725" spans="1:67" ht="15.75" customHeight="1" x14ac:dyDescent="0.3">
      <c r="A725" s="88"/>
      <c r="BG725" s="89"/>
      <c r="BH725" s="89"/>
      <c r="BI725" s="89"/>
      <c r="BJ725" s="89"/>
      <c r="BK725" s="89"/>
      <c r="BL725" s="89"/>
      <c r="BM725" s="89"/>
      <c r="BN725" s="89"/>
      <c r="BO725" s="89"/>
    </row>
    <row r="726" spans="1:67" ht="15.75" customHeight="1" x14ac:dyDescent="0.3">
      <c r="A726" s="88"/>
      <c r="BG726" s="89"/>
      <c r="BH726" s="89"/>
      <c r="BI726" s="89"/>
      <c r="BJ726" s="89"/>
      <c r="BK726" s="89"/>
      <c r="BL726" s="89"/>
      <c r="BM726" s="89"/>
      <c r="BN726" s="89"/>
      <c r="BO726" s="89"/>
    </row>
    <row r="727" spans="1:67" ht="15.75" customHeight="1" x14ac:dyDescent="0.3">
      <c r="A727" s="88"/>
      <c r="BG727" s="89"/>
      <c r="BH727" s="89"/>
      <c r="BI727" s="89"/>
      <c r="BJ727" s="89"/>
      <c r="BK727" s="89"/>
      <c r="BL727" s="89"/>
      <c r="BM727" s="89"/>
      <c r="BN727" s="89"/>
      <c r="BO727" s="89"/>
    </row>
    <row r="728" spans="1:67" ht="15.75" customHeight="1" x14ac:dyDescent="0.3">
      <c r="A728" s="88"/>
      <c r="BG728" s="89"/>
      <c r="BH728" s="89"/>
      <c r="BI728" s="89"/>
      <c r="BJ728" s="89"/>
      <c r="BK728" s="89"/>
      <c r="BL728" s="89"/>
      <c r="BM728" s="89"/>
      <c r="BN728" s="89"/>
      <c r="BO728" s="89"/>
    </row>
    <row r="729" spans="1:67" ht="15.75" customHeight="1" x14ac:dyDescent="0.3">
      <c r="A729" s="88"/>
      <c r="BG729" s="89"/>
      <c r="BH729" s="89"/>
      <c r="BI729" s="89"/>
      <c r="BJ729" s="89"/>
      <c r="BK729" s="89"/>
      <c r="BL729" s="89"/>
      <c r="BM729" s="89"/>
      <c r="BN729" s="89"/>
      <c r="BO729" s="89"/>
    </row>
    <row r="730" spans="1:67" ht="15.75" customHeight="1" x14ac:dyDescent="0.3">
      <c r="A730" s="88"/>
      <c r="BG730" s="89"/>
      <c r="BH730" s="89"/>
      <c r="BI730" s="89"/>
      <c r="BJ730" s="89"/>
      <c r="BK730" s="89"/>
      <c r="BL730" s="89"/>
      <c r="BM730" s="89"/>
      <c r="BN730" s="89"/>
      <c r="BO730" s="89"/>
    </row>
    <row r="731" spans="1:67" ht="15.75" customHeight="1" x14ac:dyDescent="0.3">
      <c r="A731" s="88"/>
      <c r="BG731" s="89"/>
      <c r="BH731" s="89"/>
      <c r="BI731" s="89"/>
      <c r="BJ731" s="89"/>
      <c r="BK731" s="89"/>
      <c r="BL731" s="89"/>
      <c r="BM731" s="89"/>
      <c r="BN731" s="89"/>
      <c r="BO731" s="89"/>
    </row>
    <row r="732" spans="1:67" ht="15.75" customHeight="1" x14ac:dyDescent="0.3">
      <c r="A732" s="88"/>
      <c r="BG732" s="89"/>
      <c r="BH732" s="89"/>
      <c r="BI732" s="89"/>
      <c r="BJ732" s="89"/>
      <c r="BK732" s="89"/>
      <c r="BL732" s="89"/>
      <c r="BM732" s="89"/>
      <c r="BN732" s="89"/>
      <c r="BO732" s="89"/>
    </row>
    <row r="733" spans="1:67" ht="15.75" customHeight="1" x14ac:dyDescent="0.3">
      <c r="A733" s="88"/>
      <c r="BG733" s="89"/>
      <c r="BH733" s="89"/>
      <c r="BI733" s="89"/>
      <c r="BJ733" s="89"/>
      <c r="BK733" s="89"/>
      <c r="BL733" s="89"/>
      <c r="BM733" s="89"/>
      <c r="BN733" s="89"/>
      <c r="BO733" s="89"/>
    </row>
    <row r="734" spans="1:67" ht="15.75" customHeight="1" x14ac:dyDescent="0.3">
      <c r="A734" s="88"/>
      <c r="BG734" s="89"/>
      <c r="BH734" s="89"/>
      <c r="BI734" s="89"/>
      <c r="BJ734" s="89"/>
      <c r="BK734" s="89"/>
      <c r="BL734" s="89"/>
      <c r="BM734" s="89"/>
      <c r="BN734" s="89"/>
      <c r="BO734" s="89"/>
    </row>
    <row r="735" spans="1:67" ht="15.75" customHeight="1" x14ac:dyDescent="0.3">
      <c r="A735" s="88"/>
      <c r="BG735" s="89"/>
      <c r="BH735" s="89"/>
      <c r="BI735" s="89"/>
      <c r="BJ735" s="89"/>
      <c r="BK735" s="89"/>
      <c r="BL735" s="89"/>
      <c r="BM735" s="89"/>
      <c r="BN735" s="89"/>
      <c r="BO735" s="89"/>
    </row>
    <row r="736" spans="1:67" ht="15.75" customHeight="1" x14ac:dyDescent="0.3">
      <c r="A736" s="88"/>
      <c r="BG736" s="89"/>
      <c r="BH736" s="89"/>
      <c r="BI736" s="89"/>
      <c r="BJ736" s="89"/>
      <c r="BK736" s="89"/>
      <c r="BL736" s="89"/>
      <c r="BM736" s="89"/>
      <c r="BN736" s="89"/>
      <c r="BO736" s="89"/>
    </row>
    <row r="737" spans="1:67" ht="15.75" customHeight="1" x14ac:dyDescent="0.3">
      <c r="A737" s="88"/>
      <c r="BG737" s="89"/>
      <c r="BH737" s="89"/>
      <c r="BI737" s="89"/>
      <c r="BJ737" s="89"/>
      <c r="BK737" s="89"/>
      <c r="BL737" s="89"/>
      <c r="BM737" s="89"/>
      <c r="BN737" s="89"/>
      <c r="BO737" s="89"/>
    </row>
    <row r="738" spans="1:67" ht="15.75" customHeight="1" x14ac:dyDescent="0.3">
      <c r="A738" s="88"/>
      <c r="BG738" s="89"/>
      <c r="BH738" s="89"/>
      <c r="BI738" s="89"/>
      <c r="BJ738" s="89"/>
      <c r="BK738" s="89"/>
      <c r="BL738" s="89"/>
      <c r="BM738" s="89"/>
      <c r="BN738" s="89"/>
      <c r="BO738" s="89"/>
    </row>
    <row r="739" spans="1:67" ht="15.75" customHeight="1" x14ac:dyDescent="0.3">
      <c r="A739" s="88"/>
      <c r="BG739" s="89"/>
      <c r="BH739" s="89"/>
      <c r="BI739" s="89"/>
      <c r="BJ739" s="89"/>
      <c r="BK739" s="89"/>
      <c r="BL739" s="89"/>
      <c r="BM739" s="89"/>
      <c r="BN739" s="89"/>
      <c r="BO739" s="89"/>
    </row>
    <row r="740" spans="1:67" ht="15.75" customHeight="1" x14ac:dyDescent="0.3">
      <c r="A740" s="88"/>
      <c r="BG740" s="89"/>
      <c r="BH740" s="89"/>
      <c r="BI740" s="89"/>
      <c r="BJ740" s="89"/>
      <c r="BK740" s="89"/>
      <c r="BL740" s="89"/>
      <c r="BM740" s="89"/>
      <c r="BN740" s="89"/>
      <c r="BO740" s="89"/>
    </row>
    <row r="741" spans="1:67" ht="15.75" customHeight="1" x14ac:dyDescent="0.3">
      <c r="A741" s="88"/>
      <c r="BG741" s="89"/>
      <c r="BH741" s="89"/>
      <c r="BI741" s="89"/>
      <c r="BJ741" s="89"/>
      <c r="BK741" s="89"/>
      <c r="BL741" s="89"/>
      <c r="BM741" s="89"/>
      <c r="BN741" s="89"/>
      <c r="BO741" s="89"/>
    </row>
    <row r="742" spans="1:67" ht="15.75" customHeight="1" x14ac:dyDescent="0.3">
      <c r="A742" s="88"/>
      <c r="BG742" s="89"/>
      <c r="BH742" s="89"/>
      <c r="BI742" s="89"/>
      <c r="BJ742" s="89"/>
      <c r="BK742" s="89"/>
      <c r="BL742" s="89"/>
      <c r="BM742" s="89"/>
      <c r="BN742" s="89"/>
      <c r="BO742" s="89"/>
    </row>
    <row r="743" spans="1:67" ht="15.75" customHeight="1" x14ac:dyDescent="0.3">
      <c r="A743" s="88"/>
      <c r="BG743" s="89"/>
      <c r="BH743" s="89"/>
      <c r="BI743" s="89"/>
      <c r="BJ743" s="89"/>
      <c r="BK743" s="89"/>
      <c r="BL743" s="89"/>
      <c r="BM743" s="89"/>
      <c r="BN743" s="89"/>
      <c r="BO743" s="89"/>
    </row>
    <row r="744" spans="1:67" ht="15.75" customHeight="1" x14ac:dyDescent="0.3">
      <c r="A744" s="88"/>
      <c r="BG744" s="89"/>
      <c r="BH744" s="89"/>
      <c r="BI744" s="89"/>
      <c r="BJ744" s="89"/>
      <c r="BK744" s="89"/>
      <c r="BL744" s="89"/>
      <c r="BM744" s="89"/>
      <c r="BN744" s="89"/>
      <c r="BO744" s="89"/>
    </row>
    <row r="745" spans="1:67" ht="15.75" customHeight="1" x14ac:dyDescent="0.3">
      <c r="A745" s="88"/>
      <c r="BG745" s="89"/>
      <c r="BH745" s="89"/>
      <c r="BI745" s="89"/>
      <c r="BJ745" s="89"/>
      <c r="BK745" s="89"/>
      <c r="BL745" s="89"/>
      <c r="BM745" s="89"/>
      <c r="BN745" s="89"/>
      <c r="BO745" s="89"/>
    </row>
    <row r="746" spans="1:67" ht="15.75" customHeight="1" x14ac:dyDescent="0.3">
      <c r="A746" s="88"/>
      <c r="BG746" s="89"/>
      <c r="BH746" s="89"/>
      <c r="BI746" s="89"/>
      <c r="BJ746" s="89"/>
      <c r="BK746" s="89"/>
      <c r="BL746" s="89"/>
      <c r="BM746" s="89"/>
      <c r="BN746" s="89"/>
      <c r="BO746" s="89"/>
    </row>
    <row r="747" spans="1:67" ht="15.75" customHeight="1" x14ac:dyDescent="0.3">
      <c r="A747" s="88"/>
      <c r="BG747" s="89"/>
      <c r="BH747" s="89"/>
      <c r="BI747" s="89"/>
      <c r="BJ747" s="89"/>
      <c r="BK747" s="89"/>
      <c r="BL747" s="89"/>
      <c r="BM747" s="89"/>
      <c r="BN747" s="89"/>
      <c r="BO747" s="89"/>
    </row>
    <row r="748" spans="1:67" ht="15.75" customHeight="1" x14ac:dyDescent="0.3">
      <c r="A748" s="88"/>
      <c r="BG748" s="89"/>
      <c r="BH748" s="89"/>
      <c r="BI748" s="89"/>
      <c r="BJ748" s="89"/>
      <c r="BK748" s="89"/>
      <c r="BL748" s="89"/>
      <c r="BM748" s="89"/>
      <c r="BN748" s="89"/>
      <c r="BO748" s="89"/>
    </row>
    <row r="749" spans="1:67" ht="15.75" customHeight="1" x14ac:dyDescent="0.3">
      <c r="A749" s="88"/>
      <c r="BG749" s="89"/>
      <c r="BH749" s="89"/>
      <c r="BI749" s="89"/>
      <c r="BJ749" s="89"/>
      <c r="BK749" s="89"/>
      <c r="BL749" s="89"/>
      <c r="BM749" s="89"/>
      <c r="BN749" s="89"/>
      <c r="BO749" s="89"/>
    </row>
    <row r="750" spans="1:67" ht="15.75" customHeight="1" x14ac:dyDescent="0.3">
      <c r="A750" s="88"/>
      <c r="BG750" s="89"/>
      <c r="BH750" s="89"/>
      <c r="BI750" s="89"/>
      <c r="BJ750" s="89"/>
      <c r="BK750" s="89"/>
      <c r="BL750" s="89"/>
      <c r="BM750" s="89"/>
      <c r="BN750" s="89"/>
      <c r="BO750" s="89"/>
    </row>
    <row r="751" spans="1:67" ht="15.75" customHeight="1" x14ac:dyDescent="0.3">
      <c r="A751" s="88"/>
      <c r="BG751" s="89"/>
      <c r="BH751" s="89"/>
      <c r="BI751" s="89"/>
      <c r="BJ751" s="89"/>
      <c r="BK751" s="89"/>
      <c r="BL751" s="89"/>
      <c r="BM751" s="89"/>
      <c r="BN751" s="89"/>
      <c r="BO751" s="89"/>
    </row>
    <row r="752" spans="1:67" ht="15.75" customHeight="1" x14ac:dyDescent="0.3">
      <c r="A752" s="88"/>
      <c r="BG752" s="89"/>
      <c r="BH752" s="89"/>
      <c r="BI752" s="89"/>
      <c r="BJ752" s="89"/>
      <c r="BK752" s="89"/>
      <c r="BL752" s="89"/>
      <c r="BM752" s="89"/>
      <c r="BN752" s="89"/>
      <c r="BO752" s="89"/>
    </row>
    <row r="753" spans="1:67" ht="15.75" customHeight="1" x14ac:dyDescent="0.3">
      <c r="A753" s="88"/>
      <c r="BG753" s="89"/>
      <c r="BH753" s="89"/>
      <c r="BI753" s="89"/>
      <c r="BJ753" s="89"/>
      <c r="BK753" s="89"/>
      <c r="BL753" s="89"/>
      <c r="BM753" s="89"/>
      <c r="BN753" s="89"/>
      <c r="BO753" s="89"/>
    </row>
    <row r="754" spans="1:67" ht="15.75" customHeight="1" x14ac:dyDescent="0.3">
      <c r="A754" s="88"/>
      <c r="BG754" s="89"/>
      <c r="BH754" s="89"/>
      <c r="BI754" s="89"/>
      <c r="BJ754" s="89"/>
      <c r="BK754" s="89"/>
      <c r="BL754" s="89"/>
      <c r="BM754" s="89"/>
      <c r="BN754" s="89"/>
      <c r="BO754" s="89"/>
    </row>
    <row r="755" spans="1:67" ht="15.75" customHeight="1" x14ac:dyDescent="0.3">
      <c r="A755" s="88"/>
      <c r="BG755" s="89"/>
      <c r="BH755" s="89"/>
      <c r="BI755" s="89"/>
      <c r="BJ755" s="89"/>
      <c r="BK755" s="89"/>
      <c r="BL755" s="89"/>
      <c r="BM755" s="89"/>
      <c r="BN755" s="89"/>
      <c r="BO755" s="89"/>
    </row>
    <row r="756" spans="1:67" ht="15.75" customHeight="1" x14ac:dyDescent="0.3">
      <c r="A756" s="88"/>
      <c r="BG756" s="89"/>
      <c r="BH756" s="89"/>
      <c r="BI756" s="89"/>
      <c r="BJ756" s="89"/>
      <c r="BK756" s="89"/>
      <c r="BL756" s="89"/>
      <c r="BM756" s="89"/>
      <c r="BN756" s="89"/>
      <c r="BO756" s="89"/>
    </row>
    <row r="757" spans="1:67" ht="15.75" customHeight="1" x14ac:dyDescent="0.3">
      <c r="A757" s="88"/>
      <c r="BG757" s="89"/>
      <c r="BH757" s="89"/>
      <c r="BI757" s="89"/>
      <c r="BJ757" s="89"/>
      <c r="BK757" s="89"/>
      <c r="BL757" s="89"/>
      <c r="BM757" s="89"/>
      <c r="BN757" s="89"/>
      <c r="BO757" s="89"/>
    </row>
    <row r="758" spans="1:67" ht="15.75" customHeight="1" x14ac:dyDescent="0.3">
      <c r="A758" s="88"/>
      <c r="BG758" s="89"/>
      <c r="BH758" s="89"/>
      <c r="BI758" s="89"/>
      <c r="BJ758" s="89"/>
      <c r="BK758" s="89"/>
      <c r="BL758" s="89"/>
      <c r="BM758" s="89"/>
      <c r="BN758" s="89"/>
      <c r="BO758" s="89"/>
    </row>
    <row r="759" spans="1:67" ht="15.75" customHeight="1" x14ac:dyDescent="0.3">
      <c r="A759" s="88"/>
      <c r="BG759" s="89"/>
      <c r="BH759" s="89"/>
      <c r="BI759" s="89"/>
      <c r="BJ759" s="89"/>
      <c r="BK759" s="89"/>
      <c r="BL759" s="89"/>
      <c r="BM759" s="89"/>
      <c r="BN759" s="89"/>
      <c r="BO759" s="89"/>
    </row>
    <row r="760" spans="1:67" ht="15.75" customHeight="1" x14ac:dyDescent="0.3">
      <c r="A760" s="88"/>
      <c r="BG760" s="89"/>
      <c r="BH760" s="89"/>
      <c r="BI760" s="89"/>
      <c r="BJ760" s="89"/>
      <c r="BK760" s="89"/>
      <c r="BL760" s="89"/>
      <c r="BM760" s="89"/>
      <c r="BN760" s="89"/>
      <c r="BO760" s="89"/>
    </row>
    <row r="761" spans="1:67" ht="15.75" customHeight="1" x14ac:dyDescent="0.3">
      <c r="A761" s="88"/>
      <c r="BG761" s="89"/>
      <c r="BH761" s="89"/>
      <c r="BI761" s="89"/>
      <c r="BJ761" s="89"/>
      <c r="BK761" s="89"/>
      <c r="BL761" s="89"/>
      <c r="BM761" s="89"/>
      <c r="BN761" s="89"/>
      <c r="BO761" s="89"/>
    </row>
    <row r="762" spans="1:67" ht="15.75" customHeight="1" x14ac:dyDescent="0.3">
      <c r="A762" s="88"/>
      <c r="BG762" s="89"/>
      <c r="BH762" s="89"/>
      <c r="BI762" s="89"/>
      <c r="BJ762" s="89"/>
      <c r="BK762" s="89"/>
      <c r="BL762" s="89"/>
      <c r="BM762" s="89"/>
      <c r="BN762" s="89"/>
      <c r="BO762" s="89"/>
    </row>
    <row r="763" spans="1:67" ht="15.75" customHeight="1" x14ac:dyDescent="0.3">
      <c r="A763" s="88"/>
      <c r="BG763" s="89"/>
      <c r="BH763" s="89"/>
      <c r="BI763" s="89"/>
      <c r="BJ763" s="89"/>
      <c r="BK763" s="89"/>
      <c r="BL763" s="89"/>
      <c r="BM763" s="89"/>
      <c r="BN763" s="89"/>
      <c r="BO763" s="89"/>
    </row>
    <row r="764" spans="1:67" ht="15.75" customHeight="1" x14ac:dyDescent="0.3">
      <c r="A764" s="88"/>
      <c r="BG764" s="89"/>
      <c r="BH764" s="89"/>
      <c r="BI764" s="89"/>
      <c r="BJ764" s="89"/>
      <c r="BK764" s="89"/>
      <c r="BL764" s="89"/>
      <c r="BM764" s="89"/>
      <c r="BN764" s="89"/>
      <c r="BO764" s="89"/>
    </row>
    <row r="765" spans="1:67" ht="15.75" customHeight="1" x14ac:dyDescent="0.3">
      <c r="A765" s="88"/>
      <c r="BG765" s="89"/>
      <c r="BH765" s="89"/>
      <c r="BI765" s="89"/>
      <c r="BJ765" s="89"/>
      <c r="BK765" s="89"/>
      <c r="BL765" s="89"/>
      <c r="BM765" s="89"/>
      <c r="BN765" s="89"/>
      <c r="BO765" s="89"/>
    </row>
    <row r="766" spans="1:67" ht="15.75" customHeight="1" x14ac:dyDescent="0.3">
      <c r="A766" s="88"/>
      <c r="BG766" s="89"/>
      <c r="BH766" s="89"/>
      <c r="BI766" s="89"/>
      <c r="BJ766" s="89"/>
      <c r="BK766" s="89"/>
      <c r="BL766" s="89"/>
      <c r="BM766" s="89"/>
      <c r="BN766" s="89"/>
      <c r="BO766" s="89"/>
    </row>
    <row r="767" spans="1:67" ht="15.75" customHeight="1" x14ac:dyDescent="0.3">
      <c r="A767" s="88"/>
      <c r="BG767" s="89"/>
      <c r="BH767" s="89"/>
      <c r="BI767" s="89"/>
      <c r="BJ767" s="89"/>
      <c r="BK767" s="89"/>
      <c r="BL767" s="89"/>
      <c r="BM767" s="89"/>
      <c r="BN767" s="89"/>
      <c r="BO767" s="89"/>
    </row>
    <row r="768" spans="1:67" ht="15.75" customHeight="1" x14ac:dyDescent="0.3">
      <c r="A768" s="88"/>
      <c r="BG768" s="89"/>
      <c r="BH768" s="89"/>
      <c r="BI768" s="89"/>
      <c r="BJ768" s="89"/>
      <c r="BK768" s="89"/>
      <c r="BL768" s="89"/>
      <c r="BM768" s="89"/>
      <c r="BN768" s="89"/>
      <c r="BO768" s="89"/>
    </row>
    <row r="769" spans="1:67" ht="15.75" customHeight="1" x14ac:dyDescent="0.3">
      <c r="A769" s="88"/>
      <c r="BG769" s="89"/>
      <c r="BH769" s="89"/>
      <c r="BI769" s="89"/>
      <c r="BJ769" s="89"/>
      <c r="BK769" s="89"/>
      <c r="BL769" s="89"/>
      <c r="BM769" s="89"/>
      <c r="BN769" s="89"/>
      <c r="BO769" s="89"/>
    </row>
    <row r="770" spans="1:67" ht="15.75" customHeight="1" x14ac:dyDescent="0.3">
      <c r="A770" s="88"/>
      <c r="BG770" s="89"/>
      <c r="BH770" s="89"/>
      <c r="BI770" s="89"/>
      <c r="BJ770" s="89"/>
      <c r="BK770" s="89"/>
      <c r="BL770" s="89"/>
      <c r="BM770" s="89"/>
      <c r="BN770" s="89"/>
      <c r="BO770" s="89"/>
    </row>
    <row r="771" spans="1:67" ht="15.75" customHeight="1" x14ac:dyDescent="0.3">
      <c r="A771" s="88"/>
      <c r="BG771" s="89"/>
      <c r="BH771" s="89"/>
      <c r="BI771" s="89"/>
      <c r="BJ771" s="89"/>
      <c r="BK771" s="89"/>
      <c r="BL771" s="89"/>
      <c r="BM771" s="89"/>
      <c r="BN771" s="89"/>
      <c r="BO771" s="89"/>
    </row>
    <row r="772" spans="1:67" ht="15.75" customHeight="1" x14ac:dyDescent="0.3">
      <c r="A772" s="88"/>
      <c r="BG772" s="89"/>
      <c r="BH772" s="89"/>
      <c r="BI772" s="89"/>
      <c r="BJ772" s="89"/>
      <c r="BK772" s="89"/>
      <c r="BL772" s="89"/>
      <c r="BM772" s="89"/>
      <c r="BN772" s="89"/>
      <c r="BO772" s="89"/>
    </row>
    <row r="773" spans="1:67" ht="15.75" customHeight="1" x14ac:dyDescent="0.3">
      <c r="A773" s="88"/>
      <c r="BG773" s="89"/>
      <c r="BH773" s="89"/>
      <c r="BI773" s="89"/>
      <c r="BJ773" s="89"/>
      <c r="BK773" s="89"/>
      <c r="BL773" s="89"/>
      <c r="BM773" s="89"/>
      <c r="BN773" s="89"/>
      <c r="BO773" s="89"/>
    </row>
    <row r="774" spans="1:67" ht="15.75" customHeight="1" x14ac:dyDescent="0.3">
      <c r="A774" s="88"/>
      <c r="BG774" s="89"/>
      <c r="BH774" s="89"/>
      <c r="BI774" s="89"/>
      <c r="BJ774" s="89"/>
      <c r="BK774" s="89"/>
      <c r="BL774" s="89"/>
      <c r="BM774" s="89"/>
      <c r="BN774" s="89"/>
      <c r="BO774" s="89"/>
    </row>
    <row r="775" spans="1:67" ht="15.75" customHeight="1" x14ac:dyDescent="0.3">
      <c r="A775" s="88"/>
      <c r="BG775" s="89"/>
      <c r="BH775" s="89"/>
      <c r="BI775" s="89"/>
      <c r="BJ775" s="89"/>
      <c r="BK775" s="89"/>
      <c r="BL775" s="89"/>
      <c r="BM775" s="89"/>
      <c r="BN775" s="89"/>
      <c r="BO775" s="89"/>
    </row>
    <row r="776" spans="1:67" ht="15.75" customHeight="1" x14ac:dyDescent="0.3">
      <c r="A776" s="88"/>
      <c r="BG776" s="89"/>
      <c r="BH776" s="89"/>
      <c r="BI776" s="89"/>
      <c r="BJ776" s="89"/>
      <c r="BK776" s="89"/>
      <c r="BL776" s="89"/>
      <c r="BM776" s="89"/>
      <c r="BN776" s="89"/>
      <c r="BO776" s="89"/>
    </row>
    <row r="777" spans="1:67" ht="15.75" customHeight="1" x14ac:dyDescent="0.3">
      <c r="A777" s="88"/>
      <c r="BG777" s="89"/>
      <c r="BH777" s="89"/>
      <c r="BI777" s="89"/>
      <c r="BJ777" s="89"/>
      <c r="BK777" s="89"/>
      <c r="BL777" s="89"/>
      <c r="BM777" s="89"/>
      <c r="BN777" s="89"/>
      <c r="BO777" s="89"/>
    </row>
    <row r="778" spans="1:67" ht="15.75" customHeight="1" x14ac:dyDescent="0.3">
      <c r="A778" s="88"/>
      <c r="BG778" s="89"/>
      <c r="BH778" s="89"/>
      <c r="BI778" s="89"/>
      <c r="BJ778" s="89"/>
      <c r="BK778" s="89"/>
      <c r="BL778" s="89"/>
      <c r="BM778" s="89"/>
      <c r="BN778" s="89"/>
      <c r="BO778" s="89"/>
    </row>
    <row r="779" spans="1:67" ht="15.75" customHeight="1" x14ac:dyDescent="0.3">
      <c r="A779" s="88"/>
      <c r="BG779" s="89"/>
      <c r="BH779" s="89"/>
      <c r="BI779" s="89"/>
      <c r="BJ779" s="89"/>
      <c r="BK779" s="89"/>
      <c r="BL779" s="89"/>
      <c r="BM779" s="89"/>
      <c r="BN779" s="89"/>
      <c r="BO779" s="89"/>
    </row>
    <row r="780" spans="1:67" ht="15.75" customHeight="1" x14ac:dyDescent="0.3">
      <c r="A780" s="88"/>
      <c r="BG780" s="89"/>
      <c r="BH780" s="89"/>
      <c r="BI780" s="89"/>
      <c r="BJ780" s="89"/>
      <c r="BK780" s="89"/>
      <c r="BL780" s="89"/>
      <c r="BM780" s="89"/>
      <c r="BN780" s="89"/>
      <c r="BO780" s="89"/>
    </row>
    <row r="781" spans="1:67" ht="15.75" customHeight="1" x14ac:dyDescent="0.3">
      <c r="A781" s="88"/>
      <c r="BG781" s="89"/>
      <c r="BH781" s="89"/>
      <c r="BI781" s="89"/>
      <c r="BJ781" s="89"/>
      <c r="BK781" s="89"/>
      <c r="BL781" s="89"/>
      <c r="BM781" s="89"/>
      <c r="BN781" s="89"/>
      <c r="BO781" s="89"/>
    </row>
    <row r="782" spans="1:67" ht="15.75" customHeight="1" x14ac:dyDescent="0.3">
      <c r="A782" s="88"/>
      <c r="BG782" s="89"/>
      <c r="BH782" s="89"/>
      <c r="BI782" s="89"/>
      <c r="BJ782" s="89"/>
      <c r="BK782" s="89"/>
      <c r="BL782" s="89"/>
      <c r="BM782" s="89"/>
      <c r="BN782" s="89"/>
      <c r="BO782" s="89"/>
    </row>
    <row r="783" spans="1:67" ht="15.75" customHeight="1" x14ac:dyDescent="0.3">
      <c r="A783" s="88"/>
      <c r="BG783" s="89"/>
      <c r="BH783" s="89"/>
      <c r="BI783" s="89"/>
      <c r="BJ783" s="89"/>
      <c r="BK783" s="89"/>
      <c r="BL783" s="89"/>
      <c r="BM783" s="89"/>
      <c r="BN783" s="89"/>
      <c r="BO783" s="89"/>
    </row>
    <row r="784" spans="1:67" ht="15.75" customHeight="1" x14ac:dyDescent="0.3">
      <c r="A784" s="88"/>
      <c r="BG784" s="89"/>
      <c r="BH784" s="89"/>
      <c r="BI784" s="89"/>
      <c r="BJ784" s="89"/>
      <c r="BK784" s="89"/>
      <c r="BL784" s="89"/>
      <c r="BM784" s="89"/>
      <c r="BN784" s="89"/>
      <c r="BO784" s="89"/>
    </row>
    <row r="785" spans="1:67" ht="15.75" customHeight="1" x14ac:dyDescent="0.3">
      <c r="A785" s="88"/>
      <c r="BG785" s="89"/>
      <c r="BH785" s="89"/>
      <c r="BI785" s="89"/>
      <c r="BJ785" s="89"/>
      <c r="BK785" s="89"/>
      <c r="BL785" s="89"/>
      <c r="BM785" s="89"/>
      <c r="BN785" s="89"/>
      <c r="BO785" s="89"/>
    </row>
    <row r="786" spans="1:67" ht="15.75" customHeight="1" x14ac:dyDescent="0.3">
      <c r="A786" s="88"/>
      <c r="BG786" s="89"/>
      <c r="BH786" s="89"/>
      <c r="BI786" s="89"/>
      <c r="BJ786" s="89"/>
      <c r="BK786" s="89"/>
      <c r="BL786" s="89"/>
      <c r="BM786" s="89"/>
      <c r="BN786" s="89"/>
      <c r="BO786" s="89"/>
    </row>
    <row r="787" spans="1:67" ht="15.75" customHeight="1" x14ac:dyDescent="0.3">
      <c r="A787" s="88"/>
      <c r="BG787" s="89"/>
      <c r="BH787" s="89"/>
      <c r="BI787" s="89"/>
      <c r="BJ787" s="89"/>
      <c r="BK787" s="89"/>
      <c r="BL787" s="89"/>
      <c r="BM787" s="89"/>
      <c r="BN787" s="89"/>
      <c r="BO787" s="89"/>
    </row>
    <row r="788" spans="1:67" ht="15.75" customHeight="1" x14ac:dyDescent="0.3">
      <c r="A788" s="88"/>
      <c r="BG788" s="89"/>
      <c r="BH788" s="89"/>
      <c r="BI788" s="89"/>
      <c r="BJ788" s="89"/>
      <c r="BK788" s="89"/>
      <c r="BL788" s="89"/>
      <c r="BM788" s="89"/>
      <c r="BN788" s="89"/>
      <c r="BO788" s="89"/>
    </row>
    <row r="789" spans="1:67" ht="15.75" customHeight="1" x14ac:dyDescent="0.3">
      <c r="A789" s="88"/>
      <c r="BG789" s="89"/>
      <c r="BH789" s="89"/>
      <c r="BI789" s="89"/>
      <c r="BJ789" s="89"/>
      <c r="BK789" s="89"/>
      <c r="BL789" s="89"/>
      <c r="BM789" s="89"/>
      <c r="BN789" s="89"/>
      <c r="BO789" s="89"/>
    </row>
    <row r="790" spans="1:67" ht="15.75" customHeight="1" x14ac:dyDescent="0.3">
      <c r="A790" s="88"/>
      <c r="BG790" s="89"/>
      <c r="BH790" s="89"/>
      <c r="BI790" s="89"/>
      <c r="BJ790" s="89"/>
      <c r="BK790" s="89"/>
      <c r="BL790" s="89"/>
      <c r="BM790" s="89"/>
      <c r="BN790" s="89"/>
      <c r="BO790" s="89"/>
    </row>
    <row r="791" spans="1:67" ht="15.75" customHeight="1" x14ac:dyDescent="0.3">
      <c r="A791" s="88"/>
      <c r="BG791" s="89"/>
      <c r="BH791" s="89"/>
      <c r="BI791" s="89"/>
      <c r="BJ791" s="89"/>
      <c r="BK791" s="89"/>
      <c r="BL791" s="89"/>
      <c r="BM791" s="89"/>
      <c r="BN791" s="89"/>
      <c r="BO791" s="89"/>
    </row>
    <row r="792" spans="1:67" ht="15.75" customHeight="1" x14ac:dyDescent="0.3">
      <c r="A792" s="88"/>
      <c r="BG792" s="89"/>
      <c r="BH792" s="89"/>
      <c r="BI792" s="89"/>
      <c r="BJ792" s="89"/>
      <c r="BK792" s="89"/>
      <c r="BL792" s="89"/>
      <c r="BM792" s="89"/>
      <c r="BN792" s="89"/>
      <c r="BO792" s="89"/>
    </row>
    <row r="793" spans="1:67" ht="15.75" customHeight="1" x14ac:dyDescent="0.3">
      <c r="A793" s="88"/>
      <c r="BG793" s="89"/>
      <c r="BH793" s="89"/>
      <c r="BI793" s="89"/>
      <c r="BJ793" s="89"/>
      <c r="BK793" s="89"/>
      <c r="BL793" s="89"/>
      <c r="BM793" s="89"/>
      <c r="BN793" s="89"/>
      <c r="BO793" s="89"/>
    </row>
    <row r="794" spans="1:67" ht="15.75" customHeight="1" x14ac:dyDescent="0.3">
      <c r="A794" s="88"/>
      <c r="BG794" s="89"/>
      <c r="BH794" s="89"/>
      <c r="BI794" s="89"/>
      <c r="BJ794" s="89"/>
      <c r="BK794" s="89"/>
      <c r="BL794" s="89"/>
      <c r="BM794" s="89"/>
      <c r="BN794" s="89"/>
      <c r="BO794" s="89"/>
    </row>
    <row r="795" spans="1:67" ht="15.75" customHeight="1" x14ac:dyDescent="0.3">
      <c r="A795" s="88"/>
      <c r="BG795" s="89"/>
      <c r="BH795" s="89"/>
      <c r="BI795" s="89"/>
      <c r="BJ795" s="89"/>
      <c r="BK795" s="89"/>
      <c r="BL795" s="89"/>
      <c r="BM795" s="89"/>
      <c r="BN795" s="89"/>
      <c r="BO795" s="89"/>
    </row>
    <row r="796" spans="1:67" ht="15.75" customHeight="1" x14ac:dyDescent="0.3">
      <c r="A796" s="88"/>
      <c r="BG796" s="89"/>
      <c r="BH796" s="89"/>
      <c r="BI796" s="89"/>
      <c r="BJ796" s="89"/>
      <c r="BK796" s="89"/>
      <c r="BL796" s="89"/>
      <c r="BM796" s="89"/>
      <c r="BN796" s="89"/>
      <c r="BO796" s="89"/>
    </row>
    <row r="797" spans="1:67" ht="15.75" customHeight="1" x14ac:dyDescent="0.3">
      <c r="A797" s="88"/>
      <c r="BG797" s="89"/>
      <c r="BH797" s="89"/>
      <c r="BI797" s="89"/>
      <c r="BJ797" s="89"/>
      <c r="BK797" s="89"/>
      <c r="BL797" s="89"/>
      <c r="BM797" s="89"/>
      <c r="BN797" s="89"/>
      <c r="BO797" s="89"/>
    </row>
    <row r="798" spans="1:67" ht="15.75" customHeight="1" x14ac:dyDescent="0.3">
      <c r="A798" s="88"/>
      <c r="BG798" s="89"/>
      <c r="BH798" s="89"/>
      <c r="BI798" s="89"/>
      <c r="BJ798" s="89"/>
      <c r="BK798" s="89"/>
      <c r="BL798" s="89"/>
      <c r="BM798" s="89"/>
      <c r="BN798" s="89"/>
      <c r="BO798" s="89"/>
    </row>
    <row r="799" spans="1:67" ht="15.75" customHeight="1" x14ac:dyDescent="0.3">
      <c r="A799" s="88"/>
      <c r="BG799" s="89"/>
      <c r="BH799" s="89"/>
      <c r="BI799" s="89"/>
      <c r="BJ799" s="89"/>
      <c r="BK799" s="89"/>
      <c r="BL799" s="89"/>
      <c r="BM799" s="89"/>
      <c r="BN799" s="89"/>
      <c r="BO799" s="89"/>
    </row>
    <row r="800" spans="1:67" ht="15.75" customHeight="1" x14ac:dyDescent="0.3">
      <c r="A800" s="88"/>
      <c r="BG800" s="89"/>
      <c r="BH800" s="89"/>
      <c r="BI800" s="89"/>
      <c r="BJ800" s="89"/>
      <c r="BK800" s="89"/>
      <c r="BL800" s="89"/>
      <c r="BM800" s="89"/>
      <c r="BN800" s="89"/>
      <c r="BO800" s="89"/>
    </row>
    <row r="801" spans="1:67" ht="15.75" customHeight="1" x14ac:dyDescent="0.3">
      <c r="A801" s="88"/>
      <c r="BG801" s="89"/>
      <c r="BH801" s="89"/>
      <c r="BI801" s="89"/>
      <c r="BJ801" s="89"/>
      <c r="BK801" s="89"/>
      <c r="BL801" s="89"/>
      <c r="BM801" s="89"/>
      <c r="BN801" s="89"/>
      <c r="BO801" s="89"/>
    </row>
    <row r="802" spans="1:67" ht="15.75" customHeight="1" x14ac:dyDescent="0.3">
      <c r="A802" s="88"/>
      <c r="BG802" s="89"/>
      <c r="BH802" s="89"/>
      <c r="BI802" s="89"/>
      <c r="BJ802" s="89"/>
      <c r="BK802" s="89"/>
      <c r="BL802" s="89"/>
      <c r="BM802" s="89"/>
      <c r="BN802" s="89"/>
      <c r="BO802" s="89"/>
    </row>
    <row r="803" spans="1:67" ht="15.75" customHeight="1" x14ac:dyDescent="0.3">
      <c r="A803" s="88"/>
      <c r="BG803" s="89"/>
      <c r="BH803" s="89"/>
      <c r="BI803" s="89"/>
      <c r="BJ803" s="89"/>
      <c r="BK803" s="89"/>
      <c r="BL803" s="89"/>
      <c r="BM803" s="89"/>
      <c r="BN803" s="89"/>
      <c r="BO803" s="89"/>
    </row>
    <row r="804" spans="1:67" ht="15.75" customHeight="1" x14ac:dyDescent="0.3">
      <c r="A804" s="88"/>
      <c r="BG804" s="89"/>
      <c r="BH804" s="89"/>
      <c r="BI804" s="89"/>
      <c r="BJ804" s="89"/>
      <c r="BK804" s="89"/>
      <c r="BL804" s="89"/>
      <c r="BM804" s="89"/>
      <c r="BN804" s="89"/>
      <c r="BO804" s="89"/>
    </row>
    <row r="805" spans="1:67" ht="15.75" customHeight="1" x14ac:dyDescent="0.3">
      <c r="A805" s="88"/>
      <c r="BG805" s="89"/>
      <c r="BH805" s="89"/>
      <c r="BI805" s="89"/>
      <c r="BJ805" s="89"/>
      <c r="BK805" s="89"/>
      <c r="BL805" s="89"/>
      <c r="BM805" s="89"/>
      <c r="BN805" s="89"/>
      <c r="BO805" s="89"/>
    </row>
    <row r="806" spans="1:67" ht="15.75" customHeight="1" x14ac:dyDescent="0.3">
      <c r="A806" s="88"/>
      <c r="BG806" s="89"/>
      <c r="BH806" s="89"/>
      <c r="BI806" s="89"/>
      <c r="BJ806" s="89"/>
      <c r="BK806" s="89"/>
      <c r="BL806" s="89"/>
      <c r="BM806" s="89"/>
      <c r="BN806" s="89"/>
      <c r="BO806" s="89"/>
    </row>
    <row r="807" spans="1:67" ht="15.75" customHeight="1" x14ac:dyDescent="0.3">
      <c r="A807" s="88"/>
      <c r="BG807" s="89"/>
      <c r="BH807" s="89"/>
      <c r="BI807" s="89"/>
      <c r="BJ807" s="89"/>
      <c r="BK807" s="89"/>
      <c r="BL807" s="89"/>
      <c r="BM807" s="89"/>
      <c r="BN807" s="89"/>
      <c r="BO807" s="89"/>
    </row>
    <row r="808" spans="1:67" ht="15.75" customHeight="1" x14ac:dyDescent="0.3">
      <c r="A808" s="88"/>
      <c r="BG808" s="89"/>
      <c r="BH808" s="89"/>
      <c r="BI808" s="89"/>
      <c r="BJ808" s="89"/>
      <c r="BK808" s="89"/>
      <c r="BL808" s="89"/>
      <c r="BM808" s="89"/>
      <c r="BN808" s="89"/>
      <c r="BO808" s="89"/>
    </row>
    <row r="809" spans="1:67" ht="15.75" customHeight="1" x14ac:dyDescent="0.3">
      <c r="A809" s="88"/>
      <c r="BG809" s="89"/>
      <c r="BH809" s="89"/>
      <c r="BI809" s="89"/>
      <c r="BJ809" s="89"/>
      <c r="BK809" s="89"/>
      <c r="BL809" s="89"/>
      <c r="BM809" s="89"/>
      <c r="BN809" s="89"/>
      <c r="BO809" s="89"/>
    </row>
    <row r="810" spans="1:67" ht="15.75" customHeight="1" x14ac:dyDescent="0.3">
      <c r="A810" s="88"/>
      <c r="BG810" s="89"/>
      <c r="BH810" s="89"/>
      <c r="BI810" s="89"/>
      <c r="BJ810" s="89"/>
      <c r="BK810" s="89"/>
      <c r="BL810" s="89"/>
      <c r="BM810" s="89"/>
      <c r="BN810" s="89"/>
      <c r="BO810" s="89"/>
    </row>
    <row r="811" spans="1:67" ht="15.75" customHeight="1" x14ac:dyDescent="0.3">
      <c r="A811" s="88"/>
      <c r="BG811" s="89"/>
      <c r="BH811" s="89"/>
      <c r="BI811" s="89"/>
      <c r="BJ811" s="89"/>
      <c r="BK811" s="89"/>
      <c r="BL811" s="89"/>
      <c r="BM811" s="89"/>
      <c r="BN811" s="89"/>
      <c r="BO811" s="89"/>
    </row>
    <row r="812" spans="1:67" ht="15.75" customHeight="1" x14ac:dyDescent="0.3">
      <c r="A812" s="88"/>
      <c r="BG812" s="89"/>
      <c r="BH812" s="89"/>
      <c r="BI812" s="89"/>
      <c r="BJ812" s="89"/>
      <c r="BK812" s="89"/>
      <c r="BL812" s="89"/>
      <c r="BM812" s="89"/>
      <c r="BN812" s="89"/>
      <c r="BO812" s="89"/>
    </row>
    <row r="813" spans="1:67" ht="15.75" customHeight="1" x14ac:dyDescent="0.3">
      <c r="A813" s="88"/>
      <c r="BG813" s="89"/>
      <c r="BH813" s="89"/>
      <c r="BI813" s="89"/>
      <c r="BJ813" s="89"/>
      <c r="BK813" s="89"/>
      <c r="BL813" s="89"/>
      <c r="BM813" s="89"/>
      <c r="BN813" s="89"/>
      <c r="BO813" s="89"/>
    </row>
    <row r="814" spans="1:67" ht="15.75" customHeight="1" x14ac:dyDescent="0.3">
      <c r="A814" s="88"/>
      <c r="BG814" s="89"/>
      <c r="BH814" s="89"/>
      <c r="BI814" s="89"/>
      <c r="BJ814" s="89"/>
      <c r="BK814" s="89"/>
      <c r="BL814" s="89"/>
      <c r="BM814" s="89"/>
      <c r="BN814" s="89"/>
      <c r="BO814" s="89"/>
    </row>
    <row r="815" spans="1:67" ht="15.75" customHeight="1" x14ac:dyDescent="0.3">
      <c r="A815" s="88"/>
      <c r="BG815" s="89"/>
      <c r="BH815" s="89"/>
      <c r="BI815" s="89"/>
      <c r="BJ815" s="89"/>
      <c r="BK815" s="89"/>
      <c r="BL815" s="89"/>
      <c r="BM815" s="89"/>
      <c r="BN815" s="89"/>
      <c r="BO815" s="89"/>
    </row>
    <row r="816" spans="1:67" ht="15.75" customHeight="1" x14ac:dyDescent="0.3">
      <c r="A816" s="88"/>
      <c r="BG816" s="89"/>
      <c r="BH816" s="89"/>
      <c r="BI816" s="89"/>
      <c r="BJ816" s="89"/>
      <c r="BK816" s="89"/>
      <c r="BL816" s="89"/>
      <c r="BM816" s="89"/>
      <c r="BN816" s="89"/>
      <c r="BO816" s="89"/>
    </row>
    <row r="817" spans="1:67" ht="15.75" customHeight="1" x14ac:dyDescent="0.3">
      <c r="A817" s="88"/>
      <c r="BG817" s="89"/>
      <c r="BH817" s="89"/>
      <c r="BI817" s="89"/>
      <c r="BJ817" s="89"/>
      <c r="BK817" s="89"/>
      <c r="BL817" s="89"/>
      <c r="BM817" s="89"/>
      <c r="BN817" s="89"/>
      <c r="BO817" s="89"/>
    </row>
    <row r="818" spans="1:67" ht="15.75" customHeight="1" x14ac:dyDescent="0.3">
      <c r="A818" s="88"/>
      <c r="BG818" s="89"/>
      <c r="BH818" s="89"/>
      <c r="BI818" s="89"/>
      <c r="BJ818" s="89"/>
      <c r="BK818" s="89"/>
      <c r="BL818" s="89"/>
      <c r="BM818" s="89"/>
      <c r="BN818" s="89"/>
      <c r="BO818" s="89"/>
    </row>
    <row r="819" spans="1:67" ht="15.75" customHeight="1" x14ac:dyDescent="0.3">
      <c r="A819" s="88"/>
      <c r="BG819" s="89"/>
      <c r="BH819" s="89"/>
      <c r="BI819" s="89"/>
      <c r="BJ819" s="89"/>
      <c r="BK819" s="89"/>
      <c r="BL819" s="89"/>
      <c r="BM819" s="89"/>
      <c r="BN819" s="89"/>
      <c r="BO819" s="89"/>
    </row>
    <row r="820" spans="1:67" ht="15.75" customHeight="1" x14ac:dyDescent="0.3">
      <c r="A820" s="88"/>
      <c r="BG820" s="89"/>
      <c r="BH820" s="89"/>
      <c r="BI820" s="89"/>
      <c r="BJ820" s="89"/>
      <c r="BK820" s="89"/>
      <c r="BL820" s="89"/>
      <c r="BM820" s="89"/>
      <c r="BN820" s="89"/>
      <c r="BO820" s="89"/>
    </row>
    <row r="821" spans="1:67" ht="15.75" customHeight="1" x14ac:dyDescent="0.3">
      <c r="A821" s="88"/>
      <c r="BG821" s="89"/>
      <c r="BH821" s="89"/>
      <c r="BI821" s="89"/>
      <c r="BJ821" s="89"/>
      <c r="BK821" s="89"/>
      <c r="BL821" s="89"/>
      <c r="BM821" s="89"/>
      <c r="BN821" s="89"/>
      <c r="BO821" s="89"/>
    </row>
    <row r="822" spans="1:67" ht="15.75" customHeight="1" x14ac:dyDescent="0.3">
      <c r="A822" s="88"/>
      <c r="BG822" s="89"/>
      <c r="BH822" s="89"/>
      <c r="BI822" s="89"/>
      <c r="BJ822" s="89"/>
      <c r="BK822" s="89"/>
      <c r="BL822" s="89"/>
      <c r="BM822" s="89"/>
      <c r="BN822" s="89"/>
      <c r="BO822" s="89"/>
    </row>
    <row r="823" spans="1:67" ht="15.75" customHeight="1" x14ac:dyDescent="0.3">
      <c r="A823" s="88"/>
      <c r="BG823" s="89"/>
      <c r="BH823" s="89"/>
      <c r="BI823" s="89"/>
      <c r="BJ823" s="89"/>
      <c r="BK823" s="89"/>
      <c r="BL823" s="89"/>
      <c r="BM823" s="89"/>
      <c r="BN823" s="89"/>
      <c r="BO823" s="89"/>
    </row>
    <row r="824" spans="1:67" ht="15.75" customHeight="1" x14ac:dyDescent="0.3">
      <c r="A824" s="88"/>
      <c r="BG824" s="89"/>
      <c r="BH824" s="89"/>
      <c r="BI824" s="89"/>
      <c r="BJ824" s="89"/>
      <c r="BK824" s="89"/>
      <c r="BL824" s="89"/>
      <c r="BM824" s="89"/>
      <c r="BN824" s="89"/>
      <c r="BO824" s="89"/>
    </row>
    <row r="825" spans="1:67" ht="15.75" customHeight="1" x14ac:dyDescent="0.3">
      <c r="A825" s="88"/>
      <c r="BG825" s="89"/>
      <c r="BH825" s="89"/>
      <c r="BI825" s="89"/>
      <c r="BJ825" s="89"/>
      <c r="BK825" s="89"/>
      <c r="BL825" s="89"/>
      <c r="BM825" s="89"/>
      <c r="BN825" s="89"/>
      <c r="BO825" s="89"/>
    </row>
    <row r="826" spans="1:67" ht="15.75" customHeight="1" x14ac:dyDescent="0.3">
      <c r="A826" s="88"/>
      <c r="BG826" s="89"/>
      <c r="BH826" s="89"/>
      <c r="BI826" s="89"/>
      <c r="BJ826" s="89"/>
      <c r="BK826" s="89"/>
      <c r="BL826" s="89"/>
      <c r="BM826" s="89"/>
      <c r="BN826" s="89"/>
      <c r="BO826" s="89"/>
    </row>
    <row r="827" spans="1:67" ht="15.75" customHeight="1" x14ac:dyDescent="0.3">
      <c r="A827" s="88"/>
      <c r="BG827" s="89"/>
      <c r="BH827" s="89"/>
      <c r="BI827" s="89"/>
      <c r="BJ827" s="89"/>
      <c r="BK827" s="89"/>
      <c r="BL827" s="89"/>
      <c r="BM827" s="89"/>
      <c r="BN827" s="89"/>
      <c r="BO827" s="89"/>
    </row>
    <row r="828" spans="1:67" ht="15.75" customHeight="1" x14ac:dyDescent="0.3">
      <c r="A828" s="88"/>
      <c r="BG828" s="89"/>
      <c r="BH828" s="89"/>
      <c r="BI828" s="89"/>
      <c r="BJ828" s="89"/>
      <c r="BK828" s="89"/>
      <c r="BL828" s="89"/>
      <c r="BM828" s="89"/>
      <c r="BN828" s="89"/>
      <c r="BO828" s="89"/>
    </row>
    <row r="829" spans="1:67" ht="15.75" customHeight="1" x14ac:dyDescent="0.3">
      <c r="A829" s="88"/>
      <c r="BG829" s="89"/>
      <c r="BH829" s="89"/>
      <c r="BI829" s="89"/>
      <c r="BJ829" s="89"/>
      <c r="BK829" s="89"/>
      <c r="BL829" s="89"/>
      <c r="BM829" s="89"/>
      <c r="BN829" s="89"/>
      <c r="BO829" s="89"/>
    </row>
    <row r="830" spans="1:67" ht="15.75" customHeight="1" x14ac:dyDescent="0.3">
      <c r="A830" s="88"/>
      <c r="BG830" s="89"/>
      <c r="BH830" s="89"/>
      <c r="BI830" s="89"/>
      <c r="BJ830" s="89"/>
      <c r="BK830" s="89"/>
      <c r="BL830" s="89"/>
      <c r="BM830" s="89"/>
      <c r="BN830" s="89"/>
      <c r="BO830" s="89"/>
    </row>
    <row r="831" spans="1:67" ht="15.75" customHeight="1" x14ac:dyDescent="0.3">
      <c r="A831" s="88"/>
      <c r="BG831" s="89"/>
      <c r="BH831" s="89"/>
      <c r="BI831" s="89"/>
      <c r="BJ831" s="89"/>
      <c r="BK831" s="89"/>
      <c r="BL831" s="89"/>
      <c r="BM831" s="89"/>
      <c r="BN831" s="89"/>
      <c r="BO831" s="89"/>
    </row>
    <row r="832" spans="1:67" ht="15.75" customHeight="1" x14ac:dyDescent="0.3">
      <c r="A832" s="88"/>
      <c r="BG832" s="89"/>
      <c r="BH832" s="89"/>
      <c r="BI832" s="89"/>
      <c r="BJ832" s="89"/>
      <c r="BK832" s="89"/>
      <c r="BL832" s="89"/>
      <c r="BM832" s="89"/>
      <c r="BN832" s="89"/>
      <c r="BO832" s="89"/>
    </row>
    <row r="833" spans="1:67" ht="15.75" customHeight="1" x14ac:dyDescent="0.3">
      <c r="A833" s="88"/>
      <c r="BG833" s="89"/>
      <c r="BH833" s="89"/>
      <c r="BI833" s="89"/>
      <c r="BJ833" s="89"/>
      <c r="BK833" s="89"/>
      <c r="BL833" s="89"/>
      <c r="BM833" s="89"/>
      <c r="BN833" s="89"/>
      <c r="BO833" s="89"/>
    </row>
    <row r="834" spans="1:67" ht="15.75" customHeight="1" x14ac:dyDescent="0.3">
      <c r="A834" s="88"/>
      <c r="BG834" s="89"/>
      <c r="BH834" s="89"/>
      <c r="BI834" s="89"/>
      <c r="BJ834" s="89"/>
      <c r="BK834" s="89"/>
      <c r="BL834" s="89"/>
      <c r="BM834" s="89"/>
      <c r="BN834" s="89"/>
      <c r="BO834" s="89"/>
    </row>
    <row r="835" spans="1:67" ht="15.75" customHeight="1" x14ac:dyDescent="0.3">
      <c r="A835" s="88"/>
      <c r="BG835" s="89"/>
      <c r="BH835" s="89"/>
      <c r="BI835" s="89"/>
      <c r="BJ835" s="89"/>
      <c r="BK835" s="89"/>
      <c r="BL835" s="89"/>
      <c r="BM835" s="89"/>
      <c r="BN835" s="89"/>
      <c r="BO835" s="89"/>
    </row>
    <row r="836" spans="1:67" ht="15.75" customHeight="1" x14ac:dyDescent="0.3">
      <c r="A836" s="88"/>
      <c r="BG836" s="89"/>
      <c r="BH836" s="89"/>
      <c r="BI836" s="89"/>
      <c r="BJ836" s="89"/>
      <c r="BK836" s="89"/>
      <c r="BL836" s="89"/>
      <c r="BM836" s="89"/>
      <c r="BN836" s="89"/>
      <c r="BO836" s="89"/>
    </row>
    <row r="837" spans="1:67" ht="15.75" customHeight="1" x14ac:dyDescent="0.3">
      <c r="A837" s="88"/>
      <c r="BG837" s="89"/>
      <c r="BH837" s="89"/>
      <c r="BI837" s="89"/>
      <c r="BJ837" s="89"/>
      <c r="BK837" s="89"/>
      <c r="BL837" s="89"/>
      <c r="BM837" s="89"/>
      <c r="BN837" s="89"/>
      <c r="BO837" s="89"/>
    </row>
    <row r="838" spans="1:67" ht="15.75" customHeight="1" x14ac:dyDescent="0.3">
      <c r="A838" s="88"/>
      <c r="BG838" s="89"/>
      <c r="BH838" s="89"/>
      <c r="BI838" s="89"/>
      <c r="BJ838" s="89"/>
      <c r="BK838" s="89"/>
      <c r="BL838" s="89"/>
      <c r="BM838" s="89"/>
      <c r="BN838" s="89"/>
      <c r="BO838" s="89"/>
    </row>
    <row r="839" spans="1:67" ht="15.75" customHeight="1" x14ac:dyDescent="0.3">
      <c r="A839" s="88"/>
      <c r="BG839" s="89"/>
      <c r="BH839" s="89"/>
      <c r="BI839" s="89"/>
      <c r="BJ839" s="89"/>
      <c r="BK839" s="89"/>
      <c r="BL839" s="89"/>
      <c r="BM839" s="89"/>
      <c r="BN839" s="89"/>
      <c r="BO839" s="89"/>
    </row>
    <row r="840" spans="1:67" ht="15.75" customHeight="1" x14ac:dyDescent="0.3">
      <c r="A840" s="88"/>
      <c r="BG840" s="89"/>
      <c r="BH840" s="89"/>
      <c r="BI840" s="89"/>
      <c r="BJ840" s="89"/>
      <c r="BK840" s="89"/>
      <c r="BL840" s="89"/>
      <c r="BM840" s="89"/>
      <c r="BN840" s="89"/>
      <c r="BO840" s="89"/>
    </row>
    <row r="841" spans="1:67" ht="15.75" customHeight="1" x14ac:dyDescent="0.3">
      <c r="A841" s="88"/>
      <c r="BG841" s="89"/>
      <c r="BH841" s="89"/>
      <c r="BI841" s="89"/>
      <c r="BJ841" s="89"/>
      <c r="BK841" s="89"/>
      <c r="BL841" s="89"/>
      <c r="BM841" s="89"/>
      <c r="BN841" s="89"/>
      <c r="BO841" s="89"/>
    </row>
    <row r="842" spans="1:67" ht="15.75" customHeight="1" x14ac:dyDescent="0.3">
      <c r="A842" s="88"/>
      <c r="BG842" s="89"/>
      <c r="BH842" s="89"/>
      <c r="BI842" s="89"/>
      <c r="BJ842" s="89"/>
      <c r="BK842" s="89"/>
      <c r="BL842" s="89"/>
      <c r="BM842" s="89"/>
      <c r="BN842" s="89"/>
      <c r="BO842" s="89"/>
    </row>
    <row r="843" spans="1:67" ht="15.75" customHeight="1" x14ac:dyDescent="0.3">
      <c r="A843" s="88"/>
      <c r="BG843" s="89"/>
      <c r="BH843" s="89"/>
      <c r="BI843" s="89"/>
      <c r="BJ843" s="89"/>
      <c r="BK843" s="89"/>
      <c r="BL843" s="89"/>
      <c r="BM843" s="89"/>
      <c r="BN843" s="89"/>
      <c r="BO843" s="89"/>
    </row>
    <row r="844" spans="1:67" ht="15.75" customHeight="1" x14ac:dyDescent="0.3">
      <c r="A844" s="88"/>
      <c r="BG844" s="89"/>
      <c r="BH844" s="89"/>
      <c r="BI844" s="89"/>
      <c r="BJ844" s="89"/>
      <c r="BK844" s="89"/>
      <c r="BL844" s="89"/>
      <c r="BM844" s="89"/>
      <c r="BN844" s="89"/>
      <c r="BO844" s="89"/>
    </row>
    <row r="845" spans="1:67" ht="15.75" customHeight="1" x14ac:dyDescent="0.3">
      <c r="A845" s="88"/>
      <c r="BG845" s="89"/>
      <c r="BH845" s="89"/>
      <c r="BI845" s="89"/>
      <c r="BJ845" s="89"/>
      <c r="BK845" s="89"/>
      <c r="BL845" s="89"/>
      <c r="BM845" s="89"/>
      <c r="BN845" s="89"/>
      <c r="BO845" s="89"/>
    </row>
    <row r="846" spans="1:67" ht="15.75" customHeight="1" x14ac:dyDescent="0.3">
      <c r="A846" s="88"/>
      <c r="BG846" s="89"/>
      <c r="BH846" s="89"/>
      <c r="BI846" s="89"/>
      <c r="BJ846" s="89"/>
      <c r="BK846" s="89"/>
      <c r="BL846" s="89"/>
      <c r="BM846" s="89"/>
      <c r="BN846" s="89"/>
      <c r="BO846" s="89"/>
    </row>
    <row r="847" spans="1:67" ht="15.75" customHeight="1" x14ac:dyDescent="0.3">
      <c r="A847" s="88"/>
      <c r="BG847" s="89"/>
      <c r="BH847" s="89"/>
      <c r="BI847" s="89"/>
      <c r="BJ847" s="89"/>
      <c r="BK847" s="89"/>
      <c r="BL847" s="89"/>
      <c r="BM847" s="89"/>
      <c r="BN847" s="89"/>
      <c r="BO847" s="89"/>
    </row>
    <row r="848" spans="1:67" ht="15.75" customHeight="1" x14ac:dyDescent="0.3">
      <c r="A848" s="88"/>
      <c r="BG848" s="89"/>
      <c r="BH848" s="89"/>
      <c r="BI848" s="89"/>
      <c r="BJ848" s="89"/>
      <c r="BK848" s="89"/>
      <c r="BL848" s="89"/>
      <c r="BM848" s="89"/>
      <c r="BN848" s="89"/>
      <c r="BO848" s="89"/>
    </row>
    <row r="849" spans="1:67" ht="15.75" customHeight="1" x14ac:dyDescent="0.3">
      <c r="A849" s="88"/>
      <c r="BG849" s="89"/>
      <c r="BH849" s="89"/>
      <c r="BI849" s="89"/>
      <c r="BJ849" s="89"/>
      <c r="BK849" s="89"/>
      <c r="BL849" s="89"/>
      <c r="BM849" s="89"/>
      <c r="BN849" s="89"/>
      <c r="BO849" s="89"/>
    </row>
    <row r="850" spans="1:67" ht="15.75" customHeight="1" x14ac:dyDescent="0.3">
      <c r="A850" s="88"/>
      <c r="BG850" s="89"/>
      <c r="BH850" s="89"/>
      <c r="BI850" s="89"/>
      <c r="BJ850" s="89"/>
      <c r="BK850" s="89"/>
      <c r="BL850" s="89"/>
      <c r="BM850" s="89"/>
      <c r="BN850" s="89"/>
      <c r="BO850" s="89"/>
    </row>
    <row r="851" spans="1:67" ht="15.75" customHeight="1" x14ac:dyDescent="0.3">
      <c r="A851" s="88"/>
      <c r="BG851" s="89"/>
      <c r="BH851" s="89"/>
      <c r="BI851" s="89"/>
      <c r="BJ851" s="89"/>
      <c r="BK851" s="89"/>
      <c r="BL851" s="89"/>
      <c r="BM851" s="89"/>
      <c r="BN851" s="89"/>
      <c r="BO851" s="89"/>
    </row>
    <row r="852" spans="1:67" ht="15.75" customHeight="1" x14ac:dyDescent="0.3">
      <c r="A852" s="88"/>
      <c r="BG852" s="89"/>
      <c r="BH852" s="89"/>
      <c r="BI852" s="89"/>
      <c r="BJ852" s="89"/>
      <c r="BK852" s="89"/>
      <c r="BL852" s="89"/>
      <c r="BM852" s="89"/>
      <c r="BN852" s="89"/>
      <c r="BO852" s="89"/>
    </row>
    <row r="853" spans="1:67" ht="15.75" customHeight="1" x14ac:dyDescent="0.3">
      <c r="A853" s="88"/>
      <c r="BG853" s="89"/>
      <c r="BH853" s="89"/>
      <c r="BI853" s="89"/>
      <c r="BJ853" s="89"/>
      <c r="BK853" s="89"/>
      <c r="BL853" s="89"/>
      <c r="BM853" s="89"/>
      <c r="BN853" s="89"/>
      <c r="BO853" s="89"/>
    </row>
  </sheetData>
  <mergeCells count="168">
    <mergeCell ref="S1:AV3"/>
    <mergeCell ref="G6:L6"/>
    <mergeCell ref="M6:R6"/>
    <mergeCell ref="S6:W6"/>
    <mergeCell ref="X6:AB6"/>
    <mergeCell ref="AC6:AG6"/>
    <mergeCell ref="AR6:AV6"/>
    <mergeCell ref="AH7:AL7"/>
    <mergeCell ref="AM7:AQ7"/>
    <mergeCell ref="AR7:AV7"/>
    <mergeCell ref="AW7:BA7"/>
    <mergeCell ref="BB7:BF7"/>
    <mergeCell ref="BG7:BK7"/>
    <mergeCell ref="C6:F6"/>
    <mergeCell ref="C7:F7"/>
    <mergeCell ref="G7:L7"/>
    <mergeCell ref="M7:R7"/>
    <mergeCell ref="S7:W7"/>
    <mergeCell ref="X7:AB7"/>
    <mergeCell ref="AC7:AG7"/>
    <mergeCell ref="AH6:AL6"/>
    <mergeCell ref="AM6:AQ6"/>
    <mergeCell ref="AW6:BA6"/>
    <mergeCell ref="BB6:BF6"/>
    <mergeCell ref="BG6:BK6"/>
    <mergeCell ref="AM8:AQ8"/>
    <mergeCell ref="AR8:AV8"/>
    <mergeCell ref="AW8:BA8"/>
    <mergeCell ref="BB8:BF8"/>
    <mergeCell ref="BG8:BK8"/>
    <mergeCell ref="BP9:BU9"/>
    <mergeCell ref="G8:L8"/>
    <mergeCell ref="M8:R8"/>
    <mergeCell ref="S8:W8"/>
    <mergeCell ref="X8:AB8"/>
    <mergeCell ref="AC8:AG8"/>
    <mergeCell ref="AH8:AL8"/>
    <mergeCell ref="O9:W9"/>
    <mergeCell ref="C8:F8"/>
    <mergeCell ref="B10:C11"/>
    <mergeCell ref="D10:H11"/>
    <mergeCell ref="I10:M11"/>
    <mergeCell ref="N10:N11"/>
    <mergeCell ref="O10:O11"/>
    <mergeCell ref="P10:W11"/>
    <mergeCell ref="AW17:AZ17"/>
    <mergeCell ref="BA17:BC17"/>
    <mergeCell ref="B15:C15"/>
    <mergeCell ref="B16:C16"/>
    <mergeCell ref="D16:H16"/>
    <mergeCell ref="I16:M16"/>
    <mergeCell ref="P16:W16"/>
    <mergeCell ref="X16:AB16"/>
    <mergeCell ref="AC16:AL16"/>
    <mergeCell ref="B13:BU13"/>
    <mergeCell ref="B14:C14"/>
    <mergeCell ref="D14:H14"/>
    <mergeCell ref="I14:M14"/>
    <mergeCell ref="P14:W14"/>
    <mergeCell ref="BG14:BO14"/>
    <mergeCell ref="X14:AB14"/>
    <mergeCell ref="AC14:AL14"/>
    <mergeCell ref="BD17:BF17"/>
    <mergeCell ref="BG17:BO17"/>
    <mergeCell ref="D17:H17"/>
    <mergeCell ref="I17:M17"/>
    <mergeCell ref="P17:W17"/>
    <mergeCell ref="X17:AB17"/>
    <mergeCell ref="AC17:AL17"/>
    <mergeCell ref="AM17:AV17"/>
    <mergeCell ref="B18:BU18"/>
    <mergeCell ref="B17:C17"/>
    <mergeCell ref="BD21:BF21"/>
    <mergeCell ref="BG21:BO21"/>
    <mergeCell ref="D21:H21"/>
    <mergeCell ref="I21:M21"/>
    <mergeCell ref="P21:W21"/>
    <mergeCell ref="X21:AB21"/>
    <mergeCell ref="AC21:AL21"/>
    <mergeCell ref="AM21:AV21"/>
    <mergeCell ref="B19:C19"/>
    <mergeCell ref="D19:H19"/>
    <mergeCell ref="I19:M19"/>
    <mergeCell ref="P19:W19"/>
    <mergeCell ref="X19:AB19"/>
    <mergeCell ref="AC19:AL19"/>
    <mergeCell ref="AW20:AZ20"/>
    <mergeCell ref="BA20:BC20"/>
    <mergeCell ref="BD20:BF20"/>
    <mergeCell ref="B20:C20"/>
    <mergeCell ref="D20:H20"/>
    <mergeCell ref="I20:M20"/>
    <mergeCell ref="P20:W20"/>
    <mergeCell ref="X20:AB20"/>
    <mergeCell ref="AC20:AL20"/>
    <mergeCell ref="AM20:AV20"/>
    <mergeCell ref="AW21:AZ21"/>
    <mergeCell ref="BA21:BC21"/>
    <mergeCell ref="AW24:AZ24"/>
    <mergeCell ref="BA24:BC24"/>
    <mergeCell ref="BD24:BF24"/>
    <mergeCell ref="BG24:BO24"/>
    <mergeCell ref="B24:C24"/>
    <mergeCell ref="D24:H24"/>
    <mergeCell ref="I24:M24"/>
    <mergeCell ref="P24:W24"/>
    <mergeCell ref="X24:AB24"/>
    <mergeCell ref="AC24:AL24"/>
    <mergeCell ref="AM24:AV24"/>
    <mergeCell ref="AW25:AZ25"/>
    <mergeCell ref="BA25:BC25"/>
    <mergeCell ref="BD25:BF25"/>
    <mergeCell ref="BG25:BO25"/>
    <mergeCell ref="B25:C25"/>
    <mergeCell ref="D25:H25"/>
    <mergeCell ref="I25:M25"/>
    <mergeCell ref="P25:W25"/>
    <mergeCell ref="X25:AB25"/>
    <mergeCell ref="AC25:AL25"/>
    <mergeCell ref="AM25:AV25"/>
    <mergeCell ref="B26:BU26"/>
    <mergeCell ref="X10:AB11"/>
    <mergeCell ref="AC10:AL11"/>
    <mergeCell ref="AW10:AZ11"/>
    <mergeCell ref="BA10:BC11"/>
    <mergeCell ref="BD10:BF11"/>
    <mergeCell ref="BG10:BO11"/>
    <mergeCell ref="BP10:BU10"/>
    <mergeCell ref="AM14:AV14"/>
    <mergeCell ref="AW14:AZ14"/>
    <mergeCell ref="AM15:AV15"/>
    <mergeCell ref="AW15:AZ15"/>
    <mergeCell ref="AM16:AV16"/>
    <mergeCell ref="AW16:AZ16"/>
    <mergeCell ref="BA16:BC16"/>
    <mergeCell ref="BD16:BF16"/>
    <mergeCell ref="BA14:BC14"/>
    <mergeCell ref="BD14:BF14"/>
    <mergeCell ref="BA15:BC15"/>
    <mergeCell ref="BD15:BF15"/>
    <mergeCell ref="BG15:BO15"/>
    <mergeCell ref="BG16:BO16"/>
    <mergeCell ref="AM10:AV11"/>
    <mergeCell ref="B12:BU12"/>
    <mergeCell ref="BG19:BO19"/>
    <mergeCell ref="AM23:AV23"/>
    <mergeCell ref="AW23:AZ23"/>
    <mergeCell ref="BA23:BC23"/>
    <mergeCell ref="BD23:BF23"/>
    <mergeCell ref="BG23:BO23"/>
    <mergeCell ref="D15:H15"/>
    <mergeCell ref="I15:M15"/>
    <mergeCell ref="P15:W15"/>
    <mergeCell ref="X15:AB15"/>
    <mergeCell ref="AC15:AL15"/>
    <mergeCell ref="AM19:AV19"/>
    <mergeCell ref="AW19:AZ19"/>
    <mergeCell ref="BA19:BC19"/>
    <mergeCell ref="BD19:BF19"/>
    <mergeCell ref="B22:BU22"/>
    <mergeCell ref="B21:C21"/>
    <mergeCell ref="B23:C23"/>
    <mergeCell ref="D23:H23"/>
    <mergeCell ref="I23:M23"/>
    <mergeCell ref="P23:W23"/>
    <mergeCell ref="X23:AB23"/>
    <mergeCell ref="AC23:AL23"/>
    <mergeCell ref="BG20:BO20"/>
  </mergeCells>
  <conditionalFormatting sqref="A6:BO8 BP6:BU11 BV6:CE12 B10:BO11 A12:A26 N14:N17 BP14:BU17 BV14:CE26 N19:N21 BP19:BU21 N23:N25 BP23:BU25 N31">
    <cfRule type="cellIs" dxfId="13" priority="1" operator="equal">
      <formula>"x"</formula>
    </cfRule>
    <cfRule type="expression" dxfId="12" priority="2">
      <formula>"Not Used"</formula>
    </cfRule>
    <cfRule type="cellIs" dxfId="11" priority="3" operator="equal">
      <formula>"Cancelled"</formula>
    </cfRule>
  </conditionalFormatting>
  <conditionalFormatting sqref="A1:CE26 N31">
    <cfRule type="cellIs" dxfId="10" priority="5" operator="equal">
      <formula>"OK"</formula>
    </cfRule>
    <cfRule type="cellIs" dxfId="9" priority="6" operator="equal">
      <formula>"NG"</formula>
    </cfRule>
    <cfRule type="cellIs" dxfId="8" priority="7" operator="equal">
      <formula>"Pending"</formula>
    </cfRule>
  </conditionalFormatting>
  <conditionalFormatting sqref="BA14:BU17 BV14:CE25 BA19:BU21 BA23:BU25 AW14:AW17 AW19:AW21 AW23:AW25">
    <cfRule type="expression" dxfId="7" priority="4" stopIfTrue="1">
      <formula>#REF!="X"</formula>
    </cfRule>
  </conditionalFormatting>
  <dataValidations count="2">
    <dataValidation type="custom" allowBlank="1" showDropDown="1" showErrorMessage="1" sqref="BA14:BA17 BA19:BA21 BA23:BA25" xr:uid="{00000000-0002-0000-7700-000002000000}">
      <formula1>OR(NOT(ISERROR(DATEVALUE(BA14))), AND(ISNUMBER(BA14), LEFT(CELL("format", BA14))="D"))</formula1>
    </dataValidation>
    <dataValidation type="list" allowBlank="1" showErrorMessage="1" sqref="AW14:AW17 AW19:AW21 AW23:AW25" xr:uid="{00000000-0002-0000-7700-000007000000}">
      <formula1>"OK,NG,N/A,Pending,Cancelled"</formula1>
    </dataValidation>
  </dataValidations>
  <pageMargins left="0.25" right="0.25" top="0.75" bottom="0.75" header="0" footer="0"/>
  <pageSetup paperSize="9" fitToHeight="0" orientation="landscape"/>
  <drawing r:id="rId1"/>
  <extLst>
    <ext xmlns:x14="http://schemas.microsoft.com/office/spreadsheetml/2009/9/main" uri="{CCE6A557-97BC-4b89-ADB6-D9C93CAAB3DF}">
      <x14:dataValidations xmlns:xm="http://schemas.microsoft.com/office/excel/2006/main" count="6">
        <x14:dataValidation type="list" allowBlank="1" showErrorMessage="1" xr:uid="{00000000-0002-0000-7700-000000000000}">
          <x14:formula1>
            <xm:f>#REF!</xm:f>
          </x14:formula1>
          <xm:sqref>N23:N25</xm:sqref>
        </x14:dataValidation>
        <x14:dataValidation type="list" allowBlank="1" showErrorMessage="1" xr:uid="{00000000-0002-0000-7700-000001000000}">
          <x14:formula1>
            <xm:f>#REF!</xm:f>
          </x14:formula1>
          <xm:sqref>N31 N19:N21</xm:sqref>
        </x14:dataValidation>
        <x14:dataValidation type="list" allowBlank="1" showErrorMessage="1" xr:uid="{00000000-0002-0000-7700-000003000000}">
          <x14:formula1>
            <xm:f>#REF!</xm:f>
          </x14:formula1>
          <xm:sqref>S6</xm:sqref>
        </x14:dataValidation>
        <x14:dataValidation type="list" allowBlank="1" showErrorMessage="1" xr:uid="{00000000-0002-0000-7700-000004000000}">
          <x14:formula1>
            <xm:f>#REF!</xm:f>
          </x14:formula1>
          <xm:sqref>S8</xm:sqref>
        </x14:dataValidation>
        <x14:dataValidation type="list" allowBlank="1" showErrorMessage="1" xr:uid="{00000000-0002-0000-7700-000005000000}">
          <x14:formula1>
            <xm:f>#REF!</xm:f>
          </x14:formula1>
          <xm:sqref>N14:N17</xm:sqref>
        </x14:dataValidation>
        <x14:dataValidation type="list" allowBlank="1" showErrorMessage="1" xr:uid="{00000000-0002-0000-7700-000006000000}">
          <x14:formula1>
            <xm:f>#REF!</xm:f>
          </x14:formula1>
          <xm:sqref>BP14:BU17 BP19:BU21 BP23:BU25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tabColor rgb="FFFF0000"/>
    <pageSetUpPr fitToPage="1"/>
  </sheetPr>
  <dimension ref="A1:CE846"/>
  <sheetViews>
    <sheetView showGridLines="0" workbookViewId="0"/>
  </sheetViews>
  <sheetFormatPr defaultColWidth="14.44140625" defaultRowHeight="15" customHeight="1" x14ac:dyDescent="0.3"/>
  <cols>
    <col min="1" max="13" width="3.44140625" customWidth="1"/>
    <col min="14" max="14" width="30.6640625" customWidth="1"/>
    <col min="15" max="15" width="26.109375" customWidth="1"/>
    <col min="16" max="23" width="3.44140625" customWidth="1"/>
    <col min="24" max="27" width="6.44140625" customWidth="1"/>
    <col min="28" max="28" width="0.44140625" customWidth="1"/>
    <col min="29" max="67" width="3.44140625" customWidth="1"/>
    <col min="68" max="73" width="10.88671875" customWidth="1"/>
    <col min="74" max="83" width="4.5546875" customWidth="1"/>
  </cols>
  <sheetData>
    <row r="1" spans="1:83" ht="14.4" x14ac:dyDescent="0.3">
      <c r="A1" s="65"/>
      <c r="B1" s="66"/>
      <c r="C1" s="66"/>
      <c r="D1" s="66"/>
      <c r="E1" s="66"/>
      <c r="F1" s="66"/>
      <c r="G1" s="66"/>
      <c r="H1" s="66"/>
      <c r="I1" s="66"/>
      <c r="J1" s="66"/>
      <c r="K1" s="66"/>
      <c r="L1" s="66"/>
      <c r="M1" s="66"/>
      <c r="N1" s="66"/>
      <c r="O1" s="66"/>
      <c r="P1" s="66"/>
      <c r="Q1" s="66"/>
      <c r="R1" s="66"/>
      <c r="S1" s="639" t="s">
        <v>13</v>
      </c>
      <c r="T1" s="601"/>
      <c r="U1" s="601"/>
      <c r="V1" s="601"/>
      <c r="W1" s="601"/>
      <c r="X1" s="601"/>
      <c r="Y1" s="601"/>
      <c r="Z1" s="601"/>
      <c r="AA1" s="601"/>
      <c r="AB1" s="601"/>
      <c r="AC1" s="601"/>
      <c r="AD1" s="601"/>
      <c r="AE1" s="601"/>
      <c r="AF1" s="601"/>
      <c r="AG1" s="601"/>
      <c r="AH1" s="601"/>
      <c r="AI1" s="601"/>
      <c r="AJ1" s="601"/>
      <c r="AK1" s="601"/>
      <c r="AL1" s="601"/>
      <c r="AM1" s="601"/>
      <c r="AN1" s="601"/>
      <c r="AO1" s="601"/>
      <c r="AP1" s="601"/>
      <c r="AQ1" s="601"/>
      <c r="AR1" s="601"/>
      <c r="AS1" s="601"/>
      <c r="AT1" s="601"/>
      <c r="AU1" s="601"/>
      <c r="AV1" s="601"/>
      <c r="AW1" s="67"/>
      <c r="AX1" s="67"/>
      <c r="AY1" s="67"/>
      <c r="AZ1" s="67"/>
      <c r="BA1" s="67"/>
      <c r="BB1" s="67"/>
      <c r="BC1" s="67"/>
      <c r="BD1" s="67"/>
      <c r="BE1" s="67"/>
      <c r="BF1" s="67"/>
      <c r="BG1" s="68"/>
      <c r="BH1" s="68"/>
      <c r="BI1" s="68"/>
      <c r="BJ1" s="68"/>
      <c r="BK1" s="68"/>
      <c r="BL1" s="68"/>
      <c r="BM1" s="68"/>
      <c r="BN1" s="68"/>
      <c r="BO1" s="68"/>
      <c r="BP1" s="67"/>
      <c r="BQ1" s="67"/>
      <c r="BR1" s="67"/>
      <c r="BS1" s="67"/>
      <c r="BT1" s="67"/>
      <c r="BU1" s="67"/>
      <c r="BV1" s="67"/>
      <c r="BW1" s="67"/>
      <c r="BX1" s="67"/>
      <c r="BY1" s="67"/>
      <c r="BZ1" s="67"/>
      <c r="CA1" s="67"/>
      <c r="CB1" s="67"/>
      <c r="CC1" s="39"/>
      <c r="CD1" s="39"/>
      <c r="CE1" s="39"/>
    </row>
    <row r="2" spans="1:83" ht="14.4" x14ac:dyDescent="0.3">
      <c r="A2" s="65"/>
      <c r="B2" s="66"/>
      <c r="C2" s="66"/>
      <c r="D2" s="66"/>
      <c r="E2" s="66"/>
      <c r="F2" s="66"/>
      <c r="G2" s="66"/>
      <c r="H2" s="66"/>
      <c r="I2" s="66"/>
      <c r="J2" s="66"/>
      <c r="K2" s="66"/>
      <c r="L2" s="66"/>
      <c r="M2" s="66"/>
      <c r="N2" s="66"/>
      <c r="O2" s="66"/>
      <c r="P2" s="66"/>
      <c r="Q2" s="66"/>
      <c r="R2" s="66"/>
      <c r="S2" s="601"/>
      <c r="T2" s="601"/>
      <c r="U2" s="601"/>
      <c r="V2" s="601"/>
      <c r="W2" s="601"/>
      <c r="X2" s="601"/>
      <c r="Y2" s="601"/>
      <c r="Z2" s="601"/>
      <c r="AA2" s="601"/>
      <c r="AB2" s="601"/>
      <c r="AC2" s="601"/>
      <c r="AD2" s="601"/>
      <c r="AE2" s="601"/>
      <c r="AF2" s="601"/>
      <c r="AG2" s="601"/>
      <c r="AH2" s="601"/>
      <c r="AI2" s="601"/>
      <c r="AJ2" s="601"/>
      <c r="AK2" s="601"/>
      <c r="AL2" s="601"/>
      <c r="AM2" s="601"/>
      <c r="AN2" s="601"/>
      <c r="AO2" s="601"/>
      <c r="AP2" s="601"/>
      <c r="AQ2" s="601"/>
      <c r="AR2" s="601"/>
      <c r="AS2" s="601"/>
      <c r="AT2" s="601"/>
      <c r="AU2" s="601"/>
      <c r="AV2" s="601"/>
      <c r="AW2" s="67"/>
      <c r="AX2" s="67"/>
      <c r="AY2" s="67"/>
      <c r="AZ2" s="67"/>
      <c r="BA2" s="67"/>
      <c r="BB2" s="67"/>
      <c r="BC2" s="67"/>
      <c r="BD2" s="67"/>
      <c r="BE2" s="67"/>
      <c r="BF2" s="67"/>
      <c r="BG2" s="68"/>
      <c r="BH2" s="68"/>
      <c r="BI2" s="68"/>
      <c r="BJ2" s="68"/>
      <c r="BK2" s="68"/>
      <c r="BL2" s="68"/>
      <c r="BM2" s="68"/>
      <c r="BN2" s="68"/>
      <c r="BO2" s="68"/>
      <c r="BP2" s="67"/>
      <c r="BQ2" s="67"/>
      <c r="BR2" s="67"/>
      <c r="BS2" s="67"/>
      <c r="BT2" s="67"/>
      <c r="BU2" s="67"/>
      <c r="BV2" s="67"/>
      <c r="BW2" s="67"/>
      <c r="BX2" s="67"/>
      <c r="BY2" s="67"/>
      <c r="BZ2" s="67"/>
      <c r="CA2" s="67"/>
      <c r="CB2" s="67"/>
      <c r="CC2" s="39"/>
      <c r="CD2" s="39"/>
      <c r="CE2" s="39"/>
    </row>
    <row r="3" spans="1:83" ht="14.4" x14ac:dyDescent="0.3">
      <c r="A3" s="65"/>
      <c r="B3" s="66"/>
      <c r="C3" s="66"/>
      <c r="D3" s="66"/>
      <c r="E3" s="66"/>
      <c r="F3" s="66"/>
      <c r="G3" s="66"/>
      <c r="H3" s="66"/>
      <c r="I3" s="66"/>
      <c r="J3" s="66"/>
      <c r="K3" s="66"/>
      <c r="L3" s="66"/>
      <c r="M3" s="66"/>
      <c r="N3" s="66"/>
      <c r="O3" s="66"/>
      <c r="P3" s="66"/>
      <c r="Q3" s="66"/>
      <c r="R3" s="66"/>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7"/>
      <c r="AX3" s="67"/>
      <c r="AY3" s="67"/>
      <c r="AZ3" s="67"/>
      <c r="BA3" s="67"/>
      <c r="BB3" s="67"/>
      <c r="BC3" s="67"/>
      <c r="BD3" s="67"/>
      <c r="BE3" s="67"/>
      <c r="BF3" s="67"/>
      <c r="BG3" s="68"/>
      <c r="BH3" s="68"/>
      <c r="BI3" s="68"/>
      <c r="BJ3" s="68"/>
      <c r="BK3" s="68"/>
      <c r="BL3" s="68"/>
      <c r="BM3" s="68"/>
      <c r="BN3" s="68"/>
      <c r="BO3" s="68"/>
      <c r="BP3" s="67"/>
      <c r="BQ3" s="67"/>
      <c r="BR3" s="67"/>
      <c r="BS3" s="67"/>
      <c r="BT3" s="67"/>
      <c r="BU3" s="67"/>
      <c r="BV3" s="67"/>
      <c r="BW3" s="67"/>
      <c r="BX3" s="67"/>
      <c r="BY3" s="67"/>
      <c r="BZ3" s="67"/>
      <c r="CA3" s="67"/>
      <c r="CB3" s="67"/>
      <c r="CC3" s="39"/>
      <c r="CD3" s="39"/>
      <c r="CE3" s="39"/>
    </row>
    <row r="4" spans="1:83" ht="12" customHeight="1" x14ac:dyDescent="0.3">
      <c r="A4" s="69"/>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39"/>
      <c r="CD4" s="39"/>
      <c r="CE4" s="39"/>
    </row>
    <row r="5" spans="1:83" ht="10.5" customHeight="1" x14ac:dyDescent="0.3">
      <c r="A5" s="72"/>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39"/>
      <c r="CD5" s="39"/>
      <c r="CE5" s="39"/>
    </row>
    <row r="6" spans="1:83" ht="27.75" customHeight="1" x14ac:dyDescent="0.3">
      <c r="A6" s="72"/>
      <c r="B6" s="595"/>
      <c r="C6" s="646" t="s">
        <v>3280</v>
      </c>
      <c r="D6" s="602"/>
      <c r="E6" s="602"/>
      <c r="F6" s="602"/>
      <c r="G6" s="637"/>
      <c r="H6" s="602"/>
      <c r="I6" s="602"/>
      <c r="J6" s="602"/>
      <c r="K6" s="602"/>
      <c r="L6" s="602"/>
      <c r="M6" s="713" t="s">
        <v>3281</v>
      </c>
      <c r="N6" s="602"/>
      <c r="O6" s="602"/>
      <c r="P6" s="602"/>
      <c r="Q6" s="602"/>
      <c r="R6" s="603"/>
      <c r="S6" s="714" t="s">
        <v>3282</v>
      </c>
      <c r="T6" s="602"/>
      <c r="U6" s="602"/>
      <c r="V6" s="602"/>
      <c r="W6" s="603"/>
      <c r="X6" s="722"/>
      <c r="Y6" s="602"/>
      <c r="Z6" s="602"/>
      <c r="AA6" s="602"/>
      <c r="AB6" s="603"/>
      <c r="AC6" s="719" t="s">
        <v>169</v>
      </c>
      <c r="AD6" s="602"/>
      <c r="AE6" s="602"/>
      <c r="AF6" s="602"/>
      <c r="AG6" s="603"/>
      <c r="AH6" s="719" t="s">
        <v>3283</v>
      </c>
      <c r="AI6" s="602"/>
      <c r="AJ6" s="602"/>
      <c r="AK6" s="602"/>
      <c r="AL6" s="602"/>
      <c r="AM6" s="720" t="s">
        <v>3284</v>
      </c>
      <c r="AN6" s="602"/>
      <c r="AO6" s="602"/>
      <c r="AP6" s="602"/>
      <c r="AQ6" s="603"/>
      <c r="AR6" s="719" t="s">
        <v>3285</v>
      </c>
      <c r="AS6" s="602"/>
      <c r="AT6" s="602"/>
      <c r="AU6" s="602"/>
      <c r="AV6" s="602"/>
      <c r="AW6" s="720" t="s">
        <v>3286</v>
      </c>
      <c r="AX6" s="602"/>
      <c r="AY6" s="602"/>
      <c r="AZ6" s="602"/>
      <c r="BA6" s="603"/>
      <c r="BB6" s="721" t="s">
        <v>3287</v>
      </c>
      <c r="BC6" s="602"/>
      <c r="BD6" s="602"/>
      <c r="BE6" s="602"/>
      <c r="BF6" s="603"/>
      <c r="BG6" s="721" t="s">
        <v>48</v>
      </c>
      <c r="BH6" s="602"/>
      <c r="BI6" s="602"/>
      <c r="BJ6" s="602"/>
      <c r="BK6" s="603"/>
      <c r="BR6" s="39"/>
      <c r="BS6" s="39"/>
      <c r="BT6" s="39"/>
      <c r="BU6" s="39"/>
      <c r="BV6" s="39"/>
      <c r="BW6" s="39"/>
      <c r="BX6" s="39"/>
      <c r="BY6" s="39"/>
      <c r="BZ6" s="39"/>
      <c r="CA6" s="39"/>
      <c r="CB6" s="39"/>
    </row>
    <row r="7" spans="1:83" ht="15.75" customHeight="1" x14ac:dyDescent="0.3">
      <c r="A7" s="72"/>
      <c r="B7" s="595"/>
      <c r="C7" s="646" t="s">
        <v>3288</v>
      </c>
      <c r="D7" s="602"/>
      <c r="E7" s="602"/>
      <c r="F7" s="602"/>
      <c r="G7" s="637"/>
      <c r="H7" s="602"/>
      <c r="I7" s="602"/>
      <c r="J7" s="602"/>
      <c r="K7" s="602"/>
      <c r="L7" s="602"/>
      <c r="M7" s="713" t="s">
        <v>3289</v>
      </c>
      <c r="N7" s="602"/>
      <c r="O7" s="602"/>
      <c r="P7" s="602"/>
      <c r="Q7" s="602"/>
      <c r="R7" s="603"/>
      <c r="S7" s="714" t="s">
        <v>3290</v>
      </c>
      <c r="T7" s="602"/>
      <c r="U7" s="602"/>
      <c r="V7" s="602"/>
      <c r="W7" s="603"/>
      <c r="X7" s="718"/>
      <c r="Y7" s="602"/>
      <c r="Z7" s="602"/>
      <c r="AA7" s="602"/>
      <c r="AB7" s="603"/>
      <c r="AC7" s="716">
        <f t="shared" ref="AC7:AC8" si="0">SUM(AH7:BB7)</f>
        <v>8</v>
      </c>
      <c r="AD7" s="609"/>
      <c r="AE7" s="609"/>
      <c r="AF7" s="609"/>
      <c r="AG7" s="610"/>
      <c r="AH7" s="716">
        <f>COUNTIF(AW13:AW99,"OK")</f>
        <v>2</v>
      </c>
      <c r="AI7" s="609"/>
      <c r="AJ7" s="609"/>
      <c r="AK7" s="609"/>
      <c r="AL7" s="609"/>
      <c r="AM7" s="717">
        <f>COUNTIF(AW13:AW99,"NG")</f>
        <v>0</v>
      </c>
      <c r="AN7" s="602"/>
      <c r="AO7" s="602"/>
      <c r="AP7" s="602"/>
      <c r="AQ7" s="603"/>
      <c r="AR7" s="716">
        <f>COUNTIF(AW13:AW99,"Cancelled")</f>
        <v>0</v>
      </c>
      <c r="AS7" s="609"/>
      <c r="AT7" s="609"/>
      <c r="AU7" s="609"/>
      <c r="AV7" s="609"/>
      <c r="AW7" s="717">
        <f>COUNTIF(AW13:AW99,"N/A")</f>
        <v>6</v>
      </c>
      <c r="AX7" s="602"/>
      <c r="AY7" s="602"/>
      <c r="AZ7" s="602"/>
      <c r="BA7" s="603"/>
      <c r="BB7" s="716">
        <f>COUNTIF(AW13:AW99,"Pending")</f>
        <v>0</v>
      </c>
      <c r="BC7" s="609"/>
      <c r="BD7" s="609"/>
      <c r="BE7" s="609"/>
      <c r="BF7" s="610"/>
      <c r="BG7" s="716">
        <f>AC7-AH7-AR7</f>
        <v>6</v>
      </c>
      <c r="BH7" s="609"/>
      <c r="BI7" s="609"/>
      <c r="BJ7" s="609"/>
      <c r="BK7" s="610"/>
      <c r="BR7" s="39"/>
      <c r="BS7" s="39"/>
      <c r="BT7" s="39"/>
      <c r="BU7" s="39"/>
      <c r="BV7" s="39"/>
      <c r="BW7" s="39"/>
      <c r="BX7" s="39"/>
      <c r="BY7" s="39"/>
      <c r="BZ7" s="39"/>
      <c r="CA7" s="39"/>
      <c r="CB7" s="39"/>
    </row>
    <row r="8" spans="1:83" ht="15.75" customHeight="1" x14ac:dyDescent="0.3">
      <c r="A8" s="72"/>
      <c r="B8" s="595"/>
      <c r="C8" s="646" t="s">
        <v>3</v>
      </c>
      <c r="D8" s="602"/>
      <c r="E8" s="602"/>
      <c r="F8" s="602"/>
      <c r="G8" s="637"/>
      <c r="H8" s="602"/>
      <c r="I8" s="602"/>
      <c r="J8" s="602"/>
      <c r="K8" s="602"/>
      <c r="L8" s="602"/>
      <c r="M8" s="713" t="s">
        <v>3291</v>
      </c>
      <c r="N8" s="602"/>
      <c r="O8" s="602"/>
      <c r="P8" s="602"/>
      <c r="Q8" s="602"/>
      <c r="R8" s="603"/>
      <c r="S8" s="714" t="s">
        <v>3292</v>
      </c>
      <c r="T8" s="602"/>
      <c r="U8" s="602"/>
      <c r="V8" s="602"/>
      <c r="W8" s="603"/>
      <c r="X8" s="715"/>
      <c r="Y8" s="602"/>
      <c r="Z8" s="602"/>
      <c r="AA8" s="602"/>
      <c r="AB8" s="603"/>
      <c r="AC8" s="712">
        <f t="shared" si="0"/>
        <v>1</v>
      </c>
      <c r="AD8" s="609"/>
      <c r="AE8" s="609"/>
      <c r="AF8" s="609"/>
      <c r="AG8" s="610"/>
      <c r="AH8" s="712">
        <f>AH7/$AC$7</f>
        <v>0.25</v>
      </c>
      <c r="AI8" s="609"/>
      <c r="AJ8" s="609"/>
      <c r="AK8" s="609"/>
      <c r="AL8" s="609"/>
      <c r="AM8" s="711">
        <f>AM7/$AC$7</f>
        <v>0</v>
      </c>
      <c r="AN8" s="602"/>
      <c r="AO8" s="602"/>
      <c r="AP8" s="602"/>
      <c r="AQ8" s="603"/>
      <c r="AR8" s="712">
        <f>AR7/$AC$7</f>
        <v>0</v>
      </c>
      <c r="AS8" s="609"/>
      <c r="AT8" s="609"/>
      <c r="AU8" s="609"/>
      <c r="AV8" s="609"/>
      <c r="AW8" s="711">
        <f>AW7/$AC$7</f>
        <v>0.75</v>
      </c>
      <c r="AX8" s="602"/>
      <c r="AY8" s="602"/>
      <c r="AZ8" s="602"/>
      <c r="BA8" s="603"/>
      <c r="BB8" s="712">
        <f>BB7/$AC$7</f>
        <v>0</v>
      </c>
      <c r="BC8" s="609"/>
      <c r="BD8" s="609"/>
      <c r="BE8" s="609"/>
      <c r="BF8" s="610"/>
      <c r="BG8" s="712">
        <f>BG7/$AC$7</f>
        <v>0.75</v>
      </c>
      <c r="BH8" s="609"/>
      <c r="BI8" s="609"/>
      <c r="BJ8" s="609"/>
      <c r="BK8" s="610"/>
      <c r="BR8" s="39"/>
      <c r="BS8" s="39"/>
      <c r="BT8" s="39"/>
      <c r="BU8" s="39"/>
      <c r="BV8" s="39"/>
      <c r="BW8" s="39"/>
      <c r="BX8" s="39"/>
      <c r="BY8" s="39"/>
      <c r="BZ8" s="39"/>
      <c r="CA8" s="39"/>
      <c r="CB8" s="39"/>
    </row>
    <row r="9" spans="1:83" ht="14.4" x14ac:dyDescent="0.3">
      <c r="A9" s="76"/>
      <c r="B9" s="77"/>
      <c r="C9" s="77"/>
      <c r="D9" s="77"/>
      <c r="E9" s="77"/>
      <c r="F9" s="596"/>
      <c r="G9" s="596"/>
      <c r="H9" s="597"/>
      <c r="I9" s="78"/>
      <c r="J9" s="78"/>
      <c r="K9" s="78"/>
      <c r="L9" s="78"/>
      <c r="M9" s="78"/>
      <c r="N9" s="78"/>
      <c r="O9" s="700" t="s">
        <v>3293</v>
      </c>
      <c r="P9" s="601"/>
      <c r="Q9" s="601"/>
      <c r="R9" s="601"/>
      <c r="S9" s="601"/>
      <c r="T9" s="601"/>
      <c r="U9" s="601"/>
      <c r="V9" s="601"/>
      <c r="W9" s="601"/>
      <c r="X9" s="78"/>
      <c r="Y9" s="78"/>
      <c r="Z9" s="78"/>
      <c r="AA9" s="78"/>
      <c r="AB9" s="596"/>
      <c r="AC9" s="78"/>
      <c r="AD9" s="78"/>
      <c r="AE9" s="78"/>
      <c r="AF9" s="78"/>
      <c r="AG9" s="78"/>
      <c r="AH9" s="78"/>
      <c r="AI9" s="78"/>
      <c r="AJ9" s="78"/>
      <c r="AK9" s="78"/>
      <c r="AL9" s="78"/>
      <c r="AM9" s="78"/>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638" t="s">
        <v>159</v>
      </c>
      <c r="BQ9" s="601"/>
      <c r="BR9" s="601"/>
      <c r="BS9" s="601"/>
      <c r="BT9" s="601"/>
      <c r="BU9" s="601"/>
      <c r="BV9" s="79"/>
      <c r="BW9" s="79"/>
      <c r="BX9" s="79"/>
      <c r="BY9" s="79"/>
      <c r="BZ9" s="79"/>
      <c r="CA9" s="79"/>
      <c r="CB9" s="79"/>
      <c r="CC9" s="79"/>
      <c r="CD9" s="79"/>
      <c r="CE9" s="79"/>
    </row>
    <row r="10" spans="1:83" ht="14.4" x14ac:dyDescent="0.3">
      <c r="A10" s="71"/>
      <c r="B10" s="644" t="s">
        <v>178</v>
      </c>
      <c r="C10" s="605"/>
      <c r="D10" s="709" t="s">
        <v>179</v>
      </c>
      <c r="E10" s="604"/>
      <c r="F10" s="604"/>
      <c r="G10" s="604"/>
      <c r="H10" s="605"/>
      <c r="I10" s="709" t="s">
        <v>180</v>
      </c>
      <c r="J10" s="604"/>
      <c r="K10" s="604"/>
      <c r="L10" s="604"/>
      <c r="M10" s="605"/>
      <c r="N10" s="644" t="s">
        <v>3314</v>
      </c>
      <c r="O10" s="710" t="s">
        <v>3315</v>
      </c>
      <c r="P10" s="675" t="s">
        <v>3316</v>
      </c>
      <c r="Q10" s="604"/>
      <c r="R10" s="604"/>
      <c r="S10" s="604"/>
      <c r="T10" s="604"/>
      <c r="U10" s="604"/>
      <c r="V10" s="604"/>
      <c r="W10" s="605"/>
      <c r="X10" s="644" t="s">
        <v>3317</v>
      </c>
      <c r="Y10" s="604"/>
      <c r="Z10" s="604"/>
      <c r="AA10" s="604"/>
      <c r="AB10" s="605"/>
      <c r="AC10" s="644" t="s">
        <v>183</v>
      </c>
      <c r="AD10" s="604"/>
      <c r="AE10" s="604"/>
      <c r="AF10" s="604"/>
      <c r="AG10" s="604"/>
      <c r="AH10" s="604"/>
      <c r="AI10" s="604"/>
      <c r="AJ10" s="604"/>
      <c r="AK10" s="604"/>
      <c r="AL10" s="604"/>
      <c r="AM10" s="644" t="s">
        <v>184</v>
      </c>
      <c r="AN10" s="604"/>
      <c r="AO10" s="604"/>
      <c r="AP10" s="604"/>
      <c r="AQ10" s="604"/>
      <c r="AR10" s="604"/>
      <c r="AS10" s="604"/>
      <c r="AT10" s="604"/>
      <c r="AU10" s="604"/>
      <c r="AV10" s="604"/>
      <c r="AW10" s="644" t="s">
        <v>3296</v>
      </c>
      <c r="AX10" s="604"/>
      <c r="AY10" s="604"/>
      <c r="AZ10" s="605"/>
      <c r="BA10" s="644" t="s">
        <v>185</v>
      </c>
      <c r="BB10" s="604"/>
      <c r="BC10" s="605"/>
      <c r="BD10" s="644" t="s">
        <v>3</v>
      </c>
      <c r="BE10" s="604"/>
      <c r="BF10" s="605"/>
      <c r="BG10" s="708" t="s">
        <v>3297</v>
      </c>
      <c r="BH10" s="604"/>
      <c r="BI10" s="604"/>
      <c r="BJ10" s="604"/>
      <c r="BK10" s="604"/>
      <c r="BL10" s="604"/>
      <c r="BM10" s="604"/>
      <c r="BN10" s="604"/>
      <c r="BO10" s="605"/>
      <c r="BP10" s="679" t="s">
        <v>3298</v>
      </c>
      <c r="BQ10" s="602"/>
      <c r="BR10" s="602"/>
      <c r="BS10" s="602"/>
      <c r="BT10" s="602"/>
      <c r="BU10" s="603"/>
      <c r="BV10" s="80"/>
      <c r="BW10" s="80"/>
      <c r="BX10" s="80"/>
      <c r="BY10" s="80"/>
      <c r="BZ10" s="80"/>
      <c r="CA10" s="80"/>
      <c r="CB10" s="80"/>
      <c r="CC10" s="80"/>
      <c r="CD10" s="80"/>
      <c r="CE10" s="80"/>
    </row>
    <row r="11" spans="1:83" ht="14.4" x14ac:dyDescent="0.3">
      <c r="A11" s="71"/>
      <c r="B11" s="608"/>
      <c r="C11" s="610"/>
      <c r="D11" s="608"/>
      <c r="E11" s="609"/>
      <c r="F11" s="609"/>
      <c r="G11" s="609"/>
      <c r="H11" s="610"/>
      <c r="I11" s="608"/>
      <c r="J11" s="609"/>
      <c r="K11" s="609"/>
      <c r="L11" s="609"/>
      <c r="M11" s="610"/>
      <c r="N11" s="608"/>
      <c r="O11" s="635"/>
      <c r="P11" s="608"/>
      <c r="Q11" s="609"/>
      <c r="R11" s="609"/>
      <c r="S11" s="609"/>
      <c r="T11" s="609"/>
      <c r="U11" s="609"/>
      <c r="V11" s="609"/>
      <c r="W11" s="610"/>
      <c r="X11" s="608"/>
      <c r="Y11" s="609"/>
      <c r="Z11" s="609"/>
      <c r="AA11" s="609"/>
      <c r="AB11" s="610"/>
      <c r="AC11" s="608"/>
      <c r="AD11" s="609"/>
      <c r="AE11" s="609"/>
      <c r="AF11" s="609"/>
      <c r="AG11" s="609"/>
      <c r="AH11" s="609"/>
      <c r="AI11" s="609"/>
      <c r="AJ11" s="609"/>
      <c r="AK11" s="609"/>
      <c r="AL11" s="609"/>
      <c r="AM11" s="608"/>
      <c r="AN11" s="609"/>
      <c r="AO11" s="609"/>
      <c r="AP11" s="609"/>
      <c r="AQ11" s="609"/>
      <c r="AR11" s="609"/>
      <c r="AS11" s="609"/>
      <c r="AT11" s="609"/>
      <c r="AU11" s="609"/>
      <c r="AV11" s="609"/>
      <c r="AW11" s="608"/>
      <c r="AX11" s="609"/>
      <c r="AY11" s="609"/>
      <c r="AZ11" s="610"/>
      <c r="BA11" s="608"/>
      <c r="BB11" s="609"/>
      <c r="BC11" s="610"/>
      <c r="BD11" s="608"/>
      <c r="BE11" s="609"/>
      <c r="BF11" s="610"/>
      <c r="BG11" s="608"/>
      <c r="BH11" s="609"/>
      <c r="BI11" s="609"/>
      <c r="BJ11" s="609"/>
      <c r="BK11" s="609"/>
      <c r="BL11" s="609"/>
      <c r="BM11" s="609"/>
      <c r="BN11" s="609"/>
      <c r="BO11" s="610"/>
      <c r="BP11" s="103" t="s">
        <v>167</v>
      </c>
      <c r="BQ11" s="103" t="s">
        <v>168</v>
      </c>
      <c r="BR11" s="103" t="s">
        <v>3299</v>
      </c>
      <c r="BS11" s="103" t="s">
        <v>3300</v>
      </c>
      <c r="BT11" s="103" t="s">
        <v>3301</v>
      </c>
      <c r="BU11" s="103" t="s">
        <v>3302</v>
      </c>
      <c r="BV11" s="80"/>
      <c r="BW11" s="80"/>
      <c r="BX11" s="80"/>
      <c r="BY11" s="80"/>
      <c r="BZ11" s="80"/>
      <c r="CA11" s="80"/>
      <c r="CB11" s="80"/>
      <c r="CC11" s="80"/>
      <c r="CD11" s="80"/>
      <c r="CE11" s="80"/>
    </row>
    <row r="12" spans="1:83" ht="15.75" customHeight="1" x14ac:dyDescent="0.3">
      <c r="A12" s="104"/>
      <c r="B12" s="640" t="s">
        <v>3318</v>
      </c>
      <c r="C12" s="602"/>
      <c r="D12" s="602"/>
      <c r="E12" s="602"/>
      <c r="F12" s="602"/>
      <c r="G12" s="602"/>
      <c r="H12" s="602"/>
      <c r="I12" s="602"/>
      <c r="J12" s="602"/>
      <c r="K12" s="602"/>
      <c r="L12" s="602"/>
      <c r="M12" s="602"/>
      <c r="N12" s="602"/>
      <c r="O12" s="602"/>
      <c r="P12" s="602"/>
      <c r="Q12" s="602"/>
      <c r="R12" s="602"/>
      <c r="S12" s="602"/>
      <c r="T12" s="602"/>
      <c r="U12" s="602"/>
      <c r="V12" s="602"/>
      <c r="W12" s="602"/>
      <c r="X12" s="602"/>
      <c r="Y12" s="602"/>
      <c r="Z12" s="602"/>
      <c r="AA12" s="602"/>
      <c r="AB12" s="602"/>
      <c r="AC12" s="602"/>
      <c r="AD12" s="602"/>
      <c r="AE12" s="602"/>
      <c r="AF12" s="602"/>
      <c r="AG12" s="602"/>
      <c r="AH12" s="602"/>
      <c r="AI12" s="602"/>
      <c r="AJ12" s="602"/>
      <c r="AK12" s="602"/>
      <c r="AL12" s="602"/>
      <c r="AM12" s="602"/>
      <c r="AN12" s="602"/>
      <c r="AO12" s="602"/>
      <c r="AP12" s="602"/>
      <c r="AQ12" s="602"/>
      <c r="AR12" s="602"/>
      <c r="AS12" s="602"/>
      <c r="AT12" s="602"/>
      <c r="AU12" s="602"/>
      <c r="AV12" s="602"/>
      <c r="AW12" s="602"/>
      <c r="AX12" s="602"/>
      <c r="AY12" s="602"/>
      <c r="AZ12" s="602"/>
      <c r="BA12" s="602"/>
      <c r="BB12" s="602"/>
      <c r="BC12" s="602"/>
      <c r="BD12" s="602"/>
      <c r="BE12" s="602"/>
      <c r="BF12" s="602"/>
      <c r="BG12" s="602"/>
      <c r="BH12" s="602"/>
      <c r="BI12" s="602"/>
      <c r="BJ12" s="602"/>
      <c r="BK12" s="602"/>
      <c r="BL12" s="602"/>
      <c r="BM12" s="602"/>
      <c r="BN12" s="602"/>
      <c r="BO12" s="602"/>
      <c r="BP12" s="560" t="b">
        <v>0</v>
      </c>
      <c r="BQ12" s="560" t="b">
        <v>1</v>
      </c>
      <c r="BR12" s="560" t="b">
        <v>1</v>
      </c>
      <c r="BS12" s="560" t="b">
        <v>1</v>
      </c>
      <c r="BT12" s="560" t="b">
        <v>0</v>
      </c>
      <c r="BU12" s="561" t="b">
        <v>0</v>
      </c>
      <c r="BV12" s="81"/>
      <c r="BW12" s="81"/>
      <c r="BX12" s="81"/>
      <c r="BY12" s="81"/>
      <c r="BZ12" s="81"/>
      <c r="CA12" s="81"/>
      <c r="CB12" s="81"/>
      <c r="CC12" s="81"/>
      <c r="CD12" s="81"/>
      <c r="CE12" s="81"/>
    </row>
    <row r="13" spans="1:83" ht="15.75" customHeight="1" x14ac:dyDescent="0.3">
      <c r="A13" s="104" t="s">
        <v>208</v>
      </c>
      <c r="B13" s="627">
        <f t="shared" ref="B13:B20" ca="1" si="1">1+COUNT(INDIRECT("A1:"&amp;(ADDRESS(ROW()-1,COLUMN()))))</f>
        <v>1</v>
      </c>
      <c r="C13" s="603"/>
      <c r="D13" s="628" t="s">
        <v>3319</v>
      </c>
      <c r="E13" s="602"/>
      <c r="F13" s="602"/>
      <c r="G13" s="602"/>
      <c r="H13" s="603"/>
      <c r="I13" s="723" t="s">
        <v>167</v>
      </c>
      <c r="J13" s="601"/>
      <c r="K13" s="601"/>
      <c r="L13" s="601"/>
      <c r="M13" s="601"/>
      <c r="N13" s="600" t="s">
        <v>3320</v>
      </c>
      <c r="O13" s="250" t="s">
        <v>3321</v>
      </c>
      <c r="P13" s="725" t="s">
        <v>3321</v>
      </c>
      <c r="Q13" s="602"/>
      <c r="R13" s="602"/>
      <c r="S13" s="602"/>
      <c r="T13" s="602"/>
      <c r="U13" s="602"/>
      <c r="V13" s="602"/>
      <c r="W13" s="603"/>
      <c r="X13" s="725" t="s">
        <v>3322</v>
      </c>
      <c r="Y13" s="602"/>
      <c r="Z13" s="602"/>
      <c r="AA13" s="602"/>
      <c r="AB13" s="603"/>
      <c r="AC13" s="703" t="s">
        <v>3323</v>
      </c>
      <c r="AD13" s="602"/>
      <c r="AE13" s="602"/>
      <c r="AF13" s="602"/>
      <c r="AG13" s="602"/>
      <c r="AH13" s="602"/>
      <c r="AI13" s="602"/>
      <c r="AJ13" s="602"/>
      <c r="AK13" s="602"/>
      <c r="AL13" s="602"/>
      <c r="AM13" s="703" t="s">
        <v>3324</v>
      </c>
      <c r="AN13" s="602"/>
      <c r="AO13" s="602"/>
      <c r="AP13" s="602"/>
      <c r="AQ13" s="602"/>
      <c r="AR13" s="602"/>
      <c r="AS13" s="602"/>
      <c r="AT13" s="602"/>
      <c r="AU13" s="602"/>
      <c r="AV13" s="602"/>
      <c r="AW13" s="704" t="s">
        <v>15</v>
      </c>
      <c r="AX13" s="602"/>
      <c r="AY13" s="602"/>
      <c r="AZ13" s="603"/>
      <c r="BA13" s="705">
        <v>45068</v>
      </c>
      <c r="BB13" s="602"/>
      <c r="BC13" s="603"/>
      <c r="BD13" s="627" t="s">
        <v>4</v>
      </c>
      <c r="BE13" s="602"/>
      <c r="BF13" s="603"/>
      <c r="BG13" s="702"/>
      <c r="BH13" s="602"/>
      <c r="BI13" s="602"/>
      <c r="BJ13" s="602"/>
      <c r="BK13" s="602"/>
      <c r="BL13" s="602"/>
      <c r="BM13" s="602"/>
      <c r="BN13" s="602"/>
      <c r="BO13" s="603"/>
      <c r="BP13" s="84"/>
      <c r="BQ13" s="84"/>
      <c r="BR13" s="84"/>
      <c r="BS13" s="84"/>
      <c r="BT13" s="84"/>
      <c r="BU13" s="84"/>
      <c r="BV13" s="81"/>
      <c r="BW13" s="81"/>
      <c r="BX13" s="81"/>
      <c r="BY13" s="81"/>
      <c r="BZ13" s="81"/>
      <c r="CA13" s="81"/>
      <c r="CB13" s="81"/>
      <c r="CC13" s="81"/>
      <c r="CD13" s="81"/>
      <c r="CE13" s="81"/>
    </row>
    <row r="14" spans="1:83" ht="15.75" customHeight="1" x14ac:dyDescent="0.3">
      <c r="A14" s="104" t="s">
        <v>208</v>
      </c>
      <c r="B14" s="627">
        <f t="shared" ca="1" si="1"/>
        <v>2</v>
      </c>
      <c r="C14" s="603"/>
      <c r="D14" s="628"/>
      <c r="E14" s="602"/>
      <c r="F14" s="602"/>
      <c r="G14" s="602"/>
      <c r="H14" s="603"/>
      <c r="I14" s="706" t="s">
        <v>168</v>
      </c>
      <c r="J14" s="604"/>
      <c r="K14" s="604"/>
      <c r="L14" s="604"/>
      <c r="M14" s="604"/>
      <c r="N14" s="600" t="s">
        <v>3325</v>
      </c>
      <c r="O14" s="250" t="s">
        <v>3321</v>
      </c>
      <c r="P14" s="725" t="s">
        <v>3321</v>
      </c>
      <c r="Q14" s="602"/>
      <c r="R14" s="602"/>
      <c r="S14" s="602"/>
      <c r="T14" s="602"/>
      <c r="U14" s="602"/>
      <c r="V14" s="602"/>
      <c r="W14" s="603"/>
      <c r="X14" s="725" t="s">
        <v>3322</v>
      </c>
      <c r="Y14" s="602"/>
      <c r="Z14" s="602"/>
      <c r="AA14" s="602"/>
      <c r="AB14" s="603"/>
      <c r="AC14" s="703"/>
      <c r="AD14" s="602"/>
      <c r="AE14" s="602"/>
      <c r="AF14" s="602"/>
      <c r="AG14" s="602"/>
      <c r="AH14" s="602"/>
      <c r="AI14" s="602"/>
      <c r="AJ14" s="602"/>
      <c r="AK14" s="602"/>
      <c r="AL14" s="602"/>
      <c r="AM14" s="703"/>
      <c r="AN14" s="602"/>
      <c r="AO14" s="602"/>
      <c r="AP14" s="602"/>
      <c r="AQ14" s="602"/>
      <c r="AR14" s="602"/>
      <c r="AS14" s="602"/>
      <c r="AT14" s="602"/>
      <c r="AU14" s="602"/>
      <c r="AV14" s="602"/>
      <c r="AW14" s="704" t="s">
        <v>47</v>
      </c>
      <c r="AX14" s="602"/>
      <c r="AY14" s="602"/>
      <c r="AZ14" s="603"/>
      <c r="BA14" s="705"/>
      <c r="BB14" s="602"/>
      <c r="BC14" s="603"/>
      <c r="BD14" s="627"/>
      <c r="BE14" s="602"/>
      <c r="BF14" s="603"/>
      <c r="BG14" s="702"/>
      <c r="BH14" s="602"/>
      <c r="BI14" s="602"/>
      <c r="BJ14" s="602"/>
      <c r="BK14" s="602"/>
      <c r="BL14" s="602"/>
      <c r="BM14" s="602"/>
      <c r="BN14" s="602"/>
      <c r="BO14" s="603"/>
      <c r="BP14" s="84"/>
      <c r="BQ14" s="84"/>
      <c r="BR14" s="84"/>
      <c r="BS14" s="84"/>
      <c r="BT14" s="84"/>
      <c r="BU14" s="84"/>
      <c r="BV14" s="81"/>
      <c r="BW14" s="81"/>
      <c r="BX14" s="81"/>
      <c r="BY14" s="81"/>
      <c r="BZ14" s="81"/>
      <c r="CA14" s="81"/>
      <c r="CB14" s="81"/>
      <c r="CC14" s="81"/>
      <c r="CD14" s="81"/>
      <c r="CE14" s="81"/>
    </row>
    <row r="15" spans="1:83" ht="15.75" customHeight="1" x14ac:dyDescent="0.3">
      <c r="A15" s="104" t="s">
        <v>208</v>
      </c>
      <c r="B15" s="627">
        <f t="shared" ca="1" si="1"/>
        <v>3</v>
      </c>
      <c r="C15" s="603"/>
      <c r="D15" s="628"/>
      <c r="E15" s="602"/>
      <c r="F15" s="602"/>
      <c r="G15" s="602"/>
      <c r="H15" s="603"/>
      <c r="I15" s="706" t="s">
        <v>3299</v>
      </c>
      <c r="J15" s="604"/>
      <c r="K15" s="604"/>
      <c r="L15" s="604"/>
      <c r="M15" s="604"/>
      <c r="N15" s="600" t="s">
        <v>3325</v>
      </c>
      <c r="O15" s="250" t="s">
        <v>3326</v>
      </c>
      <c r="P15" s="725" t="s">
        <v>3321</v>
      </c>
      <c r="Q15" s="602"/>
      <c r="R15" s="602"/>
      <c r="S15" s="602"/>
      <c r="T15" s="602"/>
      <c r="U15" s="602"/>
      <c r="V15" s="602"/>
      <c r="W15" s="603"/>
      <c r="X15" s="725" t="s">
        <v>3322</v>
      </c>
      <c r="Y15" s="602"/>
      <c r="Z15" s="602"/>
      <c r="AA15" s="602"/>
      <c r="AB15" s="603"/>
      <c r="AC15" s="703"/>
      <c r="AD15" s="602"/>
      <c r="AE15" s="602"/>
      <c r="AF15" s="602"/>
      <c r="AG15" s="602"/>
      <c r="AH15" s="602"/>
      <c r="AI15" s="602"/>
      <c r="AJ15" s="602"/>
      <c r="AK15" s="602"/>
      <c r="AL15" s="602"/>
      <c r="AM15" s="703"/>
      <c r="AN15" s="602"/>
      <c r="AO15" s="602"/>
      <c r="AP15" s="602"/>
      <c r="AQ15" s="602"/>
      <c r="AR15" s="602"/>
      <c r="AS15" s="602"/>
      <c r="AT15" s="602"/>
      <c r="AU15" s="602"/>
      <c r="AV15" s="602"/>
      <c r="AW15" s="704" t="s">
        <v>47</v>
      </c>
      <c r="AX15" s="602"/>
      <c r="AY15" s="602"/>
      <c r="AZ15" s="603"/>
      <c r="BA15" s="705"/>
      <c r="BB15" s="602"/>
      <c r="BC15" s="603"/>
      <c r="BD15" s="627"/>
      <c r="BE15" s="602"/>
      <c r="BF15" s="603"/>
      <c r="BG15" s="702"/>
      <c r="BH15" s="602"/>
      <c r="BI15" s="602"/>
      <c r="BJ15" s="602"/>
      <c r="BK15" s="602"/>
      <c r="BL15" s="602"/>
      <c r="BM15" s="602"/>
      <c r="BN15" s="602"/>
      <c r="BO15" s="603"/>
      <c r="BP15" s="84"/>
      <c r="BQ15" s="84"/>
      <c r="BR15" s="84"/>
      <c r="BS15" s="84"/>
      <c r="BT15" s="84"/>
      <c r="BU15" s="84"/>
      <c r="BV15" s="81"/>
      <c r="BW15" s="81"/>
      <c r="BX15" s="81"/>
      <c r="BY15" s="81"/>
      <c r="BZ15" s="81"/>
      <c r="CA15" s="81"/>
      <c r="CB15" s="81"/>
      <c r="CC15" s="81"/>
      <c r="CD15" s="81"/>
      <c r="CE15" s="81"/>
    </row>
    <row r="16" spans="1:83" ht="15.75" customHeight="1" x14ac:dyDescent="0.3">
      <c r="A16" s="104" t="s">
        <v>208</v>
      </c>
      <c r="B16" s="627">
        <f t="shared" ca="1" si="1"/>
        <v>4</v>
      </c>
      <c r="C16" s="603"/>
      <c r="D16" s="628"/>
      <c r="E16" s="602"/>
      <c r="F16" s="602"/>
      <c r="G16" s="602"/>
      <c r="H16" s="603"/>
      <c r="I16" s="706" t="s">
        <v>3300</v>
      </c>
      <c r="J16" s="604"/>
      <c r="K16" s="604"/>
      <c r="L16" s="604"/>
      <c r="M16" s="604"/>
      <c r="N16" s="600" t="s">
        <v>3325</v>
      </c>
      <c r="O16" s="250" t="s">
        <v>3321</v>
      </c>
      <c r="P16" s="725" t="s">
        <v>3321</v>
      </c>
      <c r="Q16" s="602"/>
      <c r="R16" s="602"/>
      <c r="S16" s="602"/>
      <c r="T16" s="602"/>
      <c r="U16" s="602"/>
      <c r="V16" s="602"/>
      <c r="W16" s="603"/>
      <c r="X16" s="725" t="s">
        <v>3322</v>
      </c>
      <c r="Y16" s="602"/>
      <c r="Z16" s="602"/>
      <c r="AA16" s="602"/>
      <c r="AB16" s="603"/>
      <c r="AC16" s="703"/>
      <c r="AD16" s="602"/>
      <c r="AE16" s="602"/>
      <c r="AF16" s="602"/>
      <c r="AG16" s="602"/>
      <c r="AH16" s="602"/>
      <c r="AI16" s="602"/>
      <c r="AJ16" s="602"/>
      <c r="AK16" s="602"/>
      <c r="AL16" s="602"/>
      <c r="AM16" s="703"/>
      <c r="AN16" s="602"/>
      <c r="AO16" s="602"/>
      <c r="AP16" s="602"/>
      <c r="AQ16" s="602"/>
      <c r="AR16" s="602"/>
      <c r="AS16" s="602"/>
      <c r="AT16" s="602"/>
      <c r="AU16" s="602"/>
      <c r="AV16" s="602"/>
      <c r="AW16" s="704" t="s">
        <v>47</v>
      </c>
      <c r="AX16" s="602"/>
      <c r="AY16" s="602"/>
      <c r="AZ16" s="603"/>
      <c r="BA16" s="705"/>
      <c r="BB16" s="602"/>
      <c r="BC16" s="603"/>
      <c r="BD16" s="627"/>
      <c r="BE16" s="602"/>
      <c r="BF16" s="603"/>
      <c r="BG16" s="702"/>
      <c r="BH16" s="602"/>
      <c r="BI16" s="602"/>
      <c r="BJ16" s="602"/>
      <c r="BK16" s="602"/>
      <c r="BL16" s="602"/>
      <c r="BM16" s="602"/>
      <c r="BN16" s="602"/>
      <c r="BO16" s="603"/>
      <c r="BP16" s="84"/>
      <c r="BQ16" s="84"/>
      <c r="BR16" s="84"/>
      <c r="BS16" s="84"/>
      <c r="BT16" s="84"/>
      <c r="BU16" s="84"/>
      <c r="BV16" s="81"/>
      <c r="BW16" s="81"/>
      <c r="BX16" s="81"/>
      <c r="BY16" s="81"/>
      <c r="BZ16" s="81"/>
      <c r="CA16" s="81"/>
      <c r="CB16" s="81"/>
      <c r="CC16" s="81"/>
      <c r="CD16" s="81"/>
      <c r="CE16" s="81"/>
    </row>
    <row r="17" spans="1:83" ht="15.75" customHeight="1" x14ac:dyDescent="0.3">
      <c r="A17" s="104" t="s">
        <v>208</v>
      </c>
      <c r="B17" s="627">
        <f t="shared" ca="1" si="1"/>
        <v>5</v>
      </c>
      <c r="C17" s="603"/>
      <c r="D17" s="628" t="s">
        <v>3327</v>
      </c>
      <c r="E17" s="602"/>
      <c r="F17" s="602"/>
      <c r="G17" s="602"/>
      <c r="H17" s="603"/>
      <c r="I17" s="724" t="s">
        <v>3328</v>
      </c>
      <c r="J17" s="602"/>
      <c r="K17" s="602"/>
      <c r="L17" s="602"/>
      <c r="M17" s="603"/>
      <c r="N17" s="600" t="s">
        <v>3329</v>
      </c>
      <c r="O17" s="250" t="s">
        <v>3326</v>
      </c>
      <c r="P17" s="725" t="s">
        <v>2</v>
      </c>
      <c r="Q17" s="602"/>
      <c r="R17" s="602"/>
      <c r="S17" s="602"/>
      <c r="T17" s="602"/>
      <c r="U17" s="602"/>
      <c r="V17" s="602"/>
      <c r="W17" s="603"/>
      <c r="X17" s="725" t="s">
        <v>166</v>
      </c>
      <c r="Y17" s="602"/>
      <c r="Z17" s="602"/>
      <c r="AA17" s="602"/>
      <c r="AB17" s="603"/>
      <c r="AC17" s="703" t="s">
        <v>3323</v>
      </c>
      <c r="AD17" s="602"/>
      <c r="AE17" s="602"/>
      <c r="AF17" s="602"/>
      <c r="AG17" s="602"/>
      <c r="AH17" s="602"/>
      <c r="AI17" s="602"/>
      <c r="AJ17" s="602"/>
      <c r="AK17" s="602"/>
      <c r="AL17" s="602"/>
      <c r="AM17" s="703" t="s">
        <v>3324</v>
      </c>
      <c r="AN17" s="602"/>
      <c r="AO17" s="602"/>
      <c r="AP17" s="602"/>
      <c r="AQ17" s="602"/>
      <c r="AR17" s="602"/>
      <c r="AS17" s="602"/>
      <c r="AT17" s="602"/>
      <c r="AU17" s="602"/>
      <c r="AV17" s="602"/>
      <c r="AW17" s="704" t="s">
        <v>15</v>
      </c>
      <c r="AX17" s="602"/>
      <c r="AY17" s="602"/>
      <c r="AZ17" s="603"/>
      <c r="BA17" s="705">
        <v>45068</v>
      </c>
      <c r="BB17" s="602"/>
      <c r="BC17" s="603"/>
      <c r="BD17" s="627" t="s">
        <v>4</v>
      </c>
      <c r="BE17" s="602"/>
      <c r="BF17" s="603"/>
      <c r="BG17" s="702"/>
      <c r="BH17" s="602"/>
      <c r="BI17" s="602"/>
      <c r="BJ17" s="602"/>
      <c r="BK17" s="602"/>
      <c r="BL17" s="602"/>
      <c r="BM17" s="602"/>
      <c r="BN17" s="602"/>
      <c r="BO17" s="603"/>
      <c r="BP17" s="84"/>
      <c r="BQ17" s="84"/>
      <c r="BR17" s="84"/>
      <c r="BS17" s="84"/>
      <c r="BT17" s="84"/>
      <c r="BU17" s="84"/>
      <c r="BV17" s="81"/>
      <c r="BW17" s="81"/>
      <c r="BX17" s="81"/>
      <c r="BY17" s="81"/>
      <c r="BZ17" s="81"/>
      <c r="CA17" s="81"/>
      <c r="CB17" s="81"/>
      <c r="CC17" s="81"/>
      <c r="CD17" s="81"/>
      <c r="CE17" s="81"/>
    </row>
    <row r="18" spans="1:83" ht="15.75" customHeight="1" x14ac:dyDescent="0.3">
      <c r="A18" s="104" t="s">
        <v>208</v>
      </c>
      <c r="B18" s="627">
        <f t="shared" ca="1" si="1"/>
        <v>6</v>
      </c>
      <c r="C18" s="603"/>
      <c r="D18" s="628"/>
      <c r="E18" s="602"/>
      <c r="F18" s="602"/>
      <c r="G18" s="602"/>
      <c r="H18" s="603"/>
      <c r="I18" s="724" t="s">
        <v>3330</v>
      </c>
      <c r="J18" s="602"/>
      <c r="K18" s="602"/>
      <c r="L18" s="602"/>
      <c r="M18" s="603"/>
      <c r="N18" s="600" t="s">
        <v>3325</v>
      </c>
      <c r="O18" s="250" t="s">
        <v>3321</v>
      </c>
      <c r="P18" s="725" t="s">
        <v>3321</v>
      </c>
      <c r="Q18" s="602"/>
      <c r="R18" s="602"/>
      <c r="S18" s="602"/>
      <c r="T18" s="602"/>
      <c r="U18" s="602"/>
      <c r="V18" s="602"/>
      <c r="W18" s="603"/>
      <c r="X18" s="725" t="s">
        <v>3322</v>
      </c>
      <c r="Y18" s="602"/>
      <c r="Z18" s="602"/>
      <c r="AA18" s="602"/>
      <c r="AB18" s="603"/>
      <c r="AC18" s="703"/>
      <c r="AD18" s="602"/>
      <c r="AE18" s="602"/>
      <c r="AF18" s="602"/>
      <c r="AG18" s="602"/>
      <c r="AH18" s="602"/>
      <c r="AI18" s="602"/>
      <c r="AJ18" s="602"/>
      <c r="AK18" s="602"/>
      <c r="AL18" s="602"/>
      <c r="AM18" s="703"/>
      <c r="AN18" s="602"/>
      <c r="AO18" s="602"/>
      <c r="AP18" s="602"/>
      <c r="AQ18" s="602"/>
      <c r="AR18" s="602"/>
      <c r="AS18" s="602"/>
      <c r="AT18" s="602"/>
      <c r="AU18" s="602"/>
      <c r="AV18" s="602"/>
      <c r="AW18" s="704" t="s">
        <v>47</v>
      </c>
      <c r="AX18" s="602"/>
      <c r="AY18" s="602"/>
      <c r="AZ18" s="603"/>
      <c r="BA18" s="705"/>
      <c r="BB18" s="602"/>
      <c r="BC18" s="603"/>
      <c r="BD18" s="627"/>
      <c r="BE18" s="602"/>
      <c r="BF18" s="603"/>
      <c r="BG18" s="702"/>
      <c r="BH18" s="602"/>
      <c r="BI18" s="602"/>
      <c r="BJ18" s="602"/>
      <c r="BK18" s="602"/>
      <c r="BL18" s="602"/>
      <c r="BM18" s="602"/>
      <c r="BN18" s="602"/>
      <c r="BO18" s="603"/>
      <c r="BP18" s="84"/>
      <c r="BQ18" s="84"/>
      <c r="BR18" s="84"/>
      <c r="BS18" s="84"/>
      <c r="BT18" s="84"/>
      <c r="BU18" s="84"/>
      <c r="BV18" s="81"/>
      <c r="BW18" s="81"/>
      <c r="BX18" s="81"/>
      <c r="BY18" s="81"/>
      <c r="BZ18" s="81"/>
      <c r="CA18" s="81"/>
      <c r="CB18" s="81"/>
      <c r="CC18" s="81"/>
      <c r="CD18" s="81"/>
      <c r="CE18" s="81"/>
    </row>
    <row r="19" spans="1:83" ht="15.75" customHeight="1" x14ac:dyDescent="0.3">
      <c r="A19" s="104" t="s">
        <v>208</v>
      </c>
      <c r="B19" s="627">
        <f t="shared" ca="1" si="1"/>
        <v>7</v>
      </c>
      <c r="C19" s="603"/>
      <c r="D19" s="628"/>
      <c r="E19" s="602"/>
      <c r="F19" s="602"/>
      <c r="G19" s="602"/>
      <c r="H19" s="603"/>
      <c r="I19" s="724" t="s">
        <v>3331</v>
      </c>
      <c r="J19" s="602"/>
      <c r="K19" s="602"/>
      <c r="L19" s="602"/>
      <c r="M19" s="603"/>
      <c r="N19" s="600" t="s">
        <v>3320</v>
      </c>
      <c r="O19" s="250" t="s">
        <v>3321</v>
      </c>
      <c r="P19" s="725" t="s">
        <v>3321</v>
      </c>
      <c r="Q19" s="602"/>
      <c r="R19" s="602"/>
      <c r="S19" s="602"/>
      <c r="T19" s="602"/>
      <c r="U19" s="602"/>
      <c r="V19" s="602"/>
      <c r="W19" s="603"/>
      <c r="X19" s="725" t="s">
        <v>3322</v>
      </c>
      <c r="Y19" s="602"/>
      <c r="Z19" s="602"/>
      <c r="AA19" s="602"/>
      <c r="AB19" s="603"/>
      <c r="AC19" s="703"/>
      <c r="AD19" s="602"/>
      <c r="AE19" s="602"/>
      <c r="AF19" s="602"/>
      <c r="AG19" s="602"/>
      <c r="AH19" s="602"/>
      <c r="AI19" s="602"/>
      <c r="AJ19" s="602"/>
      <c r="AK19" s="602"/>
      <c r="AL19" s="602"/>
      <c r="AM19" s="703"/>
      <c r="AN19" s="602"/>
      <c r="AO19" s="602"/>
      <c r="AP19" s="602"/>
      <c r="AQ19" s="602"/>
      <c r="AR19" s="602"/>
      <c r="AS19" s="602"/>
      <c r="AT19" s="602"/>
      <c r="AU19" s="602"/>
      <c r="AV19" s="602"/>
      <c r="AW19" s="704" t="s">
        <v>47</v>
      </c>
      <c r="AX19" s="602"/>
      <c r="AY19" s="602"/>
      <c r="AZ19" s="603"/>
      <c r="BA19" s="705"/>
      <c r="BB19" s="602"/>
      <c r="BC19" s="603"/>
      <c r="BD19" s="627"/>
      <c r="BE19" s="602"/>
      <c r="BF19" s="603"/>
      <c r="BG19" s="702"/>
      <c r="BH19" s="602"/>
      <c r="BI19" s="602"/>
      <c r="BJ19" s="602"/>
      <c r="BK19" s="602"/>
      <c r="BL19" s="602"/>
      <c r="BM19" s="602"/>
      <c r="BN19" s="602"/>
      <c r="BO19" s="603"/>
      <c r="BP19" s="84"/>
      <c r="BQ19" s="84"/>
      <c r="BR19" s="84"/>
      <c r="BS19" s="84"/>
      <c r="BT19" s="84"/>
      <c r="BU19" s="84"/>
      <c r="BV19" s="81"/>
      <c r="BW19" s="81"/>
      <c r="BX19" s="81"/>
      <c r="BY19" s="81"/>
      <c r="BZ19" s="81"/>
      <c r="CA19" s="81"/>
      <c r="CB19" s="81"/>
      <c r="CC19" s="81"/>
      <c r="CD19" s="81"/>
      <c r="CE19" s="81"/>
    </row>
    <row r="20" spans="1:83" ht="15.75" customHeight="1" x14ac:dyDescent="0.3">
      <c r="A20" s="104" t="s">
        <v>208</v>
      </c>
      <c r="B20" s="627">
        <f t="shared" ca="1" si="1"/>
        <v>8</v>
      </c>
      <c r="C20" s="603"/>
      <c r="D20" s="628"/>
      <c r="E20" s="602"/>
      <c r="F20" s="602"/>
      <c r="G20" s="602"/>
      <c r="H20" s="603"/>
      <c r="I20" s="724" t="s">
        <v>3332</v>
      </c>
      <c r="J20" s="602"/>
      <c r="K20" s="602"/>
      <c r="L20" s="602"/>
      <c r="M20" s="603"/>
      <c r="N20" s="600" t="s">
        <v>3320</v>
      </c>
      <c r="O20" s="250" t="s">
        <v>3321</v>
      </c>
      <c r="P20" s="725" t="s">
        <v>3321</v>
      </c>
      <c r="Q20" s="602"/>
      <c r="R20" s="602"/>
      <c r="S20" s="602"/>
      <c r="T20" s="602"/>
      <c r="U20" s="602"/>
      <c r="V20" s="602"/>
      <c r="W20" s="603"/>
      <c r="X20" s="725" t="s">
        <v>3322</v>
      </c>
      <c r="Y20" s="602"/>
      <c r="Z20" s="602"/>
      <c r="AA20" s="602"/>
      <c r="AB20" s="603"/>
      <c r="AC20" s="703"/>
      <c r="AD20" s="602"/>
      <c r="AE20" s="602"/>
      <c r="AF20" s="602"/>
      <c r="AG20" s="602"/>
      <c r="AH20" s="602"/>
      <c r="AI20" s="602"/>
      <c r="AJ20" s="602"/>
      <c r="AK20" s="602"/>
      <c r="AL20" s="602"/>
      <c r="AM20" s="703"/>
      <c r="AN20" s="602"/>
      <c r="AO20" s="602"/>
      <c r="AP20" s="602"/>
      <c r="AQ20" s="602"/>
      <c r="AR20" s="602"/>
      <c r="AS20" s="602"/>
      <c r="AT20" s="602"/>
      <c r="AU20" s="602"/>
      <c r="AV20" s="602"/>
      <c r="AW20" s="704" t="s">
        <v>47</v>
      </c>
      <c r="AX20" s="602"/>
      <c r="AY20" s="602"/>
      <c r="AZ20" s="603"/>
      <c r="BA20" s="705"/>
      <c r="BB20" s="602"/>
      <c r="BC20" s="603"/>
      <c r="BD20" s="627"/>
      <c r="BE20" s="602"/>
      <c r="BF20" s="603"/>
      <c r="BG20" s="702"/>
      <c r="BH20" s="602"/>
      <c r="BI20" s="602"/>
      <c r="BJ20" s="602"/>
      <c r="BK20" s="602"/>
      <c r="BL20" s="602"/>
      <c r="BM20" s="602"/>
      <c r="BN20" s="602"/>
      <c r="BO20" s="603"/>
      <c r="BP20" s="84"/>
      <c r="BQ20" s="84"/>
      <c r="BR20" s="84"/>
      <c r="BS20" s="84"/>
      <c r="BT20" s="84"/>
      <c r="BU20" s="84"/>
      <c r="BV20" s="81"/>
      <c r="BW20" s="81"/>
      <c r="BX20" s="81"/>
      <c r="BY20" s="81"/>
      <c r="BZ20" s="81"/>
      <c r="CA20" s="81"/>
      <c r="CB20" s="81"/>
      <c r="CC20" s="81"/>
      <c r="CD20" s="81"/>
      <c r="CE20" s="81"/>
    </row>
    <row r="21" spans="1:83" ht="15.75" customHeight="1" x14ac:dyDescent="0.3">
      <c r="A21" s="88"/>
      <c r="BG21" s="89"/>
      <c r="BH21" s="89"/>
      <c r="BI21" s="89"/>
      <c r="BJ21" s="89"/>
      <c r="BK21" s="89"/>
      <c r="BL21" s="89"/>
      <c r="BM21" s="89"/>
      <c r="BN21" s="89"/>
      <c r="BO21" s="89"/>
    </row>
    <row r="22" spans="1:83" ht="15.75" customHeight="1" x14ac:dyDescent="0.3">
      <c r="A22" s="88"/>
      <c r="BG22" s="89"/>
      <c r="BH22" s="89"/>
      <c r="BI22" s="89"/>
      <c r="BJ22" s="89"/>
      <c r="BK22" s="89"/>
      <c r="BL22" s="89"/>
      <c r="BM22" s="89"/>
      <c r="BN22" s="89"/>
      <c r="BO22" s="89"/>
    </row>
    <row r="23" spans="1:83" ht="15.75" customHeight="1" x14ac:dyDescent="0.3">
      <c r="A23" s="88"/>
      <c r="BG23" s="89"/>
      <c r="BH23" s="89"/>
      <c r="BI23" s="89"/>
      <c r="BJ23" s="89"/>
      <c r="BK23" s="89"/>
      <c r="BL23" s="89"/>
      <c r="BM23" s="89"/>
      <c r="BN23" s="89"/>
      <c r="BO23" s="89"/>
    </row>
    <row r="24" spans="1:83" ht="15.75" customHeight="1" x14ac:dyDescent="0.3">
      <c r="A24" s="88"/>
      <c r="BG24" s="89"/>
      <c r="BH24" s="89"/>
      <c r="BI24" s="89"/>
      <c r="BJ24" s="89"/>
      <c r="BK24" s="89"/>
      <c r="BL24" s="89"/>
      <c r="BM24" s="89"/>
      <c r="BN24" s="89"/>
      <c r="BO24" s="89"/>
    </row>
    <row r="25" spans="1:83" ht="15.75" customHeight="1" x14ac:dyDescent="0.3">
      <c r="A25" s="88"/>
      <c r="BG25" s="89"/>
      <c r="BH25" s="89"/>
      <c r="BI25" s="89"/>
      <c r="BJ25" s="89"/>
      <c r="BK25" s="89"/>
      <c r="BL25" s="89"/>
      <c r="BM25" s="89"/>
      <c r="BN25" s="89"/>
      <c r="BO25" s="89"/>
    </row>
    <row r="26" spans="1:83" ht="15.75" customHeight="1" x14ac:dyDescent="0.3">
      <c r="A26" s="88"/>
      <c r="BG26" s="89"/>
      <c r="BH26" s="89"/>
      <c r="BI26" s="89"/>
      <c r="BJ26" s="89"/>
      <c r="BK26" s="89"/>
      <c r="BL26" s="89"/>
      <c r="BM26" s="89"/>
      <c r="BN26" s="89"/>
      <c r="BO26" s="89"/>
    </row>
    <row r="27" spans="1:83" ht="15.75" customHeight="1" x14ac:dyDescent="0.3">
      <c r="A27" s="88"/>
      <c r="BG27" s="89"/>
      <c r="BH27" s="89"/>
      <c r="BI27" s="89"/>
      <c r="BJ27" s="89"/>
      <c r="BK27" s="89"/>
      <c r="BL27" s="89"/>
      <c r="BM27" s="89"/>
      <c r="BN27" s="89"/>
      <c r="BO27" s="89"/>
    </row>
    <row r="28" spans="1:83" ht="15.75" customHeight="1" x14ac:dyDescent="0.3">
      <c r="A28" s="88"/>
      <c r="BG28" s="89"/>
      <c r="BH28" s="89"/>
      <c r="BI28" s="89"/>
      <c r="BJ28" s="89"/>
      <c r="BK28" s="89"/>
      <c r="BL28" s="89"/>
      <c r="BM28" s="89"/>
      <c r="BN28" s="89"/>
      <c r="BO28" s="89"/>
    </row>
    <row r="29" spans="1:83" ht="15.75" customHeight="1" x14ac:dyDescent="0.3">
      <c r="A29" s="88"/>
      <c r="BG29" s="89"/>
      <c r="BH29" s="89"/>
      <c r="BI29" s="89"/>
      <c r="BJ29" s="89"/>
      <c r="BK29" s="89"/>
      <c r="BL29" s="89"/>
      <c r="BM29" s="89"/>
      <c r="BN29" s="89"/>
      <c r="BO29" s="89"/>
    </row>
    <row r="30" spans="1:83" ht="15.75" customHeight="1" x14ac:dyDescent="0.3">
      <c r="A30" s="88"/>
      <c r="BG30" s="89"/>
      <c r="BH30" s="89"/>
      <c r="BI30" s="89"/>
      <c r="BJ30" s="89"/>
      <c r="BK30" s="89"/>
      <c r="BL30" s="89"/>
      <c r="BM30" s="89"/>
      <c r="BN30" s="89"/>
      <c r="BO30" s="89"/>
    </row>
    <row r="31" spans="1:83" ht="15.75" customHeight="1" x14ac:dyDescent="0.3">
      <c r="A31" s="88"/>
      <c r="BG31" s="89"/>
      <c r="BH31" s="89"/>
      <c r="BI31" s="89"/>
      <c r="BJ31" s="89"/>
      <c r="BK31" s="89"/>
      <c r="BL31" s="89"/>
      <c r="BM31" s="89"/>
      <c r="BN31" s="89"/>
      <c r="BO31" s="89"/>
    </row>
    <row r="32" spans="1:83" ht="15.75" customHeight="1" x14ac:dyDescent="0.3">
      <c r="A32" s="88"/>
      <c r="BG32" s="89"/>
      <c r="BH32" s="89"/>
      <c r="BI32" s="89"/>
      <c r="BJ32" s="89"/>
      <c r="BK32" s="89"/>
      <c r="BL32" s="89"/>
      <c r="BM32" s="89"/>
      <c r="BN32" s="89"/>
      <c r="BO32" s="89"/>
    </row>
    <row r="33" spans="1:67" ht="15.75" customHeight="1" x14ac:dyDescent="0.3">
      <c r="A33" s="88"/>
      <c r="BG33" s="89"/>
      <c r="BH33" s="89"/>
      <c r="BI33" s="89"/>
      <c r="BJ33" s="89"/>
      <c r="BK33" s="89"/>
      <c r="BL33" s="89"/>
      <c r="BM33" s="89"/>
      <c r="BN33" s="89"/>
      <c r="BO33" s="89"/>
    </row>
    <row r="34" spans="1:67" ht="15.75" customHeight="1" x14ac:dyDescent="0.3">
      <c r="A34" s="88"/>
      <c r="BG34" s="89"/>
      <c r="BH34" s="89"/>
      <c r="BI34" s="89"/>
      <c r="BJ34" s="89"/>
      <c r="BK34" s="89"/>
      <c r="BL34" s="89"/>
      <c r="BM34" s="89"/>
      <c r="BN34" s="89"/>
      <c r="BO34" s="89"/>
    </row>
    <row r="35" spans="1:67" ht="15.75" customHeight="1" x14ac:dyDescent="0.3">
      <c r="A35" s="88"/>
      <c r="BG35" s="89"/>
      <c r="BH35" s="89"/>
      <c r="BI35" s="89"/>
      <c r="BJ35" s="89"/>
      <c r="BK35" s="89"/>
      <c r="BL35" s="89"/>
      <c r="BM35" s="89"/>
      <c r="BN35" s="89"/>
      <c r="BO35" s="89"/>
    </row>
    <row r="36" spans="1:67" ht="15.75" customHeight="1" x14ac:dyDescent="0.3">
      <c r="A36" s="88"/>
      <c r="BG36" s="89"/>
      <c r="BH36" s="89"/>
      <c r="BI36" s="89"/>
      <c r="BJ36" s="89"/>
      <c r="BK36" s="89"/>
      <c r="BL36" s="89"/>
      <c r="BM36" s="89"/>
      <c r="BN36" s="89"/>
      <c r="BO36" s="89"/>
    </row>
    <row r="37" spans="1:67" ht="15.75" customHeight="1" x14ac:dyDescent="0.3">
      <c r="A37" s="88"/>
      <c r="BG37" s="89"/>
      <c r="BH37" s="89"/>
      <c r="BI37" s="89"/>
      <c r="BJ37" s="89"/>
      <c r="BK37" s="89"/>
      <c r="BL37" s="89"/>
      <c r="BM37" s="89"/>
      <c r="BN37" s="89"/>
      <c r="BO37" s="89"/>
    </row>
    <row r="38" spans="1:67" ht="15.75" customHeight="1" x14ac:dyDescent="0.3">
      <c r="A38" s="88"/>
      <c r="BG38" s="89"/>
      <c r="BH38" s="89"/>
      <c r="BI38" s="89"/>
      <c r="BJ38" s="89"/>
      <c r="BK38" s="89"/>
      <c r="BL38" s="89"/>
      <c r="BM38" s="89"/>
      <c r="BN38" s="89"/>
      <c r="BO38" s="89"/>
    </row>
    <row r="39" spans="1:67" ht="15.75" customHeight="1" x14ac:dyDescent="0.3">
      <c r="A39" s="88"/>
      <c r="BG39" s="89"/>
      <c r="BH39" s="89"/>
      <c r="BI39" s="89"/>
      <c r="BJ39" s="89"/>
      <c r="BK39" s="89"/>
      <c r="BL39" s="89"/>
      <c r="BM39" s="89"/>
      <c r="BN39" s="89"/>
      <c r="BO39" s="89"/>
    </row>
    <row r="40" spans="1:67" ht="15.75" customHeight="1" x14ac:dyDescent="0.3">
      <c r="A40" s="88"/>
      <c r="BG40" s="89"/>
      <c r="BH40" s="89"/>
      <c r="BI40" s="89"/>
      <c r="BJ40" s="89"/>
      <c r="BK40" s="89"/>
      <c r="BL40" s="89"/>
      <c r="BM40" s="89"/>
      <c r="BN40" s="89"/>
      <c r="BO40" s="89"/>
    </row>
    <row r="41" spans="1:67" ht="15.75" customHeight="1" x14ac:dyDescent="0.3">
      <c r="A41" s="88"/>
      <c r="BG41" s="89"/>
      <c r="BH41" s="89"/>
      <c r="BI41" s="89"/>
      <c r="BJ41" s="89"/>
      <c r="BK41" s="89"/>
      <c r="BL41" s="89"/>
      <c r="BM41" s="89"/>
      <c r="BN41" s="89"/>
      <c r="BO41" s="89"/>
    </row>
    <row r="42" spans="1:67" ht="15.75" customHeight="1" x14ac:dyDescent="0.3">
      <c r="A42" s="88"/>
      <c r="BG42" s="89"/>
      <c r="BH42" s="89"/>
      <c r="BI42" s="89"/>
      <c r="BJ42" s="89"/>
      <c r="BK42" s="89"/>
      <c r="BL42" s="89"/>
      <c r="BM42" s="89"/>
      <c r="BN42" s="89"/>
      <c r="BO42" s="89"/>
    </row>
    <row r="43" spans="1:67" ht="15.75" customHeight="1" x14ac:dyDescent="0.3">
      <c r="A43" s="88"/>
      <c r="BG43" s="89"/>
      <c r="BH43" s="89"/>
      <c r="BI43" s="89"/>
      <c r="BJ43" s="89"/>
      <c r="BK43" s="89"/>
      <c r="BL43" s="89"/>
      <c r="BM43" s="89"/>
      <c r="BN43" s="89"/>
      <c r="BO43" s="89"/>
    </row>
    <row r="44" spans="1:67" ht="15.75" customHeight="1" x14ac:dyDescent="0.3">
      <c r="A44" s="88"/>
      <c r="BG44" s="89"/>
      <c r="BH44" s="89"/>
      <c r="BI44" s="89"/>
      <c r="BJ44" s="89"/>
      <c r="BK44" s="89"/>
      <c r="BL44" s="89"/>
      <c r="BM44" s="89"/>
      <c r="BN44" s="89"/>
      <c r="BO44" s="89"/>
    </row>
    <row r="45" spans="1:67" ht="15.75" customHeight="1" x14ac:dyDescent="0.3">
      <c r="A45" s="88"/>
      <c r="BG45" s="89"/>
      <c r="BH45" s="89"/>
      <c r="BI45" s="89"/>
      <c r="BJ45" s="89"/>
      <c r="BK45" s="89"/>
      <c r="BL45" s="89"/>
      <c r="BM45" s="89"/>
      <c r="BN45" s="89"/>
      <c r="BO45" s="89"/>
    </row>
    <row r="46" spans="1:67" ht="15.75" customHeight="1" x14ac:dyDescent="0.3">
      <c r="A46" s="88"/>
      <c r="BG46" s="89"/>
      <c r="BH46" s="89"/>
      <c r="BI46" s="89"/>
      <c r="BJ46" s="89"/>
      <c r="BK46" s="89"/>
      <c r="BL46" s="89"/>
      <c r="BM46" s="89"/>
      <c r="BN46" s="89"/>
      <c r="BO46" s="89"/>
    </row>
    <row r="47" spans="1:67" ht="15.75" customHeight="1" x14ac:dyDescent="0.3">
      <c r="A47" s="88"/>
      <c r="BG47" s="89"/>
      <c r="BH47" s="89"/>
      <c r="BI47" s="89"/>
      <c r="BJ47" s="89"/>
      <c r="BK47" s="89"/>
      <c r="BL47" s="89"/>
      <c r="BM47" s="89"/>
      <c r="BN47" s="89"/>
      <c r="BO47" s="89"/>
    </row>
    <row r="48" spans="1:67" ht="15.75" customHeight="1" x14ac:dyDescent="0.3">
      <c r="A48" s="88"/>
      <c r="BG48" s="89"/>
      <c r="BH48" s="89"/>
      <c r="BI48" s="89"/>
      <c r="BJ48" s="89"/>
      <c r="BK48" s="89"/>
      <c r="BL48" s="89"/>
      <c r="BM48" s="89"/>
      <c r="BN48" s="89"/>
      <c r="BO48" s="89"/>
    </row>
    <row r="49" spans="1:67" ht="15.75" customHeight="1" x14ac:dyDescent="0.3">
      <c r="A49" s="88"/>
      <c r="BG49" s="89"/>
      <c r="BH49" s="89"/>
      <c r="BI49" s="89"/>
      <c r="BJ49" s="89"/>
      <c r="BK49" s="89"/>
      <c r="BL49" s="89"/>
      <c r="BM49" s="89"/>
      <c r="BN49" s="89"/>
      <c r="BO49" s="89"/>
    </row>
    <row r="50" spans="1:67" ht="15.75" customHeight="1" x14ac:dyDescent="0.3">
      <c r="A50" s="88"/>
      <c r="BG50" s="89"/>
      <c r="BH50" s="89"/>
      <c r="BI50" s="89"/>
      <c r="BJ50" s="89"/>
      <c r="BK50" s="89"/>
      <c r="BL50" s="89"/>
      <c r="BM50" s="89"/>
      <c r="BN50" s="89"/>
      <c r="BO50" s="89"/>
    </row>
    <row r="51" spans="1:67" ht="15.75" customHeight="1" x14ac:dyDescent="0.3">
      <c r="A51" s="88"/>
      <c r="BG51" s="89"/>
      <c r="BH51" s="89"/>
      <c r="BI51" s="89"/>
      <c r="BJ51" s="89"/>
      <c r="BK51" s="89"/>
      <c r="BL51" s="89"/>
      <c r="BM51" s="89"/>
      <c r="BN51" s="89"/>
      <c r="BO51" s="89"/>
    </row>
    <row r="52" spans="1:67" ht="15.75" customHeight="1" x14ac:dyDescent="0.3">
      <c r="A52" s="88"/>
      <c r="BG52" s="89"/>
      <c r="BH52" s="89"/>
      <c r="BI52" s="89"/>
      <c r="BJ52" s="89"/>
      <c r="BK52" s="89"/>
      <c r="BL52" s="89"/>
      <c r="BM52" s="89"/>
      <c r="BN52" s="89"/>
      <c r="BO52" s="89"/>
    </row>
    <row r="53" spans="1:67" ht="15.75" customHeight="1" x14ac:dyDescent="0.3">
      <c r="A53" s="88"/>
      <c r="BG53" s="89"/>
      <c r="BH53" s="89"/>
      <c r="BI53" s="89"/>
      <c r="BJ53" s="89"/>
      <c r="BK53" s="89"/>
      <c r="BL53" s="89"/>
      <c r="BM53" s="89"/>
      <c r="BN53" s="89"/>
      <c r="BO53" s="89"/>
    </row>
    <row r="54" spans="1:67" ht="15.75" customHeight="1" x14ac:dyDescent="0.3">
      <c r="A54" s="88"/>
      <c r="BG54" s="89"/>
      <c r="BH54" s="89"/>
      <c r="BI54" s="89"/>
      <c r="BJ54" s="89"/>
      <c r="BK54" s="89"/>
      <c r="BL54" s="89"/>
      <c r="BM54" s="89"/>
      <c r="BN54" s="89"/>
      <c r="BO54" s="89"/>
    </row>
    <row r="55" spans="1:67" ht="15.75" customHeight="1" x14ac:dyDescent="0.3">
      <c r="A55" s="88"/>
      <c r="BG55" s="89"/>
      <c r="BH55" s="89"/>
      <c r="BI55" s="89"/>
      <c r="BJ55" s="89"/>
      <c r="BK55" s="89"/>
      <c r="BL55" s="89"/>
      <c r="BM55" s="89"/>
      <c r="BN55" s="89"/>
      <c r="BO55" s="89"/>
    </row>
    <row r="56" spans="1:67" ht="15.75" customHeight="1" x14ac:dyDescent="0.3">
      <c r="A56" s="88"/>
      <c r="BG56" s="89"/>
      <c r="BH56" s="89"/>
      <c r="BI56" s="89"/>
      <c r="BJ56" s="89"/>
      <c r="BK56" s="89"/>
      <c r="BL56" s="89"/>
      <c r="BM56" s="89"/>
      <c r="BN56" s="89"/>
      <c r="BO56" s="89"/>
    </row>
    <row r="57" spans="1:67" ht="15.75" customHeight="1" x14ac:dyDescent="0.3">
      <c r="A57" s="88"/>
      <c r="BG57" s="89"/>
      <c r="BH57" s="89"/>
      <c r="BI57" s="89"/>
      <c r="BJ57" s="89"/>
      <c r="BK57" s="89"/>
      <c r="BL57" s="89"/>
      <c r="BM57" s="89"/>
      <c r="BN57" s="89"/>
      <c r="BO57" s="89"/>
    </row>
    <row r="58" spans="1:67" ht="15.75" customHeight="1" x14ac:dyDescent="0.3">
      <c r="A58" s="88"/>
      <c r="BG58" s="89"/>
      <c r="BH58" s="89"/>
      <c r="BI58" s="89"/>
      <c r="BJ58" s="89"/>
      <c r="BK58" s="89"/>
      <c r="BL58" s="89"/>
      <c r="BM58" s="89"/>
      <c r="BN58" s="89"/>
      <c r="BO58" s="89"/>
    </row>
    <row r="59" spans="1:67" ht="15.75" customHeight="1" x14ac:dyDescent="0.3">
      <c r="A59" s="88"/>
      <c r="BG59" s="89"/>
      <c r="BH59" s="89"/>
      <c r="BI59" s="89"/>
      <c r="BJ59" s="89"/>
      <c r="BK59" s="89"/>
      <c r="BL59" s="89"/>
      <c r="BM59" s="89"/>
      <c r="BN59" s="89"/>
      <c r="BO59" s="89"/>
    </row>
    <row r="60" spans="1:67" ht="15.75" customHeight="1" x14ac:dyDescent="0.3">
      <c r="A60" s="88"/>
      <c r="BG60" s="89"/>
      <c r="BH60" s="89"/>
      <c r="BI60" s="89"/>
      <c r="BJ60" s="89"/>
      <c r="BK60" s="89"/>
      <c r="BL60" s="89"/>
      <c r="BM60" s="89"/>
      <c r="BN60" s="89"/>
      <c r="BO60" s="89"/>
    </row>
    <row r="61" spans="1:67" ht="15.75" customHeight="1" x14ac:dyDescent="0.3">
      <c r="A61" s="88"/>
      <c r="BG61" s="89"/>
      <c r="BH61" s="89"/>
      <c r="BI61" s="89"/>
      <c r="BJ61" s="89"/>
      <c r="BK61" s="89"/>
      <c r="BL61" s="89"/>
      <c r="BM61" s="89"/>
      <c r="BN61" s="89"/>
      <c r="BO61" s="89"/>
    </row>
    <row r="62" spans="1:67" ht="15.75" customHeight="1" x14ac:dyDescent="0.3">
      <c r="A62" s="88"/>
      <c r="BG62" s="89"/>
      <c r="BH62" s="89"/>
      <c r="BI62" s="89"/>
      <c r="BJ62" s="89"/>
      <c r="BK62" s="89"/>
      <c r="BL62" s="89"/>
      <c r="BM62" s="89"/>
      <c r="BN62" s="89"/>
      <c r="BO62" s="89"/>
    </row>
    <row r="63" spans="1:67" ht="15.75" customHeight="1" x14ac:dyDescent="0.3">
      <c r="A63" s="88"/>
      <c r="BG63" s="89"/>
      <c r="BH63" s="89"/>
      <c r="BI63" s="89"/>
      <c r="BJ63" s="89"/>
      <c r="BK63" s="89"/>
      <c r="BL63" s="89"/>
      <c r="BM63" s="89"/>
      <c r="BN63" s="89"/>
      <c r="BO63" s="89"/>
    </row>
    <row r="64" spans="1:67" ht="15.75" customHeight="1" x14ac:dyDescent="0.3">
      <c r="A64" s="88"/>
      <c r="BG64" s="89"/>
      <c r="BH64" s="89"/>
      <c r="BI64" s="89"/>
      <c r="BJ64" s="89"/>
      <c r="BK64" s="89"/>
      <c r="BL64" s="89"/>
      <c r="BM64" s="89"/>
      <c r="BN64" s="89"/>
      <c r="BO64" s="89"/>
    </row>
    <row r="65" spans="1:67" ht="15.75" customHeight="1" x14ac:dyDescent="0.3">
      <c r="A65" s="88"/>
      <c r="BG65" s="89"/>
      <c r="BH65" s="89"/>
      <c r="BI65" s="89"/>
      <c r="BJ65" s="89"/>
      <c r="BK65" s="89"/>
      <c r="BL65" s="89"/>
      <c r="BM65" s="89"/>
      <c r="BN65" s="89"/>
      <c r="BO65" s="89"/>
    </row>
    <row r="66" spans="1:67" ht="15.75" customHeight="1" x14ac:dyDescent="0.3">
      <c r="A66" s="88"/>
      <c r="BG66" s="89"/>
      <c r="BH66" s="89"/>
      <c r="BI66" s="89"/>
      <c r="BJ66" s="89"/>
      <c r="BK66" s="89"/>
      <c r="BL66" s="89"/>
      <c r="BM66" s="89"/>
      <c r="BN66" s="89"/>
      <c r="BO66" s="89"/>
    </row>
    <row r="67" spans="1:67" ht="15.75" customHeight="1" x14ac:dyDescent="0.3">
      <c r="A67" s="88"/>
      <c r="BG67" s="89"/>
      <c r="BH67" s="89"/>
      <c r="BI67" s="89"/>
      <c r="BJ67" s="89"/>
      <c r="BK67" s="89"/>
      <c r="BL67" s="89"/>
      <c r="BM67" s="89"/>
      <c r="BN67" s="89"/>
      <c r="BO67" s="89"/>
    </row>
    <row r="68" spans="1:67" ht="15.75" customHeight="1" x14ac:dyDescent="0.3">
      <c r="A68" s="88"/>
      <c r="BG68" s="89"/>
      <c r="BH68" s="89"/>
      <c r="BI68" s="89"/>
      <c r="BJ68" s="89"/>
      <c r="BK68" s="89"/>
      <c r="BL68" s="89"/>
      <c r="BM68" s="89"/>
      <c r="BN68" s="89"/>
      <c r="BO68" s="89"/>
    </row>
    <row r="69" spans="1:67" ht="15.75" customHeight="1" x14ac:dyDescent="0.3">
      <c r="A69" s="88"/>
      <c r="BG69" s="89"/>
      <c r="BH69" s="89"/>
      <c r="BI69" s="89"/>
      <c r="BJ69" s="89"/>
      <c r="BK69" s="89"/>
      <c r="BL69" s="89"/>
      <c r="BM69" s="89"/>
      <c r="BN69" s="89"/>
      <c r="BO69" s="89"/>
    </row>
    <row r="70" spans="1:67" ht="15.75" customHeight="1" x14ac:dyDescent="0.3">
      <c r="A70" s="88"/>
      <c r="BG70" s="89"/>
      <c r="BH70" s="89"/>
      <c r="BI70" s="89"/>
      <c r="BJ70" s="89"/>
      <c r="BK70" s="89"/>
      <c r="BL70" s="89"/>
      <c r="BM70" s="89"/>
      <c r="BN70" s="89"/>
      <c r="BO70" s="89"/>
    </row>
    <row r="71" spans="1:67" ht="15.75" customHeight="1" x14ac:dyDescent="0.3">
      <c r="A71" s="88"/>
      <c r="BG71" s="89"/>
      <c r="BH71" s="89"/>
      <c r="BI71" s="89"/>
      <c r="BJ71" s="89"/>
      <c r="BK71" s="89"/>
      <c r="BL71" s="89"/>
      <c r="BM71" s="89"/>
      <c r="BN71" s="89"/>
      <c r="BO71" s="89"/>
    </row>
    <row r="72" spans="1:67" ht="15.75" customHeight="1" x14ac:dyDescent="0.3">
      <c r="A72" s="88"/>
      <c r="BG72" s="89"/>
      <c r="BH72" s="89"/>
      <c r="BI72" s="89"/>
      <c r="BJ72" s="89"/>
      <c r="BK72" s="89"/>
      <c r="BL72" s="89"/>
      <c r="BM72" s="89"/>
      <c r="BN72" s="89"/>
      <c r="BO72" s="89"/>
    </row>
    <row r="73" spans="1:67" ht="15.75" customHeight="1" x14ac:dyDescent="0.3">
      <c r="A73" s="88"/>
      <c r="BG73" s="89"/>
      <c r="BH73" s="89"/>
      <c r="BI73" s="89"/>
      <c r="BJ73" s="89"/>
      <c r="BK73" s="89"/>
      <c r="BL73" s="89"/>
      <c r="BM73" s="89"/>
      <c r="BN73" s="89"/>
      <c r="BO73" s="89"/>
    </row>
    <row r="74" spans="1:67" ht="15.75" customHeight="1" x14ac:dyDescent="0.3">
      <c r="A74" s="88"/>
      <c r="BG74" s="89"/>
      <c r="BH74" s="89"/>
      <c r="BI74" s="89"/>
      <c r="BJ74" s="89"/>
      <c r="BK74" s="89"/>
      <c r="BL74" s="89"/>
      <c r="BM74" s="89"/>
      <c r="BN74" s="89"/>
      <c r="BO74" s="89"/>
    </row>
    <row r="75" spans="1:67" ht="15.75" customHeight="1" x14ac:dyDescent="0.3">
      <c r="A75" s="88"/>
      <c r="BG75" s="89"/>
      <c r="BH75" s="89"/>
      <c r="BI75" s="89"/>
      <c r="BJ75" s="89"/>
      <c r="BK75" s="89"/>
      <c r="BL75" s="89"/>
      <c r="BM75" s="89"/>
      <c r="BN75" s="89"/>
      <c r="BO75" s="89"/>
    </row>
    <row r="76" spans="1:67" ht="15.75" customHeight="1" x14ac:dyDescent="0.3">
      <c r="A76" s="88"/>
      <c r="BG76" s="89"/>
      <c r="BH76" s="89"/>
      <c r="BI76" s="89"/>
      <c r="BJ76" s="89"/>
      <c r="BK76" s="89"/>
      <c r="BL76" s="89"/>
      <c r="BM76" s="89"/>
      <c r="BN76" s="89"/>
      <c r="BO76" s="89"/>
    </row>
    <row r="77" spans="1:67" ht="15.75" customHeight="1" x14ac:dyDescent="0.3">
      <c r="A77" s="88"/>
      <c r="BG77" s="89"/>
      <c r="BH77" s="89"/>
      <c r="BI77" s="89"/>
      <c r="BJ77" s="89"/>
      <c r="BK77" s="89"/>
      <c r="BL77" s="89"/>
      <c r="BM77" s="89"/>
      <c r="BN77" s="89"/>
      <c r="BO77" s="89"/>
    </row>
    <row r="78" spans="1:67" ht="15.75" customHeight="1" x14ac:dyDescent="0.3">
      <c r="A78" s="88"/>
      <c r="BG78" s="89"/>
      <c r="BH78" s="89"/>
      <c r="BI78" s="89"/>
      <c r="BJ78" s="89"/>
      <c r="BK78" s="89"/>
      <c r="BL78" s="89"/>
      <c r="BM78" s="89"/>
      <c r="BN78" s="89"/>
      <c r="BO78" s="89"/>
    </row>
    <row r="79" spans="1:67" ht="15.75" customHeight="1" x14ac:dyDescent="0.3">
      <c r="A79" s="88"/>
      <c r="BG79" s="89"/>
      <c r="BH79" s="89"/>
      <c r="BI79" s="89"/>
      <c r="BJ79" s="89"/>
      <c r="BK79" s="89"/>
      <c r="BL79" s="89"/>
      <c r="BM79" s="89"/>
      <c r="BN79" s="89"/>
      <c r="BO79" s="89"/>
    </row>
    <row r="80" spans="1:67" ht="15.75" customHeight="1" x14ac:dyDescent="0.3">
      <c r="A80" s="88"/>
      <c r="BG80" s="89"/>
      <c r="BH80" s="89"/>
      <c r="BI80" s="89"/>
      <c r="BJ80" s="89"/>
      <c r="BK80" s="89"/>
      <c r="BL80" s="89"/>
      <c r="BM80" s="89"/>
      <c r="BN80" s="89"/>
      <c r="BO80" s="89"/>
    </row>
    <row r="81" spans="1:67" ht="15.75" customHeight="1" x14ac:dyDescent="0.3">
      <c r="A81" s="88"/>
      <c r="BG81" s="89"/>
      <c r="BH81" s="89"/>
      <c r="BI81" s="89"/>
      <c r="BJ81" s="89"/>
      <c r="BK81" s="89"/>
      <c r="BL81" s="89"/>
      <c r="BM81" s="89"/>
      <c r="BN81" s="89"/>
      <c r="BO81" s="89"/>
    </row>
    <row r="82" spans="1:67" ht="15.75" customHeight="1" x14ac:dyDescent="0.3">
      <c r="A82" s="88"/>
      <c r="BG82" s="89"/>
      <c r="BH82" s="89"/>
      <c r="BI82" s="89"/>
      <c r="BJ82" s="89"/>
      <c r="BK82" s="89"/>
      <c r="BL82" s="89"/>
      <c r="BM82" s="89"/>
      <c r="BN82" s="89"/>
      <c r="BO82" s="89"/>
    </row>
    <row r="83" spans="1:67" ht="15.75" customHeight="1" x14ac:dyDescent="0.3">
      <c r="A83" s="88"/>
      <c r="BG83" s="89"/>
      <c r="BH83" s="89"/>
      <c r="BI83" s="89"/>
      <c r="BJ83" s="89"/>
      <c r="BK83" s="89"/>
      <c r="BL83" s="89"/>
      <c r="BM83" s="89"/>
      <c r="BN83" s="89"/>
      <c r="BO83" s="89"/>
    </row>
    <row r="84" spans="1:67" ht="15.75" customHeight="1" x14ac:dyDescent="0.3">
      <c r="A84" s="88"/>
      <c r="BG84" s="89"/>
      <c r="BH84" s="89"/>
      <c r="BI84" s="89"/>
      <c r="BJ84" s="89"/>
      <c r="BK84" s="89"/>
      <c r="BL84" s="89"/>
      <c r="BM84" s="89"/>
      <c r="BN84" s="89"/>
      <c r="BO84" s="89"/>
    </row>
    <row r="85" spans="1:67" ht="15.75" customHeight="1" x14ac:dyDescent="0.3">
      <c r="A85" s="88"/>
      <c r="BG85" s="89"/>
      <c r="BH85" s="89"/>
      <c r="BI85" s="89"/>
      <c r="BJ85" s="89"/>
      <c r="BK85" s="89"/>
      <c r="BL85" s="89"/>
      <c r="BM85" s="89"/>
      <c r="BN85" s="89"/>
      <c r="BO85" s="89"/>
    </row>
    <row r="86" spans="1:67" ht="15.75" customHeight="1" x14ac:dyDescent="0.3">
      <c r="A86" s="88"/>
      <c r="BG86" s="89"/>
      <c r="BH86" s="89"/>
      <c r="BI86" s="89"/>
      <c r="BJ86" s="89"/>
      <c r="BK86" s="89"/>
      <c r="BL86" s="89"/>
      <c r="BM86" s="89"/>
      <c r="BN86" s="89"/>
      <c r="BO86" s="89"/>
    </row>
    <row r="87" spans="1:67" ht="15.75" customHeight="1" x14ac:dyDescent="0.3">
      <c r="A87" s="88"/>
      <c r="BG87" s="89"/>
      <c r="BH87" s="89"/>
      <c r="BI87" s="89"/>
      <c r="BJ87" s="89"/>
      <c r="BK87" s="89"/>
      <c r="BL87" s="89"/>
      <c r="BM87" s="89"/>
      <c r="BN87" s="89"/>
      <c r="BO87" s="89"/>
    </row>
    <row r="88" spans="1:67" ht="15.75" customHeight="1" x14ac:dyDescent="0.3">
      <c r="A88" s="88"/>
      <c r="BG88" s="89"/>
      <c r="BH88" s="89"/>
      <c r="BI88" s="89"/>
      <c r="BJ88" s="89"/>
      <c r="BK88" s="89"/>
      <c r="BL88" s="89"/>
      <c r="BM88" s="89"/>
      <c r="BN88" s="89"/>
      <c r="BO88" s="89"/>
    </row>
    <row r="89" spans="1:67" ht="15.75" customHeight="1" x14ac:dyDescent="0.3">
      <c r="A89" s="88"/>
      <c r="BG89" s="89"/>
      <c r="BH89" s="89"/>
      <c r="BI89" s="89"/>
      <c r="BJ89" s="89"/>
      <c r="BK89" s="89"/>
      <c r="BL89" s="89"/>
      <c r="BM89" s="89"/>
      <c r="BN89" s="89"/>
      <c r="BO89" s="89"/>
    </row>
    <row r="90" spans="1:67" ht="15.75" customHeight="1" x14ac:dyDescent="0.3">
      <c r="A90" s="88"/>
      <c r="BG90" s="89"/>
      <c r="BH90" s="89"/>
      <c r="BI90" s="89"/>
      <c r="BJ90" s="89"/>
      <c r="BK90" s="89"/>
      <c r="BL90" s="89"/>
      <c r="BM90" s="89"/>
      <c r="BN90" s="89"/>
      <c r="BO90" s="89"/>
    </row>
    <row r="91" spans="1:67" ht="15.75" customHeight="1" x14ac:dyDescent="0.3">
      <c r="A91" s="88"/>
      <c r="BG91" s="89"/>
      <c r="BH91" s="89"/>
      <c r="BI91" s="89"/>
      <c r="BJ91" s="89"/>
      <c r="BK91" s="89"/>
      <c r="BL91" s="89"/>
      <c r="BM91" s="89"/>
      <c r="BN91" s="89"/>
      <c r="BO91" s="89"/>
    </row>
    <row r="92" spans="1:67" ht="15.75" customHeight="1" x14ac:dyDescent="0.3">
      <c r="A92" s="88"/>
      <c r="BG92" s="89"/>
      <c r="BH92" s="89"/>
      <c r="BI92" s="89"/>
      <c r="BJ92" s="89"/>
      <c r="BK92" s="89"/>
      <c r="BL92" s="89"/>
      <c r="BM92" s="89"/>
      <c r="BN92" s="89"/>
      <c r="BO92" s="89"/>
    </row>
    <row r="93" spans="1:67" ht="15.75" customHeight="1" x14ac:dyDescent="0.3">
      <c r="A93" s="88"/>
      <c r="BG93" s="89"/>
      <c r="BH93" s="89"/>
      <c r="BI93" s="89"/>
      <c r="BJ93" s="89"/>
      <c r="BK93" s="89"/>
      <c r="BL93" s="89"/>
      <c r="BM93" s="89"/>
      <c r="BN93" s="89"/>
      <c r="BO93" s="89"/>
    </row>
    <row r="94" spans="1:67" ht="15.75" customHeight="1" x14ac:dyDescent="0.3">
      <c r="A94" s="88"/>
      <c r="BG94" s="89"/>
      <c r="BH94" s="89"/>
      <c r="BI94" s="89"/>
      <c r="BJ94" s="89"/>
      <c r="BK94" s="89"/>
      <c r="BL94" s="89"/>
      <c r="BM94" s="89"/>
      <c r="BN94" s="89"/>
      <c r="BO94" s="89"/>
    </row>
    <row r="95" spans="1:67" ht="15.75" customHeight="1" x14ac:dyDescent="0.3">
      <c r="A95" s="88"/>
      <c r="BG95" s="89"/>
      <c r="BH95" s="89"/>
      <c r="BI95" s="89"/>
      <c r="BJ95" s="89"/>
      <c r="BK95" s="89"/>
      <c r="BL95" s="89"/>
      <c r="BM95" s="89"/>
      <c r="BN95" s="89"/>
      <c r="BO95" s="89"/>
    </row>
    <row r="96" spans="1:67" ht="15.75" customHeight="1" x14ac:dyDescent="0.3">
      <c r="A96" s="88"/>
      <c r="BG96" s="89"/>
      <c r="BH96" s="89"/>
      <c r="BI96" s="89"/>
      <c r="BJ96" s="89"/>
      <c r="BK96" s="89"/>
      <c r="BL96" s="89"/>
      <c r="BM96" s="89"/>
      <c r="BN96" s="89"/>
      <c r="BO96" s="89"/>
    </row>
    <row r="97" spans="1:67" ht="15.75" customHeight="1" x14ac:dyDescent="0.3">
      <c r="A97" s="88"/>
      <c r="BG97" s="89"/>
      <c r="BH97" s="89"/>
      <c r="BI97" s="89"/>
      <c r="BJ97" s="89"/>
      <c r="BK97" s="89"/>
      <c r="BL97" s="89"/>
      <c r="BM97" s="89"/>
      <c r="BN97" s="89"/>
      <c r="BO97" s="89"/>
    </row>
    <row r="98" spans="1:67" ht="15.75" customHeight="1" x14ac:dyDescent="0.3">
      <c r="A98" s="88"/>
      <c r="BG98" s="89"/>
      <c r="BH98" s="89"/>
      <c r="BI98" s="89"/>
      <c r="BJ98" s="89"/>
      <c r="BK98" s="89"/>
      <c r="BL98" s="89"/>
      <c r="BM98" s="89"/>
      <c r="BN98" s="89"/>
      <c r="BO98" s="89"/>
    </row>
    <row r="99" spans="1:67" ht="15.75" customHeight="1" x14ac:dyDescent="0.3">
      <c r="A99" s="88"/>
      <c r="BG99" s="89"/>
      <c r="BH99" s="89"/>
      <c r="BI99" s="89"/>
      <c r="BJ99" s="89"/>
      <c r="BK99" s="89"/>
      <c r="BL99" s="89"/>
      <c r="BM99" s="89"/>
      <c r="BN99" s="89"/>
      <c r="BO99" s="89"/>
    </row>
    <row r="100" spans="1:67" ht="15.75" customHeight="1" x14ac:dyDescent="0.3">
      <c r="A100" s="88"/>
      <c r="BG100" s="89"/>
      <c r="BH100" s="89"/>
      <c r="BI100" s="89"/>
      <c r="BJ100" s="89"/>
      <c r="BK100" s="89"/>
      <c r="BL100" s="89"/>
      <c r="BM100" s="89"/>
      <c r="BN100" s="89"/>
      <c r="BO100" s="89"/>
    </row>
    <row r="101" spans="1:67" ht="15.75" customHeight="1" x14ac:dyDescent="0.3">
      <c r="A101" s="88"/>
      <c r="BG101" s="89"/>
      <c r="BH101" s="89"/>
      <c r="BI101" s="89"/>
      <c r="BJ101" s="89"/>
      <c r="BK101" s="89"/>
      <c r="BL101" s="89"/>
      <c r="BM101" s="89"/>
      <c r="BN101" s="89"/>
      <c r="BO101" s="89"/>
    </row>
    <row r="102" spans="1:67" ht="15.75" customHeight="1" x14ac:dyDescent="0.3">
      <c r="A102" s="88"/>
      <c r="BG102" s="89"/>
      <c r="BH102" s="89"/>
      <c r="BI102" s="89"/>
      <c r="BJ102" s="89"/>
      <c r="BK102" s="89"/>
      <c r="BL102" s="89"/>
      <c r="BM102" s="89"/>
      <c r="BN102" s="89"/>
      <c r="BO102" s="89"/>
    </row>
    <row r="103" spans="1:67" ht="15.75" customHeight="1" x14ac:dyDescent="0.3">
      <c r="A103" s="88"/>
      <c r="BG103" s="89"/>
      <c r="BH103" s="89"/>
      <c r="BI103" s="89"/>
      <c r="BJ103" s="89"/>
      <c r="BK103" s="89"/>
      <c r="BL103" s="89"/>
      <c r="BM103" s="89"/>
      <c r="BN103" s="89"/>
      <c r="BO103" s="89"/>
    </row>
    <row r="104" spans="1:67" ht="15.75" customHeight="1" x14ac:dyDescent="0.3">
      <c r="A104" s="88"/>
      <c r="BG104" s="89"/>
      <c r="BH104" s="89"/>
      <c r="BI104" s="89"/>
      <c r="BJ104" s="89"/>
      <c r="BK104" s="89"/>
      <c r="BL104" s="89"/>
      <c r="BM104" s="89"/>
      <c r="BN104" s="89"/>
      <c r="BO104" s="89"/>
    </row>
    <row r="105" spans="1:67" ht="15.75" customHeight="1" x14ac:dyDescent="0.3">
      <c r="A105" s="88"/>
      <c r="BG105" s="89"/>
      <c r="BH105" s="89"/>
      <c r="BI105" s="89"/>
      <c r="BJ105" s="89"/>
      <c r="BK105" s="89"/>
      <c r="BL105" s="89"/>
      <c r="BM105" s="89"/>
      <c r="BN105" s="89"/>
      <c r="BO105" s="89"/>
    </row>
    <row r="106" spans="1:67" ht="15.75" customHeight="1" x14ac:dyDescent="0.3">
      <c r="A106" s="88"/>
      <c r="BG106" s="89"/>
      <c r="BH106" s="89"/>
      <c r="BI106" s="89"/>
      <c r="BJ106" s="89"/>
      <c r="BK106" s="89"/>
      <c r="BL106" s="89"/>
      <c r="BM106" s="89"/>
      <c r="BN106" s="89"/>
      <c r="BO106" s="89"/>
    </row>
    <row r="107" spans="1:67" ht="15.75" customHeight="1" x14ac:dyDescent="0.3">
      <c r="A107" s="88"/>
      <c r="BG107" s="89"/>
      <c r="BH107" s="89"/>
      <c r="BI107" s="89"/>
      <c r="BJ107" s="89"/>
      <c r="BK107" s="89"/>
      <c r="BL107" s="89"/>
      <c r="BM107" s="89"/>
      <c r="BN107" s="89"/>
      <c r="BO107" s="89"/>
    </row>
    <row r="108" spans="1:67" ht="15.75" customHeight="1" x14ac:dyDescent="0.3">
      <c r="A108" s="88"/>
      <c r="BG108" s="89"/>
      <c r="BH108" s="89"/>
      <c r="BI108" s="89"/>
      <c r="BJ108" s="89"/>
      <c r="BK108" s="89"/>
      <c r="BL108" s="89"/>
      <c r="BM108" s="89"/>
      <c r="BN108" s="89"/>
      <c r="BO108" s="89"/>
    </row>
    <row r="109" spans="1:67" ht="15.75" customHeight="1" x14ac:dyDescent="0.3">
      <c r="A109" s="88"/>
      <c r="BG109" s="89"/>
      <c r="BH109" s="89"/>
      <c r="BI109" s="89"/>
      <c r="BJ109" s="89"/>
      <c r="BK109" s="89"/>
      <c r="BL109" s="89"/>
      <c r="BM109" s="89"/>
      <c r="BN109" s="89"/>
      <c r="BO109" s="89"/>
    </row>
    <row r="110" spans="1:67" ht="15.75" customHeight="1" x14ac:dyDescent="0.3">
      <c r="A110" s="88"/>
      <c r="BG110" s="89"/>
      <c r="BH110" s="89"/>
      <c r="BI110" s="89"/>
      <c r="BJ110" s="89"/>
      <c r="BK110" s="89"/>
      <c r="BL110" s="89"/>
      <c r="BM110" s="89"/>
      <c r="BN110" s="89"/>
      <c r="BO110" s="89"/>
    </row>
    <row r="111" spans="1:67" ht="15.75" customHeight="1" x14ac:dyDescent="0.3">
      <c r="A111" s="88"/>
      <c r="BG111" s="89"/>
      <c r="BH111" s="89"/>
      <c r="BI111" s="89"/>
      <c r="BJ111" s="89"/>
      <c r="BK111" s="89"/>
      <c r="BL111" s="89"/>
      <c r="BM111" s="89"/>
      <c r="BN111" s="89"/>
      <c r="BO111" s="89"/>
    </row>
    <row r="112" spans="1:67" ht="15.75" customHeight="1" x14ac:dyDescent="0.3">
      <c r="A112" s="88"/>
      <c r="BG112" s="89"/>
      <c r="BH112" s="89"/>
      <c r="BI112" s="89"/>
      <c r="BJ112" s="89"/>
      <c r="BK112" s="89"/>
      <c r="BL112" s="89"/>
      <c r="BM112" s="89"/>
      <c r="BN112" s="89"/>
      <c r="BO112" s="89"/>
    </row>
    <row r="113" spans="1:67" ht="15.75" customHeight="1" x14ac:dyDescent="0.3">
      <c r="A113" s="88"/>
      <c r="BG113" s="89"/>
      <c r="BH113" s="89"/>
      <c r="BI113" s="89"/>
      <c r="BJ113" s="89"/>
      <c r="BK113" s="89"/>
      <c r="BL113" s="89"/>
      <c r="BM113" s="89"/>
      <c r="BN113" s="89"/>
      <c r="BO113" s="89"/>
    </row>
    <row r="114" spans="1:67" ht="15.75" customHeight="1" x14ac:dyDescent="0.3">
      <c r="A114" s="88"/>
      <c r="BG114" s="89"/>
      <c r="BH114" s="89"/>
      <c r="BI114" s="89"/>
      <c r="BJ114" s="89"/>
      <c r="BK114" s="89"/>
      <c r="BL114" s="89"/>
      <c r="BM114" s="89"/>
      <c r="BN114" s="89"/>
      <c r="BO114" s="89"/>
    </row>
    <row r="115" spans="1:67" ht="15.75" customHeight="1" x14ac:dyDescent="0.3">
      <c r="A115" s="88"/>
      <c r="BG115" s="89"/>
      <c r="BH115" s="89"/>
      <c r="BI115" s="89"/>
      <c r="BJ115" s="89"/>
      <c r="BK115" s="89"/>
      <c r="BL115" s="89"/>
      <c r="BM115" s="89"/>
      <c r="BN115" s="89"/>
      <c r="BO115" s="89"/>
    </row>
    <row r="116" spans="1:67" ht="15.75" customHeight="1" x14ac:dyDescent="0.3">
      <c r="A116" s="88"/>
      <c r="BG116" s="89"/>
      <c r="BH116" s="89"/>
      <c r="BI116" s="89"/>
      <c r="BJ116" s="89"/>
      <c r="BK116" s="89"/>
      <c r="BL116" s="89"/>
      <c r="BM116" s="89"/>
      <c r="BN116" s="89"/>
      <c r="BO116" s="89"/>
    </row>
    <row r="117" spans="1:67" ht="15.75" customHeight="1" x14ac:dyDescent="0.3">
      <c r="A117" s="88"/>
      <c r="BG117" s="89"/>
      <c r="BH117" s="89"/>
      <c r="BI117" s="89"/>
      <c r="BJ117" s="89"/>
      <c r="BK117" s="89"/>
      <c r="BL117" s="89"/>
      <c r="BM117" s="89"/>
      <c r="BN117" s="89"/>
      <c r="BO117" s="89"/>
    </row>
    <row r="118" spans="1:67" ht="15.75" customHeight="1" x14ac:dyDescent="0.3">
      <c r="A118" s="88"/>
      <c r="BG118" s="89"/>
      <c r="BH118" s="89"/>
      <c r="BI118" s="89"/>
      <c r="BJ118" s="89"/>
      <c r="BK118" s="89"/>
      <c r="BL118" s="89"/>
      <c r="BM118" s="89"/>
      <c r="BN118" s="89"/>
      <c r="BO118" s="89"/>
    </row>
    <row r="119" spans="1:67" ht="15.75" customHeight="1" x14ac:dyDescent="0.3">
      <c r="A119" s="88"/>
      <c r="BG119" s="89"/>
      <c r="BH119" s="89"/>
      <c r="BI119" s="89"/>
      <c r="BJ119" s="89"/>
      <c r="BK119" s="89"/>
      <c r="BL119" s="89"/>
      <c r="BM119" s="89"/>
      <c r="BN119" s="89"/>
      <c r="BO119" s="89"/>
    </row>
    <row r="120" spans="1:67" ht="15.75" customHeight="1" x14ac:dyDescent="0.3">
      <c r="A120" s="88"/>
      <c r="BG120" s="89"/>
      <c r="BH120" s="89"/>
      <c r="BI120" s="89"/>
      <c r="BJ120" s="89"/>
      <c r="BK120" s="89"/>
      <c r="BL120" s="89"/>
      <c r="BM120" s="89"/>
      <c r="BN120" s="89"/>
      <c r="BO120" s="89"/>
    </row>
    <row r="121" spans="1:67" ht="15.75" customHeight="1" x14ac:dyDescent="0.3">
      <c r="A121" s="88"/>
      <c r="BG121" s="89"/>
      <c r="BH121" s="89"/>
      <c r="BI121" s="89"/>
      <c r="BJ121" s="89"/>
      <c r="BK121" s="89"/>
      <c r="BL121" s="89"/>
      <c r="BM121" s="89"/>
      <c r="BN121" s="89"/>
      <c r="BO121" s="89"/>
    </row>
    <row r="122" spans="1:67" ht="15.75" customHeight="1" x14ac:dyDescent="0.3">
      <c r="A122" s="88"/>
      <c r="BG122" s="89"/>
      <c r="BH122" s="89"/>
      <c r="BI122" s="89"/>
      <c r="BJ122" s="89"/>
      <c r="BK122" s="89"/>
      <c r="BL122" s="89"/>
      <c r="BM122" s="89"/>
      <c r="BN122" s="89"/>
      <c r="BO122" s="89"/>
    </row>
    <row r="123" spans="1:67" ht="15.75" customHeight="1" x14ac:dyDescent="0.3">
      <c r="A123" s="88"/>
      <c r="BG123" s="89"/>
      <c r="BH123" s="89"/>
      <c r="BI123" s="89"/>
      <c r="BJ123" s="89"/>
      <c r="BK123" s="89"/>
      <c r="BL123" s="89"/>
      <c r="BM123" s="89"/>
      <c r="BN123" s="89"/>
      <c r="BO123" s="89"/>
    </row>
    <row r="124" spans="1:67" ht="15.75" customHeight="1" x14ac:dyDescent="0.3">
      <c r="A124" s="88"/>
      <c r="BG124" s="89"/>
      <c r="BH124" s="89"/>
      <c r="BI124" s="89"/>
      <c r="BJ124" s="89"/>
      <c r="BK124" s="89"/>
      <c r="BL124" s="89"/>
      <c r="BM124" s="89"/>
      <c r="BN124" s="89"/>
      <c r="BO124" s="89"/>
    </row>
    <row r="125" spans="1:67" ht="15.75" customHeight="1" x14ac:dyDescent="0.3">
      <c r="A125" s="88"/>
      <c r="BG125" s="89"/>
      <c r="BH125" s="89"/>
      <c r="BI125" s="89"/>
      <c r="BJ125" s="89"/>
      <c r="BK125" s="89"/>
      <c r="BL125" s="89"/>
      <c r="BM125" s="89"/>
      <c r="BN125" s="89"/>
      <c r="BO125" s="89"/>
    </row>
    <row r="126" spans="1:67" ht="15.75" customHeight="1" x14ac:dyDescent="0.3">
      <c r="A126" s="88"/>
      <c r="BG126" s="89"/>
      <c r="BH126" s="89"/>
      <c r="BI126" s="89"/>
      <c r="BJ126" s="89"/>
      <c r="BK126" s="89"/>
      <c r="BL126" s="89"/>
      <c r="BM126" s="89"/>
      <c r="BN126" s="89"/>
      <c r="BO126" s="89"/>
    </row>
    <row r="127" spans="1:67" ht="15.75" customHeight="1" x14ac:dyDescent="0.3">
      <c r="A127" s="88"/>
      <c r="BG127" s="89"/>
      <c r="BH127" s="89"/>
      <c r="BI127" s="89"/>
      <c r="BJ127" s="89"/>
      <c r="BK127" s="89"/>
      <c r="BL127" s="89"/>
      <c r="BM127" s="89"/>
      <c r="BN127" s="89"/>
      <c r="BO127" s="89"/>
    </row>
    <row r="128" spans="1:67" ht="15.75" customHeight="1" x14ac:dyDescent="0.3">
      <c r="A128" s="88"/>
      <c r="BG128" s="89"/>
      <c r="BH128" s="89"/>
      <c r="BI128" s="89"/>
      <c r="BJ128" s="89"/>
      <c r="BK128" s="89"/>
      <c r="BL128" s="89"/>
      <c r="BM128" s="89"/>
      <c r="BN128" s="89"/>
      <c r="BO128" s="89"/>
    </row>
    <row r="129" spans="1:67" ht="15.75" customHeight="1" x14ac:dyDescent="0.3">
      <c r="A129" s="88"/>
      <c r="BG129" s="89"/>
      <c r="BH129" s="89"/>
      <c r="BI129" s="89"/>
      <c r="BJ129" s="89"/>
      <c r="BK129" s="89"/>
      <c r="BL129" s="89"/>
      <c r="BM129" s="89"/>
      <c r="BN129" s="89"/>
      <c r="BO129" s="89"/>
    </row>
    <row r="130" spans="1:67" ht="15.75" customHeight="1" x14ac:dyDescent="0.3">
      <c r="A130" s="88"/>
      <c r="BG130" s="89"/>
      <c r="BH130" s="89"/>
      <c r="BI130" s="89"/>
      <c r="BJ130" s="89"/>
      <c r="BK130" s="89"/>
      <c r="BL130" s="89"/>
      <c r="BM130" s="89"/>
      <c r="BN130" s="89"/>
      <c r="BO130" s="89"/>
    </row>
    <row r="131" spans="1:67" ht="15.75" customHeight="1" x14ac:dyDescent="0.3">
      <c r="A131" s="88"/>
      <c r="BG131" s="89"/>
      <c r="BH131" s="89"/>
      <c r="BI131" s="89"/>
      <c r="BJ131" s="89"/>
      <c r="BK131" s="89"/>
      <c r="BL131" s="89"/>
      <c r="BM131" s="89"/>
      <c r="BN131" s="89"/>
      <c r="BO131" s="89"/>
    </row>
    <row r="132" spans="1:67" ht="15.75" customHeight="1" x14ac:dyDescent="0.3">
      <c r="A132" s="88"/>
      <c r="BG132" s="89"/>
      <c r="BH132" s="89"/>
      <c r="BI132" s="89"/>
      <c r="BJ132" s="89"/>
      <c r="BK132" s="89"/>
      <c r="BL132" s="89"/>
      <c r="BM132" s="89"/>
      <c r="BN132" s="89"/>
      <c r="BO132" s="89"/>
    </row>
    <row r="133" spans="1:67" ht="15.75" customHeight="1" x14ac:dyDescent="0.3">
      <c r="A133" s="88"/>
      <c r="BG133" s="89"/>
      <c r="BH133" s="89"/>
      <c r="BI133" s="89"/>
      <c r="BJ133" s="89"/>
      <c r="BK133" s="89"/>
      <c r="BL133" s="89"/>
      <c r="BM133" s="89"/>
      <c r="BN133" s="89"/>
      <c r="BO133" s="89"/>
    </row>
    <row r="134" spans="1:67" ht="15.75" customHeight="1" x14ac:dyDescent="0.3">
      <c r="A134" s="88"/>
      <c r="BG134" s="89"/>
      <c r="BH134" s="89"/>
      <c r="BI134" s="89"/>
      <c r="BJ134" s="89"/>
      <c r="BK134" s="89"/>
      <c r="BL134" s="89"/>
      <c r="BM134" s="89"/>
      <c r="BN134" s="89"/>
      <c r="BO134" s="89"/>
    </row>
    <row r="135" spans="1:67" ht="15.75" customHeight="1" x14ac:dyDescent="0.3">
      <c r="A135" s="88"/>
      <c r="BG135" s="89"/>
      <c r="BH135" s="89"/>
      <c r="BI135" s="89"/>
      <c r="BJ135" s="89"/>
      <c r="BK135" s="89"/>
      <c r="BL135" s="89"/>
      <c r="BM135" s="89"/>
      <c r="BN135" s="89"/>
      <c r="BO135" s="89"/>
    </row>
    <row r="136" spans="1:67" ht="15.75" customHeight="1" x14ac:dyDescent="0.3">
      <c r="A136" s="88"/>
      <c r="BG136" s="89"/>
      <c r="BH136" s="89"/>
      <c r="BI136" s="89"/>
      <c r="BJ136" s="89"/>
      <c r="BK136" s="89"/>
      <c r="BL136" s="89"/>
      <c r="BM136" s="89"/>
      <c r="BN136" s="89"/>
      <c r="BO136" s="89"/>
    </row>
    <row r="137" spans="1:67" ht="15.75" customHeight="1" x14ac:dyDescent="0.3">
      <c r="A137" s="88"/>
      <c r="BG137" s="89"/>
      <c r="BH137" s="89"/>
      <c r="BI137" s="89"/>
      <c r="BJ137" s="89"/>
      <c r="BK137" s="89"/>
      <c r="BL137" s="89"/>
      <c r="BM137" s="89"/>
      <c r="BN137" s="89"/>
      <c r="BO137" s="89"/>
    </row>
    <row r="138" spans="1:67" ht="15.75" customHeight="1" x14ac:dyDescent="0.3">
      <c r="A138" s="88"/>
      <c r="BG138" s="89"/>
      <c r="BH138" s="89"/>
      <c r="BI138" s="89"/>
      <c r="BJ138" s="89"/>
      <c r="BK138" s="89"/>
      <c r="BL138" s="89"/>
      <c r="BM138" s="89"/>
      <c r="BN138" s="89"/>
      <c r="BO138" s="89"/>
    </row>
    <row r="139" spans="1:67" ht="15.75" customHeight="1" x14ac:dyDescent="0.3">
      <c r="A139" s="88"/>
      <c r="BG139" s="89"/>
      <c r="BH139" s="89"/>
      <c r="BI139" s="89"/>
      <c r="BJ139" s="89"/>
      <c r="BK139" s="89"/>
      <c r="BL139" s="89"/>
      <c r="BM139" s="89"/>
      <c r="BN139" s="89"/>
      <c r="BO139" s="89"/>
    </row>
    <row r="140" spans="1:67" ht="15.75" customHeight="1" x14ac:dyDescent="0.3">
      <c r="A140" s="88"/>
      <c r="BG140" s="89"/>
      <c r="BH140" s="89"/>
      <c r="BI140" s="89"/>
      <c r="BJ140" s="89"/>
      <c r="BK140" s="89"/>
      <c r="BL140" s="89"/>
      <c r="BM140" s="89"/>
      <c r="BN140" s="89"/>
      <c r="BO140" s="89"/>
    </row>
    <row r="141" spans="1:67" ht="15.75" customHeight="1" x14ac:dyDescent="0.3">
      <c r="A141" s="88"/>
      <c r="BG141" s="89"/>
      <c r="BH141" s="89"/>
      <c r="BI141" s="89"/>
      <c r="BJ141" s="89"/>
      <c r="BK141" s="89"/>
      <c r="BL141" s="89"/>
      <c r="BM141" s="89"/>
      <c r="BN141" s="89"/>
      <c r="BO141" s="89"/>
    </row>
    <row r="142" spans="1:67" ht="15.75" customHeight="1" x14ac:dyDescent="0.3">
      <c r="A142" s="88"/>
      <c r="BG142" s="89"/>
      <c r="BH142" s="89"/>
      <c r="BI142" s="89"/>
      <c r="BJ142" s="89"/>
      <c r="BK142" s="89"/>
      <c r="BL142" s="89"/>
      <c r="BM142" s="89"/>
      <c r="BN142" s="89"/>
      <c r="BO142" s="89"/>
    </row>
    <row r="143" spans="1:67" ht="15.75" customHeight="1" x14ac:dyDescent="0.3">
      <c r="A143" s="88"/>
      <c r="BG143" s="89"/>
      <c r="BH143" s="89"/>
      <c r="BI143" s="89"/>
      <c r="BJ143" s="89"/>
      <c r="BK143" s="89"/>
      <c r="BL143" s="89"/>
      <c r="BM143" s="89"/>
      <c r="BN143" s="89"/>
      <c r="BO143" s="89"/>
    </row>
    <row r="144" spans="1:67" ht="15.75" customHeight="1" x14ac:dyDescent="0.3">
      <c r="A144" s="88"/>
      <c r="BG144" s="89"/>
      <c r="BH144" s="89"/>
      <c r="BI144" s="89"/>
      <c r="BJ144" s="89"/>
      <c r="BK144" s="89"/>
      <c r="BL144" s="89"/>
      <c r="BM144" s="89"/>
      <c r="BN144" s="89"/>
      <c r="BO144" s="89"/>
    </row>
    <row r="145" spans="1:67" ht="15.75" customHeight="1" x14ac:dyDescent="0.3">
      <c r="A145" s="88"/>
      <c r="BG145" s="89"/>
      <c r="BH145" s="89"/>
      <c r="BI145" s="89"/>
      <c r="BJ145" s="89"/>
      <c r="BK145" s="89"/>
      <c r="BL145" s="89"/>
      <c r="BM145" s="89"/>
      <c r="BN145" s="89"/>
      <c r="BO145" s="89"/>
    </row>
    <row r="146" spans="1:67" ht="15.75" customHeight="1" x14ac:dyDescent="0.3">
      <c r="A146" s="88"/>
      <c r="BG146" s="89"/>
      <c r="BH146" s="89"/>
      <c r="BI146" s="89"/>
      <c r="BJ146" s="89"/>
      <c r="BK146" s="89"/>
      <c r="BL146" s="89"/>
      <c r="BM146" s="89"/>
      <c r="BN146" s="89"/>
      <c r="BO146" s="89"/>
    </row>
    <row r="147" spans="1:67" ht="15.75" customHeight="1" x14ac:dyDescent="0.3">
      <c r="A147" s="88"/>
      <c r="BG147" s="89"/>
      <c r="BH147" s="89"/>
      <c r="BI147" s="89"/>
      <c r="BJ147" s="89"/>
      <c r="BK147" s="89"/>
      <c r="BL147" s="89"/>
      <c r="BM147" s="89"/>
      <c r="BN147" s="89"/>
      <c r="BO147" s="89"/>
    </row>
    <row r="148" spans="1:67" ht="15.75" customHeight="1" x14ac:dyDescent="0.3">
      <c r="A148" s="88"/>
      <c r="BG148" s="89"/>
      <c r="BH148" s="89"/>
      <c r="BI148" s="89"/>
      <c r="BJ148" s="89"/>
      <c r="BK148" s="89"/>
      <c r="BL148" s="89"/>
      <c r="BM148" s="89"/>
      <c r="BN148" s="89"/>
      <c r="BO148" s="89"/>
    </row>
    <row r="149" spans="1:67" ht="15.75" customHeight="1" x14ac:dyDescent="0.3">
      <c r="A149" s="88"/>
      <c r="BG149" s="89"/>
      <c r="BH149" s="89"/>
      <c r="BI149" s="89"/>
      <c r="BJ149" s="89"/>
      <c r="BK149" s="89"/>
      <c r="BL149" s="89"/>
      <c r="BM149" s="89"/>
      <c r="BN149" s="89"/>
      <c r="BO149" s="89"/>
    </row>
    <row r="150" spans="1:67" ht="15.75" customHeight="1" x14ac:dyDescent="0.3">
      <c r="A150" s="88"/>
      <c r="BG150" s="89"/>
      <c r="BH150" s="89"/>
      <c r="BI150" s="89"/>
      <c r="BJ150" s="89"/>
      <c r="BK150" s="89"/>
      <c r="BL150" s="89"/>
      <c r="BM150" s="89"/>
      <c r="BN150" s="89"/>
      <c r="BO150" s="89"/>
    </row>
    <row r="151" spans="1:67" ht="15.75" customHeight="1" x14ac:dyDescent="0.3">
      <c r="A151" s="88"/>
      <c r="BG151" s="89"/>
      <c r="BH151" s="89"/>
      <c r="BI151" s="89"/>
      <c r="BJ151" s="89"/>
      <c r="BK151" s="89"/>
      <c r="BL151" s="89"/>
      <c r="BM151" s="89"/>
      <c r="BN151" s="89"/>
      <c r="BO151" s="89"/>
    </row>
    <row r="152" spans="1:67" ht="15.75" customHeight="1" x14ac:dyDescent="0.3">
      <c r="A152" s="88"/>
      <c r="BG152" s="89"/>
      <c r="BH152" s="89"/>
      <c r="BI152" s="89"/>
      <c r="BJ152" s="89"/>
      <c r="BK152" s="89"/>
      <c r="BL152" s="89"/>
      <c r="BM152" s="89"/>
      <c r="BN152" s="89"/>
      <c r="BO152" s="89"/>
    </row>
    <row r="153" spans="1:67" ht="15.75" customHeight="1" x14ac:dyDescent="0.3">
      <c r="A153" s="88"/>
      <c r="BG153" s="89"/>
      <c r="BH153" s="89"/>
      <c r="BI153" s="89"/>
      <c r="BJ153" s="89"/>
      <c r="BK153" s="89"/>
      <c r="BL153" s="89"/>
      <c r="BM153" s="89"/>
      <c r="BN153" s="89"/>
      <c r="BO153" s="89"/>
    </row>
    <row r="154" spans="1:67" ht="15.75" customHeight="1" x14ac:dyDescent="0.3">
      <c r="A154" s="88"/>
      <c r="BG154" s="89"/>
      <c r="BH154" s="89"/>
      <c r="BI154" s="89"/>
      <c r="BJ154" s="89"/>
      <c r="BK154" s="89"/>
      <c r="BL154" s="89"/>
      <c r="BM154" s="89"/>
      <c r="BN154" s="89"/>
      <c r="BO154" s="89"/>
    </row>
    <row r="155" spans="1:67" ht="15.75" customHeight="1" x14ac:dyDescent="0.3">
      <c r="A155" s="88"/>
      <c r="BG155" s="89"/>
      <c r="BH155" s="89"/>
      <c r="BI155" s="89"/>
      <c r="BJ155" s="89"/>
      <c r="BK155" s="89"/>
      <c r="BL155" s="89"/>
      <c r="BM155" s="89"/>
      <c r="BN155" s="89"/>
      <c r="BO155" s="89"/>
    </row>
    <row r="156" spans="1:67" ht="15.75" customHeight="1" x14ac:dyDescent="0.3">
      <c r="A156" s="88"/>
      <c r="BG156" s="89"/>
      <c r="BH156" s="89"/>
      <c r="BI156" s="89"/>
      <c r="BJ156" s="89"/>
      <c r="BK156" s="89"/>
      <c r="BL156" s="89"/>
      <c r="BM156" s="89"/>
      <c r="BN156" s="89"/>
      <c r="BO156" s="89"/>
    </row>
    <row r="157" spans="1:67" ht="15.75" customHeight="1" x14ac:dyDescent="0.3">
      <c r="A157" s="88"/>
      <c r="BG157" s="89"/>
      <c r="BH157" s="89"/>
      <c r="BI157" s="89"/>
      <c r="BJ157" s="89"/>
      <c r="BK157" s="89"/>
      <c r="BL157" s="89"/>
      <c r="BM157" s="89"/>
      <c r="BN157" s="89"/>
      <c r="BO157" s="89"/>
    </row>
    <row r="158" spans="1:67" ht="15.75" customHeight="1" x14ac:dyDescent="0.3">
      <c r="A158" s="88"/>
      <c r="BG158" s="89"/>
      <c r="BH158" s="89"/>
      <c r="BI158" s="89"/>
      <c r="BJ158" s="89"/>
      <c r="BK158" s="89"/>
      <c r="BL158" s="89"/>
      <c r="BM158" s="89"/>
      <c r="BN158" s="89"/>
      <c r="BO158" s="89"/>
    </row>
    <row r="159" spans="1:67" ht="15.75" customHeight="1" x14ac:dyDescent="0.3">
      <c r="A159" s="88"/>
      <c r="BG159" s="89"/>
      <c r="BH159" s="89"/>
      <c r="BI159" s="89"/>
      <c r="BJ159" s="89"/>
      <c r="BK159" s="89"/>
      <c r="BL159" s="89"/>
      <c r="BM159" s="89"/>
      <c r="BN159" s="89"/>
      <c r="BO159" s="89"/>
    </row>
    <row r="160" spans="1:67" ht="15.75" customHeight="1" x14ac:dyDescent="0.3">
      <c r="A160" s="88"/>
      <c r="BG160" s="89"/>
      <c r="BH160" s="89"/>
      <c r="BI160" s="89"/>
      <c r="BJ160" s="89"/>
      <c r="BK160" s="89"/>
      <c r="BL160" s="89"/>
      <c r="BM160" s="89"/>
      <c r="BN160" s="89"/>
      <c r="BO160" s="89"/>
    </row>
    <row r="161" spans="1:67" ht="15.75" customHeight="1" x14ac:dyDescent="0.3">
      <c r="A161" s="88"/>
      <c r="BG161" s="89"/>
      <c r="BH161" s="89"/>
      <c r="BI161" s="89"/>
      <c r="BJ161" s="89"/>
      <c r="BK161" s="89"/>
      <c r="BL161" s="89"/>
      <c r="BM161" s="89"/>
      <c r="BN161" s="89"/>
      <c r="BO161" s="89"/>
    </row>
    <row r="162" spans="1:67" ht="15.75" customHeight="1" x14ac:dyDescent="0.3">
      <c r="A162" s="88"/>
      <c r="BG162" s="89"/>
      <c r="BH162" s="89"/>
      <c r="BI162" s="89"/>
      <c r="BJ162" s="89"/>
      <c r="BK162" s="89"/>
      <c r="BL162" s="89"/>
      <c r="BM162" s="89"/>
      <c r="BN162" s="89"/>
      <c r="BO162" s="89"/>
    </row>
    <row r="163" spans="1:67" ht="15.75" customHeight="1" x14ac:dyDescent="0.3">
      <c r="A163" s="88"/>
      <c r="BG163" s="89"/>
      <c r="BH163" s="89"/>
      <c r="BI163" s="89"/>
      <c r="BJ163" s="89"/>
      <c r="BK163" s="89"/>
      <c r="BL163" s="89"/>
      <c r="BM163" s="89"/>
      <c r="BN163" s="89"/>
      <c r="BO163" s="89"/>
    </row>
    <row r="164" spans="1:67" ht="15.75" customHeight="1" x14ac:dyDescent="0.3">
      <c r="A164" s="88"/>
      <c r="BG164" s="89"/>
      <c r="BH164" s="89"/>
      <c r="BI164" s="89"/>
      <c r="BJ164" s="89"/>
      <c r="BK164" s="89"/>
      <c r="BL164" s="89"/>
      <c r="BM164" s="89"/>
      <c r="BN164" s="89"/>
      <c r="BO164" s="89"/>
    </row>
    <row r="165" spans="1:67" ht="15.75" customHeight="1" x14ac:dyDescent="0.3">
      <c r="A165" s="88"/>
      <c r="BG165" s="89"/>
      <c r="BH165" s="89"/>
      <c r="BI165" s="89"/>
      <c r="BJ165" s="89"/>
      <c r="BK165" s="89"/>
      <c r="BL165" s="89"/>
      <c r="BM165" s="89"/>
      <c r="BN165" s="89"/>
      <c r="BO165" s="89"/>
    </row>
    <row r="166" spans="1:67" ht="15.75" customHeight="1" x14ac:dyDescent="0.3">
      <c r="A166" s="88"/>
      <c r="BG166" s="89"/>
      <c r="BH166" s="89"/>
      <c r="BI166" s="89"/>
      <c r="BJ166" s="89"/>
      <c r="BK166" s="89"/>
      <c r="BL166" s="89"/>
      <c r="BM166" s="89"/>
      <c r="BN166" s="89"/>
      <c r="BO166" s="89"/>
    </row>
    <row r="167" spans="1:67" ht="15.75" customHeight="1" x14ac:dyDescent="0.3">
      <c r="A167" s="88"/>
      <c r="BG167" s="89"/>
      <c r="BH167" s="89"/>
      <c r="BI167" s="89"/>
      <c r="BJ167" s="89"/>
      <c r="BK167" s="89"/>
      <c r="BL167" s="89"/>
      <c r="BM167" s="89"/>
      <c r="BN167" s="89"/>
      <c r="BO167" s="89"/>
    </row>
    <row r="168" spans="1:67" ht="15.75" customHeight="1" x14ac:dyDescent="0.3">
      <c r="A168" s="88"/>
      <c r="BG168" s="89"/>
      <c r="BH168" s="89"/>
      <c r="BI168" s="89"/>
      <c r="BJ168" s="89"/>
      <c r="BK168" s="89"/>
      <c r="BL168" s="89"/>
      <c r="BM168" s="89"/>
      <c r="BN168" s="89"/>
      <c r="BO168" s="89"/>
    </row>
    <row r="169" spans="1:67" ht="15.75" customHeight="1" x14ac:dyDescent="0.3">
      <c r="A169" s="88"/>
      <c r="BG169" s="89"/>
      <c r="BH169" s="89"/>
      <c r="BI169" s="89"/>
      <c r="BJ169" s="89"/>
      <c r="BK169" s="89"/>
      <c r="BL169" s="89"/>
      <c r="BM169" s="89"/>
      <c r="BN169" s="89"/>
      <c r="BO169" s="89"/>
    </row>
    <row r="170" spans="1:67" ht="15.75" customHeight="1" x14ac:dyDescent="0.3">
      <c r="A170" s="88"/>
      <c r="BG170" s="89"/>
      <c r="BH170" s="89"/>
      <c r="BI170" s="89"/>
      <c r="BJ170" s="89"/>
      <c r="BK170" s="89"/>
      <c r="BL170" s="89"/>
      <c r="BM170" s="89"/>
      <c r="BN170" s="89"/>
      <c r="BO170" s="89"/>
    </row>
    <row r="171" spans="1:67" ht="15.75" customHeight="1" x14ac:dyDescent="0.3">
      <c r="A171" s="88"/>
      <c r="BG171" s="89"/>
      <c r="BH171" s="89"/>
      <c r="BI171" s="89"/>
      <c r="BJ171" s="89"/>
      <c r="BK171" s="89"/>
      <c r="BL171" s="89"/>
      <c r="BM171" s="89"/>
      <c r="BN171" s="89"/>
      <c r="BO171" s="89"/>
    </row>
    <row r="172" spans="1:67" ht="15.75" customHeight="1" x14ac:dyDescent="0.3">
      <c r="A172" s="88"/>
      <c r="BG172" s="89"/>
      <c r="BH172" s="89"/>
      <c r="BI172" s="89"/>
      <c r="BJ172" s="89"/>
      <c r="BK172" s="89"/>
      <c r="BL172" s="89"/>
      <c r="BM172" s="89"/>
      <c r="BN172" s="89"/>
      <c r="BO172" s="89"/>
    </row>
    <row r="173" spans="1:67" ht="15.75" customHeight="1" x14ac:dyDescent="0.3">
      <c r="A173" s="88"/>
      <c r="BG173" s="89"/>
      <c r="BH173" s="89"/>
      <c r="BI173" s="89"/>
      <c r="BJ173" s="89"/>
      <c r="BK173" s="89"/>
      <c r="BL173" s="89"/>
      <c r="BM173" s="89"/>
      <c r="BN173" s="89"/>
      <c r="BO173" s="89"/>
    </row>
    <row r="174" spans="1:67" ht="15.75" customHeight="1" x14ac:dyDescent="0.3">
      <c r="A174" s="88"/>
      <c r="BG174" s="89"/>
      <c r="BH174" s="89"/>
      <c r="BI174" s="89"/>
      <c r="BJ174" s="89"/>
      <c r="BK174" s="89"/>
      <c r="BL174" s="89"/>
      <c r="BM174" s="89"/>
      <c r="BN174" s="89"/>
      <c r="BO174" s="89"/>
    </row>
    <row r="175" spans="1:67" ht="15.75" customHeight="1" x14ac:dyDescent="0.3">
      <c r="A175" s="88"/>
      <c r="BG175" s="89"/>
      <c r="BH175" s="89"/>
      <c r="BI175" s="89"/>
      <c r="BJ175" s="89"/>
      <c r="BK175" s="89"/>
      <c r="BL175" s="89"/>
      <c r="BM175" s="89"/>
      <c r="BN175" s="89"/>
      <c r="BO175" s="89"/>
    </row>
    <row r="176" spans="1:67" ht="15.75" customHeight="1" x14ac:dyDescent="0.3">
      <c r="A176" s="88"/>
      <c r="BG176" s="89"/>
      <c r="BH176" s="89"/>
      <c r="BI176" s="89"/>
      <c r="BJ176" s="89"/>
      <c r="BK176" s="89"/>
      <c r="BL176" s="89"/>
      <c r="BM176" s="89"/>
      <c r="BN176" s="89"/>
      <c r="BO176" s="89"/>
    </row>
    <row r="177" spans="1:67" ht="15.75" customHeight="1" x14ac:dyDescent="0.3">
      <c r="A177" s="88"/>
      <c r="BG177" s="89"/>
      <c r="BH177" s="89"/>
      <c r="BI177" s="89"/>
      <c r="BJ177" s="89"/>
      <c r="BK177" s="89"/>
      <c r="BL177" s="89"/>
      <c r="BM177" s="89"/>
      <c r="BN177" s="89"/>
      <c r="BO177" s="89"/>
    </row>
    <row r="178" spans="1:67" ht="15.75" customHeight="1" x14ac:dyDescent="0.3">
      <c r="A178" s="88"/>
      <c r="BG178" s="89"/>
      <c r="BH178" s="89"/>
      <c r="BI178" s="89"/>
      <c r="BJ178" s="89"/>
      <c r="BK178" s="89"/>
      <c r="BL178" s="89"/>
      <c r="BM178" s="89"/>
      <c r="BN178" s="89"/>
      <c r="BO178" s="89"/>
    </row>
    <row r="179" spans="1:67" ht="15.75" customHeight="1" x14ac:dyDescent="0.3">
      <c r="A179" s="88"/>
      <c r="BG179" s="89"/>
      <c r="BH179" s="89"/>
      <c r="BI179" s="89"/>
      <c r="BJ179" s="89"/>
      <c r="BK179" s="89"/>
      <c r="BL179" s="89"/>
      <c r="BM179" s="89"/>
      <c r="BN179" s="89"/>
      <c r="BO179" s="89"/>
    </row>
    <row r="180" spans="1:67" ht="15.75" customHeight="1" x14ac:dyDescent="0.3">
      <c r="A180" s="88"/>
      <c r="BG180" s="89"/>
      <c r="BH180" s="89"/>
      <c r="BI180" s="89"/>
      <c r="BJ180" s="89"/>
      <c r="BK180" s="89"/>
      <c r="BL180" s="89"/>
      <c r="BM180" s="89"/>
      <c r="BN180" s="89"/>
      <c r="BO180" s="89"/>
    </row>
    <row r="181" spans="1:67" ht="15.75" customHeight="1" x14ac:dyDescent="0.3">
      <c r="A181" s="88"/>
      <c r="BG181" s="89"/>
      <c r="BH181" s="89"/>
      <c r="BI181" s="89"/>
      <c r="BJ181" s="89"/>
      <c r="BK181" s="89"/>
      <c r="BL181" s="89"/>
      <c r="BM181" s="89"/>
      <c r="BN181" s="89"/>
      <c r="BO181" s="89"/>
    </row>
    <row r="182" spans="1:67" ht="15.75" customHeight="1" x14ac:dyDescent="0.3">
      <c r="A182" s="88"/>
      <c r="BG182" s="89"/>
      <c r="BH182" s="89"/>
      <c r="BI182" s="89"/>
      <c r="BJ182" s="89"/>
      <c r="BK182" s="89"/>
      <c r="BL182" s="89"/>
      <c r="BM182" s="89"/>
      <c r="BN182" s="89"/>
      <c r="BO182" s="89"/>
    </row>
    <row r="183" spans="1:67" ht="15.75" customHeight="1" x14ac:dyDescent="0.3">
      <c r="A183" s="88"/>
      <c r="BG183" s="89"/>
      <c r="BH183" s="89"/>
      <c r="BI183" s="89"/>
      <c r="BJ183" s="89"/>
      <c r="BK183" s="89"/>
      <c r="BL183" s="89"/>
      <c r="BM183" s="89"/>
      <c r="BN183" s="89"/>
      <c r="BO183" s="89"/>
    </row>
    <row r="184" spans="1:67" ht="15.75" customHeight="1" x14ac:dyDescent="0.3">
      <c r="A184" s="88"/>
      <c r="BG184" s="89"/>
      <c r="BH184" s="89"/>
      <c r="BI184" s="89"/>
      <c r="BJ184" s="89"/>
      <c r="BK184" s="89"/>
      <c r="BL184" s="89"/>
      <c r="BM184" s="89"/>
      <c r="BN184" s="89"/>
      <c r="BO184" s="89"/>
    </row>
    <row r="185" spans="1:67" ht="15.75" customHeight="1" x14ac:dyDescent="0.3">
      <c r="A185" s="88"/>
      <c r="BG185" s="89"/>
      <c r="BH185" s="89"/>
      <c r="BI185" s="89"/>
      <c r="BJ185" s="89"/>
      <c r="BK185" s="89"/>
      <c r="BL185" s="89"/>
      <c r="BM185" s="89"/>
      <c r="BN185" s="89"/>
      <c r="BO185" s="89"/>
    </row>
    <row r="186" spans="1:67" ht="15.75" customHeight="1" x14ac:dyDescent="0.3">
      <c r="A186" s="88"/>
      <c r="BG186" s="89"/>
      <c r="BH186" s="89"/>
      <c r="BI186" s="89"/>
      <c r="BJ186" s="89"/>
      <c r="BK186" s="89"/>
      <c r="BL186" s="89"/>
      <c r="BM186" s="89"/>
      <c r="BN186" s="89"/>
      <c r="BO186" s="89"/>
    </row>
    <row r="187" spans="1:67" ht="15.75" customHeight="1" x14ac:dyDescent="0.3">
      <c r="A187" s="88"/>
      <c r="BG187" s="89"/>
      <c r="BH187" s="89"/>
      <c r="BI187" s="89"/>
      <c r="BJ187" s="89"/>
      <c r="BK187" s="89"/>
      <c r="BL187" s="89"/>
      <c r="BM187" s="89"/>
      <c r="BN187" s="89"/>
      <c r="BO187" s="89"/>
    </row>
    <row r="188" spans="1:67" ht="15.75" customHeight="1" x14ac:dyDescent="0.3">
      <c r="A188" s="88"/>
      <c r="BG188" s="89"/>
      <c r="BH188" s="89"/>
      <c r="BI188" s="89"/>
      <c r="BJ188" s="89"/>
      <c r="BK188" s="89"/>
      <c r="BL188" s="89"/>
      <c r="BM188" s="89"/>
      <c r="BN188" s="89"/>
      <c r="BO188" s="89"/>
    </row>
    <row r="189" spans="1:67" ht="15.75" customHeight="1" x14ac:dyDescent="0.3">
      <c r="A189" s="88"/>
      <c r="BG189" s="89"/>
      <c r="BH189" s="89"/>
      <c r="BI189" s="89"/>
      <c r="BJ189" s="89"/>
      <c r="BK189" s="89"/>
      <c r="BL189" s="89"/>
      <c r="BM189" s="89"/>
      <c r="BN189" s="89"/>
      <c r="BO189" s="89"/>
    </row>
    <row r="190" spans="1:67" ht="15.75" customHeight="1" x14ac:dyDescent="0.3">
      <c r="A190" s="88"/>
      <c r="BG190" s="89"/>
      <c r="BH190" s="89"/>
      <c r="BI190" s="89"/>
      <c r="BJ190" s="89"/>
      <c r="BK190" s="89"/>
      <c r="BL190" s="89"/>
      <c r="BM190" s="89"/>
      <c r="BN190" s="89"/>
      <c r="BO190" s="89"/>
    </row>
    <row r="191" spans="1:67" ht="15.75" customHeight="1" x14ac:dyDescent="0.3">
      <c r="A191" s="88"/>
      <c r="BG191" s="89"/>
      <c r="BH191" s="89"/>
      <c r="BI191" s="89"/>
      <c r="BJ191" s="89"/>
      <c r="BK191" s="89"/>
      <c r="BL191" s="89"/>
      <c r="BM191" s="89"/>
      <c r="BN191" s="89"/>
      <c r="BO191" s="89"/>
    </row>
    <row r="192" spans="1:67" ht="15.75" customHeight="1" x14ac:dyDescent="0.3">
      <c r="A192" s="88"/>
      <c r="BG192" s="89"/>
      <c r="BH192" s="89"/>
      <c r="BI192" s="89"/>
      <c r="BJ192" s="89"/>
      <c r="BK192" s="89"/>
      <c r="BL192" s="89"/>
      <c r="BM192" s="89"/>
      <c r="BN192" s="89"/>
      <c r="BO192" s="89"/>
    </row>
    <row r="193" spans="1:67" ht="15.75" customHeight="1" x14ac:dyDescent="0.3">
      <c r="A193" s="88"/>
      <c r="BG193" s="89"/>
      <c r="BH193" s="89"/>
      <c r="BI193" s="89"/>
      <c r="BJ193" s="89"/>
      <c r="BK193" s="89"/>
      <c r="BL193" s="89"/>
      <c r="BM193" s="89"/>
      <c r="BN193" s="89"/>
      <c r="BO193" s="89"/>
    </row>
    <row r="194" spans="1:67" ht="15.75" customHeight="1" x14ac:dyDescent="0.3">
      <c r="A194" s="88"/>
      <c r="BG194" s="89"/>
      <c r="BH194" s="89"/>
      <c r="BI194" s="89"/>
      <c r="BJ194" s="89"/>
      <c r="BK194" s="89"/>
      <c r="BL194" s="89"/>
      <c r="BM194" s="89"/>
      <c r="BN194" s="89"/>
      <c r="BO194" s="89"/>
    </row>
    <row r="195" spans="1:67" ht="15.75" customHeight="1" x14ac:dyDescent="0.3">
      <c r="A195" s="88"/>
      <c r="BG195" s="89"/>
      <c r="BH195" s="89"/>
      <c r="BI195" s="89"/>
      <c r="BJ195" s="89"/>
      <c r="BK195" s="89"/>
      <c r="BL195" s="89"/>
      <c r="BM195" s="89"/>
      <c r="BN195" s="89"/>
      <c r="BO195" s="89"/>
    </row>
    <row r="196" spans="1:67" ht="15.75" customHeight="1" x14ac:dyDescent="0.3">
      <c r="A196" s="88"/>
      <c r="BG196" s="89"/>
      <c r="BH196" s="89"/>
      <c r="BI196" s="89"/>
      <c r="BJ196" s="89"/>
      <c r="BK196" s="89"/>
      <c r="BL196" s="89"/>
      <c r="BM196" s="89"/>
      <c r="BN196" s="89"/>
      <c r="BO196" s="89"/>
    </row>
    <row r="197" spans="1:67" ht="15.75" customHeight="1" x14ac:dyDescent="0.3">
      <c r="A197" s="88"/>
      <c r="BG197" s="89"/>
      <c r="BH197" s="89"/>
      <c r="BI197" s="89"/>
      <c r="BJ197" s="89"/>
      <c r="BK197" s="89"/>
      <c r="BL197" s="89"/>
      <c r="BM197" s="89"/>
      <c r="BN197" s="89"/>
      <c r="BO197" s="89"/>
    </row>
    <row r="198" spans="1:67" ht="15.75" customHeight="1" x14ac:dyDescent="0.3">
      <c r="A198" s="88"/>
      <c r="BG198" s="89"/>
      <c r="BH198" s="89"/>
      <c r="BI198" s="89"/>
      <c r="BJ198" s="89"/>
      <c r="BK198" s="89"/>
      <c r="BL198" s="89"/>
      <c r="BM198" s="89"/>
      <c r="BN198" s="89"/>
      <c r="BO198" s="89"/>
    </row>
    <row r="199" spans="1:67" ht="15.75" customHeight="1" x14ac:dyDescent="0.3">
      <c r="A199" s="88"/>
      <c r="BG199" s="89"/>
      <c r="BH199" s="89"/>
      <c r="BI199" s="89"/>
      <c r="BJ199" s="89"/>
      <c r="BK199" s="89"/>
      <c r="BL199" s="89"/>
      <c r="BM199" s="89"/>
      <c r="BN199" s="89"/>
      <c r="BO199" s="89"/>
    </row>
    <row r="200" spans="1:67" ht="15.75" customHeight="1" x14ac:dyDescent="0.3">
      <c r="A200" s="88"/>
      <c r="BG200" s="89"/>
      <c r="BH200" s="89"/>
      <c r="BI200" s="89"/>
      <c r="BJ200" s="89"/>
      <c r="BK200" s="89"/>
      <c r="BL200" s="89"/>
      <c r="BM200" s="89"/>
      <c r="BN200" s="89"/>
      <c r="BO200" s="89"/>
    </row>
    <row r="201" spans="1:67" ht="15.75" customHeight="1" x14ac:dyDescent="0.3">
      <c r="A201" s="88"/>
      <c r="BG201" s="89"/>
      <c r="BH201" s="89"/>
      <c r="BI201" s="89"/>
      <c r="BJ201" s="89"/>
      <c r="BK201" s="89"/>
      <c r="BL201" s="89"/>
      <c r="BM201" s="89"/>
      <c r="BN201" s="89"/>
      <c r="BO201" s="89"/>
    </row>
    <row r="202" spans="1:67" ht="15.75" customHeight="1" x14ac:dyDescent="0.3">
      <c r="A202" s="88"/>
      <c r="BG202" s="89"/>
      <c r="BH202" s="89"/>
      <c r="BI202" s="89"/>
      <c r="BJ202" s="89"/>
      <c r="BK202" s="89"/>
      <c r="BL202" s="89"/>
      <c r="BM202" s="89"/>
      <c r="BN202" s="89"/>
      <c r="BO202" s="89"/>
    </row>
    <row r="203" spans="1:67" ht="15.75" customHeight="1" x14ac:dyDescent="0.3">
      <c r="A203" s="88"/>
      <c r="BG203" s="89"/>
      <c r="BH203" s="89"/>
      <c r="BI203" s="89"/>
      <c r="BJ203" s="89"/>
      <c r="BK203" s="89"/>
      <c r="BL203" s="89"/>
      <c r="BM203" s="89"/>
      <c r="BN203" s="89"/>
      <c r="BO203" s="89"/>
    </row>
    <row r="204" spans="1:67" ht="15.75" customHeight="1" x14ac:dyDescent="0.3">
      <c r="A204" s="88"/>
      <c r="BG204" s="89"/>
      <c r="BH204" s="89"/>
      <c r="BI204" s="89"/>
      <c r="BJ204" s="89"/>
      <c r="BK204" s="89"/>
      <c r="BL204" s="89"/>
      <c r="BM204" s="89"/>
      <c r="BN204" s="89"/>
      <c r="BO204" s="89"/>
    </row>
    <row r="205" spans="1:67" ht="15.75" customHeight="1" x14ac:dyDescent="0.3">
      <c r="A205" s="88"/>
      <c r="BG205" s="89"/>
      <c r="BH205" s="89"/>
      <c r="BI205" s="89"/>
      <c r="BJ205" s="89"/>
      <c r="BK205" s="89"/>
      <c r="BL205" s="89"/>
      <c r="BM205" s="89"/>
      <c r="BN205" s="89"/>
      <c r="BO205" s="89"/>
    </row>
    <row r="206" spans="1:67" ht="15.75" customHeight="1" x14ac:dyDescent="0.3">
      <c r="A206" s="88"/>
      <c r="BG206" s="89"/>
      <c r="BH206" s="89"/>
      <c r="BI206" s="89"/>
      <c r="BJ206" s="89"/>
      <c r="BK206" s="89"/>
      <c r="BL206" s="89"/>
      <c r="BM206" s="89"/>
      <c r="BN206" s="89"/>
      <c r="BO206" s="89"/>
    </row>
    <row r="207" spans="1:67" ht="15.75" customHeight="1" x14ac:dyDescent="0.3">
      <c r="A207" s="88"/>
      <c r="BG207" s="89"/>
      <c r="BH207" s="89"/>
      <c r="BI207" s="89"/>
      <c r="BJ207" s="89"/>
      <c r="BK207" s="89"/>
      <c r="BL207" s="89"/>
      <c r="BM207" s="89"/>
      <c r="BN207" s="89"/>
      <c r="BO207" s="89"/>
    </row>
    <row r="208" spans="1:67" ht="15.75" customHeight="1" x14ac:dyDescent="0.3">
      <c r="A208" s="88"/>
      <c r="BG208" s="89"/>
      <c r="BH208" s="89"/>
      <c r="BI208" s="89"/>
      <c r="BJ208" s="89"/>
      <c r="BK208" s="89"/>
      <c r="BL208" s="89"/>
      <c r="BM208" s="89"/>
      <c r="BN208" s="89"/>
      <c r="BO208" s="89"/>
    </row>
    <row r="209" spans="1:67" ht="15.75" customHeight="1" x14ac:dyDescent="0.3">
      <c r="A209" s="88"/>
      <c r="BG209" s="89"/>
      <c r="BH209" s="89"/>
      <c r="BI209" s="89"/>
      <c r="BJ209" s="89"/>
      <c r="BK209" s="89"/>
      <c r="BL209" s="89"/>
      <c r="BM209" s="89"/>
      <c r="BN209" s="89"/>
      <c r="BO209" s="89"/>
    </row>
    <row r="210" spans="1:67" ht="15.75" customHeight="1" x14ac:dyDescent="0.3">
      <c r="A210" s="88"/>
      <c r="BG210" s="89"/>
      <c r="BH210" s="89"/>
      <c r="BI210" s="89"/>
      <c r="BJ210" s="89"/>
      <c r="BK210" s="89"/>
      <c r="BL210" s="89"/>
      <c r="BM210" s="89"/>
      <c r="BN210" s="89"/>
      <c r="BO210" s="89"/>
    </row>
    <row r="211" spans="1:67" ht="15.75" customHeight="1" x14ac:dyDescent="0.3">
      <c r="A211" s="88"/>
      <c r="BG211" s="89"/>
      <c r="BH211" s="89"/>
      <c r="BI211" s="89"/>
      <c r="BJ211" s="89"/>
      <c r="BK211" s="89"/>
      <c r="BL211" s="89"/>
      <c r="BM211" s="89"/>
      <c r="BN211" s="89"/>
      <c r="BO211" s="89"/>
    </row>
    <row r="212" spans="1:67" ht="15.75" customHeight="1" x14ac:dyDescent="0.3">
      <c r="A212" s="88"/>
      <c r="BG212" s="89"/>
      <c r="BH212" s="89"/>
      <c r="BI212" s="89"/>
      <c r="BJ212" s="89"/>
      <c r="BK212" s="89"/>
      <c r="BL212" s="89"/>
      <c r="BM212" s="89"/>
      <c r="BN212" s="89"/>
      <c r="BO212" s="89"/>
    </row>
    <row r="213" spans="1:67" ht="15.75" customHeight="1" x14ac:dyDescent="0.3">
      <c r="A213" s="88"/>
      <c r="BG213" s="89"/>
      <c r="BH213" s="89"/>
      <c r="BI213" s="89"/>
      <c r="BJ213" s="89"/>
      <c r="BK213" s="89"/>
      <c r="BL213" s="89"/>
      <c r="BM213" s="89"/>
      <c r="BN213" s="89"/>
      <c r="BO213" s="89"/>
    </row>
    <row r="214" spans="1:67" ht="15.75" customHeight="1" x14ac:dyDescent="0.3">
      <c r="A214" s="88"/>
      <c r="BG214" s="89"/>
      <c r="BH214" s="89"/>
      <c r="BI214" s="89"/>
      <c r="BJ214" s="89"/>
      <c r="BK214" s="89"/>
      <c r="BL214" s="89"/>
      <c r="BM214" s="89"/>
      <c r="BN214" s="89"/>
      <c r="BO214" s="89"/>
    </row>
    <row r="215" spans="1:67" ht="15.75" customHeight="1" x14ac:dyDescent="0.3">
      <c r="A215" s="88"/>
      <c r="BG215" s="89"/>
      <c r="BH215" s="89"/>
      <c r="BI215" s="89"/>
      <c r="BJ215" s="89"/>
      <c r="BK215" s="89"/>
      <c r="BL215" s="89"/>
      <c r="BM215" s="89"/>
      <c r="BN215" s="89"/>
      <c r="BO215" s="89"/>
    </row>
    <row r="216" spans="1:67" ht="15.75" customHeight="1" x14ac:dyDescent="0.3">
      <c r="A216" s="88"/>
      <c r="BG216" s="89"/>
      <c r="BH216" s="89"/>
      <c r="BI216" s="89"/>
      <c r="BJ216" s="89"/>
      <c r="BK216" s="89"/>
      <c r="BL216" s="89"/>
      <c r="BM216" s="89"/>
      <c r="BN216" s="89"/>
      <c r="BO216" s="89"/>
    </row>
    <row r="217" spans="1:67" ht="15.75" customHeight="1" x14ac:dyDescent="0.3">
      <c r="A217" s="88"/>
      <c r="BG217" s="89"/>
      <c r="BH217" s="89"/>
      <c r="BI217" s="89"/>
      <c r="BJ217" s="89"/>
      <c r="BK217" s="89"/>
      <c r="BL217" s="89"/>
      <c r="BM217" s="89"/>
      <c r="BN217" s="89"/>
      <c r="BO217" s="89"/>
    </row>
    <row r="218" spans="1:67" ht="15.75" customHeight="1" x14ac:dyDescent="0.3">
      <c r="A218" s="88"/>
      <c r="BG218" s="89"/>
      <c r="BH218" s="89"/>
      <c r="BI218" s="89"/>
      <c r="BJ218" s="89"/>
      <c r="BK218" s="89"/>
      <c r="BL218" s="89"/>
      <c r="BM218" s="89"/>
      <c r="BN218" s="89"/>
      <c r="BO218" s="89"/>
    </row>
    <row r="219" spans="1:67" ht="15.75" customHeight="1" x14ac:dyDescent="0.3">
      <c r="A219" s="88"/>
      <c r="BG219" s="89"/>
      <c r="BH219" s="89"/>
      <c r="BI219" s="89"/>
      <c r="BJ219" s="89"/>
      <c r="BK219" s="89"/>
      <c r="BL219" s="89"/>
      <c r="BM219" s="89"/>
      <c r="BN219" s="89"/>
      <c r="BO219" s="89"/>
    </row>
    <row r="220" spans="1:67" ht="15.75" customHeight="1" x14ac:dyDescent="0.3">
      <c r="A220" s="88"/>
      <c r="BG220" s="89"/>
      <c r="BH220" s="89"/>
      <c r="BI220" s="89"/>
      <c r="BJ220" s="89"/>
      <c r="BK220" s="89"/>
      <c r="BL220" s="89"/>
      <c r="BM220" s="89"/>
      <c r="BN220" s="89"/>
      <c r="BO220" s="89"/>
    </row>
    <row r="221" spans="1:67" ht="15.75" customHeight="1" x14ac:dyDescent="0.3">
      <c r="A221" s="88"/>
      <c r="BG221" s="89"/>
      <c r="BH221" s="89"/>
      <c r="BI221" s="89"/>
      <c r="BJ221" s="89"/>
      <c r="BK221" s="89"/>
      <c r="BL221" s="89"/>
      <c r="BM221" s="89"/>
      <c r="BN221" s="89"/>
      <c r="BO221" s="89"/>
    </row>
    <row r="222" spans="1:67" ht="15.75" customHeight="1" x14ac:dyDescent="0.3">
      <c r="A222" s="88"/>
      <c r="BG222" s="89"/>
      <c r="BH222" s="89"/>
      <c r="BI222" s="89"/>
      <c r="BJ222" s="89"/>
      <c r="BK222" s="89"/>
      <c r="BL222" s="89"/>
      <c r="BM222" s="89"/>
      <c r="BN222" s="89"/>
      <c r="BO222" s="89"/>
    </row>
    <row r="223" spans="1:67" ht="15.75" customHeight="1" x14ac:dyDescent="0.3">
      <c r="A223" s="88"/>
      <c r="BG223" s="89"/>
      <c r="BH223" s="89"/>
      <c r="BI223" s="89"/>
      <c r="BJ223" s="89"/>
      <c r="BK223" s="89"/>
      <c r="BL223" s="89"/>
      <c r="BM223" s="89"/>
      <c r="BN223" s="89"/>
      <c r="BO223" s="89"/>
    </row>
    <row r="224" spans="1:67" ht="15.75" customHeight="1" x14ac:dyDescent="0.3">
      <c r="A224" s="88"/>
      <c r="BG224" s="89"/>
      <c r="BH224" s="89"/>
      <c r="BI224" s="89"/>
      <c r="BJ224" s="89"/>
      <c r="BK224" s="89"/>
      <c r="BL224" s="89"/>
      <c r="BM224" s="89"/>
      <c r="BN224" s="89"/>
      <c r="BO224" s="89"/>
    </row>
    <row r="225" spans="1:67" ht="15.75" customHeight="1" x14ac:dyDescent="0.3">
      <c r="A225" s="88"/>
      <c r="BG225" s="89"/>
      <c r="BH225" s="89"/>
      <c r="BI225" s="89"/>
      <c r="BJ225" s="89"/>
      <c r="BK225" s="89"/>
      <c r="BL225" s="89"/>
      <c r="BM225" s="89"/>
      <c r="BN225" s="89"/>
      <c r="BO225" s="89"/>
    </row>
    <row r="226" spans="1:67" ht="15.75" customHeight="1" x14ac:dyDescent="0.3">
      <c r="A226" s="88"/>
      <c r="BG226" s="89"/>
      <c r="BH226" s="89"/>
      <c r="BI226" s="89"/>
      <c r="BJ226" s="89"/>
      <c r="BK226" s="89"/>
      <c r="BL226" s="89"/>
      <c r="BM226" s="89"/>
      <c r="BN226" s="89"/>
      <c r="BO226" s="89"/>
    </row>
    <row r="227" spans="1:67" ht="15.75" customHeight="1" x14ac:dyDescent="0.3">
      <c r="A227" s="88"/>
      <c r="BG227" s="89"/>
      <c r="BH227" s="89"/>
      <c r="BI227" s="89"/>
      <c r="BJ227" s="89"/>
      <c r="BK227" s="89"/>
      <c r="BL227" s="89"/>
      <c r="BM227" s="89"/>
      <c r="BN227" s="89"/>
      <c r="BO227" s="89"/>
    </row>
    <row r="228" spans="1:67" ht="15.75" customHeight="1" x14ac:dyDescent="0.3">
      <c r="A228" s="88"/>
      <c r="BG228" s="89"/>
      <c r="BH228" s="89"/>
      <c r="BI228" s="89"/>
      <c r="BJ228" s="89"/>
      <c r="BK228" s="89"/>
      <c r="BL228" s="89"/>
      <c r="BM228" s="89"/>
      <c r="BN228" s="89"/>
      <c r="BO228" s="89"/>
    </row>
    <row r="229" spans="1:67" ht="15.75" customHeight="1" x14ac:dyDescent="0.3">
      <c r="A229" s="88"/>
      <c r="BG229" s="89"/>
      <c r="BH229" s="89"/>
      <c r="BI229" s="89"/>
      <c r="BJ229" s="89"/>
      <c r="BK229" s="89"/>
      <c r="BL229" s="89"/>
      <c r="BM229" s="89"/>
      <c r="BN229" s="89"/>
      <c r="BO229" s="89"/>
    </row>
    <row r="230" spans="1:67" ht="15.75" customHeight="1" x14ac:dyDescent="0.3">
      <c r="A230" s="88"/>
      <c r="BG230" s="89"/>
      <c r="BH230" s="89"/>
      <c r="BI230" s="89"/>
      <c r="BJ230" s="89"/>
      <c r="BK230" s="89"/>
      <c r="BL230" s="89"/>
      <c r="BM230" s="89"/>
      <c r="BN230" s="89"/>
      <c r="BO230" s="89"/>
    </row>
    <row r="231" spans="1:67" ht="15.75" customHeight="1" x14ac:dyDescent="0.3">
      <c r="A231" s="88"/>
      <c r="BG231" s="89"/>
      <c r="BH231" s="89"/>
      <c r="BI231" s="89"/>
      <c r="BJ231" s="89"/>
      <c r="BK231" s="89"/>
      <c r="BL231" s="89"/>
      <c r="BM231" s="89"/>
      <c r="BN231" s="89"/>
      <c r="BO231" s="89"/>
    </row>
    <row r="232" spans="1:67" ht="15.75" customHeight="1" x14ac:dyDescent="0.3">
      <c r="A232" s="88"/>
      <c r="BG232" s="89"/>
      <c r="BH232" s="89"/>
      <c r="BI232" s="89"/>
      <c r="BJ232" s="89"/>
      <c r="BK232" s="89"/>
      <c r="BL232" s="89"/>
      <c r="BM232" s="89"/>
      <c r="BN232" s="89"/>
      <c r="BO232" s="89"/>
    </row>
    <row r="233" spans="1:67" ht="15.75" customHeight="1" x14ac:dyDescent="0.3">
      <c r="A233" s="88"/>
      <c r="BG233" s="89"/>
      <c r="BH233" s="89"/>
      <c r="BI233" s="89"/>
      <c r="BJ233" s="89"/>
      <c r="BK233" s="89"/>
      <c r="BL233" s="89"/>
      <c r="BM233" s="89"/>
      <c r="BN233" s="89"/>
      <c r="BO233" s="89"/>
    </row>
    <row r="234" spans="1:67" ht="15.75" customHeight="1" x14ac:dyDescent="0.3">
      <c r="A234" s="88"/>
      <c r="BG234" s="89"/>
      <c r="BH234" s="89"/>
      <c r="BI234" s="89"/>
      <c r="BJ234" s="89"/>
      <c r="BK234" s="89"/>
      <c r="BL234" s="89"/>
      <c r="BM234" s="89"/>
      <c r="BN234" s="89"/>
      <c r="BO234" s="89"/>
    </row>
    <row r="235" spans="1:67" ht="15.75" customHeight="1" x14ac:dyDescent="0.3">
      <c r="A235" s="88"/>
      <c r="BG235" s="89"/>
      <c r="BH235" s="89"/>
      <c r="BI235" s="89"/>
      <c r="BJ235" s="89"/>
      <c r="BK235" s="89"/>
      <c r="BL235" s="89"/>
      <c r="BM235" s="89"/>
      <c r="BN235" s="89"/>
      <c r="BO235" s="89"/>
    </row>
    <row r="236" spans="1:67" ht="15.75" customHeight="1" x14ac:dyDescent="0.3">
      <c r="A236" s="88"/>
      <c r="BG236" s="89"/>
      <c r="BH236" s="89"/>
      <c r="BI236" s="89"/>
      <c r="BJ236" s="89"/>
      <c r="BK236" s="89"/>
      <c r="BL236" s="89"/>
      <c r="BM236" s="89"/>
      <c r="BN236" s="89"/>
      <c r="BO236" s="89"/>
    </row>
    <row r="237" spans="1:67" ht="15.75" customHeight="1" x14ac:dyDescent="0.3">
      <c r="A237" s="88"/>
      <c r="BG237" s="89"/>
      <c r="BH237" s="89"/>
      <c r="BI237" s="89"/>
      <c r="BJ237" s="89"/>
      <c r="BK237" s="89"/>
      <c r="BL237" s="89"/>
      <c r="BM237" s="89"/>
      <c r="BN237" s="89"/>
      <c r="BO237" s="89"/>
    </row>
    <row r="238" spans="1:67" ht="15.75" customHeight="1" x14ac:dyDescent="0.3">
      <c r="A238" s="88"/>
      <c r="BG238" s="89"/>
      <c r="BH238" s="89"/>
      <c r="BI238" s="89"/>
      <c r="BJ238" s="89"/>
      <c r="BK238" s="89"/>
      <c r="BL238" s="89"/>
      <c r="BM238" s="89"/>
      <c r="BN238" s="89"/>
      <c r="BO238" s="89"/>
    </row>
    <row r="239" spans="1:67" ht="15.75" customHeight="1" x14ac:dyDescent="0.3">
      <c r="A239" s="88"/>
      <c r="BG239" s="89"/>
      <c r="BH239" s="89"/>
      <c r="BI239" s="89"/>
      <c r="BJ239" s="89"/>
      <c r="BK239" s="89"/>
      <c r="BL239" s="89"/>
      <c r="BM239" s="89"/>
      <c r="BN239" s="89"/>
      <c r="BO239" s="89"/>
    </row>
    <row r="240" spans="1:67" ht="15.75" customHeight="1" x14ac:dyDescent="0.3">
      <c r="A240" s="88"/>
      <c r="BG240" s="89"/>
      <c r="BH240" s="89"/>
      <c r="BI240" s="89"/>
      <c r="BJ240" s="89"/>
      <c r="BK240" s="89"/>
      <c r="BL240" s="89"/>
      <c r="BM240" s="89"/>
      <c r="BN240" s="89"/>
      <c r="BO240" s="89"/>
    </row>
    <row r="241" spans="1:67" ht="15.75" customHeight="1" x14ac:dyDescent="0.3">
      <c r="A241" s="88"/>
      <c r="BG241" s="89"/>
      <c r="BH241" s="89"/>
      <c r="BI241" s="89"/>
      <c r="BJ241" s="89"/>
      <c r="BK241" s="89"/>
      <c r="BL241" s="89"/>
      <c r="BM241" s="89"/>
      <c r="BN241" s="89"/>
      <c r="BO241" s="89"/>
    </row>
    <row r="242" spans="1:67" ht="15.75" customHeight="1" x14ac:dyDescent="0.3">
      <c r="A242" s="88"/>
      <c r="BG242" s="89"/>
      <c r="BH242" s="89"/>
      <c r="BI242" s="89"/>
      <c r="BJ242" s="89"/>
      <c r="BK242" s="89"/>
      <c r="BL242" s="89"/>
      <c r="BM242" s="89"/>
      <c r="BN242" s="89"/>
      <c r="BO242" s="89"/>
    </row>
    <row r="243" spans="1:67" ht="15.75" customHeight="1" x14ac:dyDescent="0.3">
      <c r="A243" s="88"/>
      <c r="BG243" s="89"/>
      <c r="BH243" s="89"/>
      <c r="BI243" s="89"/>
      <c r="BJ243" s="89"/>
      <c r="BK243" s="89"/>
      <c r="BL243" s="89"/>
      <c r="BM243" s="89"/>
      <c r="BN243" s="89"/>
      <c r="BO243" s="89"/>
    </row>
    <row r="244" spans="1:67" ht="15.75" customHeight="1" x14ac:dyDescent="0.3">
      <c r="A244" s="88"/>
      <c r="BG244" s="89"/>
      <c r="BH244" s="89"/>
      <c r="BI244" s="89"/>
      <c r="BJ244" s="89"/>
      <c r="BK244" s="89"/>
      <c r="BL244" s="89"/>
      <c r="BM244" s="89"/>
      <c r="BN244" s="89"/>
      <c r="BO244" s="89"/>
    </row>
    <row r="245" spans="1:67" ht="15.75" customHeight="1" x14ac:dyDescent="0.3">
      <c r="A245" s="88"/>
      <c r="BG245" s="89"/>
      <c r="BH245" s="89"/>
      <c r="BI245" s="89"/>
      <c r="BJ245" s="89"/>
      <c r="BK245" s="89"/>
      <c r="BL245" s="89"/>
      <c r="BM245" s="89"/>
      <c r="BN245" s="89"/>
      <c r="BO245" s="89"/>
    </row>
    <row r="246" spans="1:67" ht="15.75" customHeight="1" x14ac:dyDescent="0.3">
      <c r="A246" s="88"/>
      <c r="BG246" s="89"/>
      <c r="BH246" s="89"/>
      <c r="BI246" s="89"/>
      <c r="BJ246" s="89"/>
      <c r="BK246" s="89"/>
      <c r="BL246" s="89"/>
      <c r="BM246" s="89"/>
      <c r="BN246" s="89"/>
      <c r="BO246" s="89"/>
    </row>
    <row r="247" spans="1:67" ht="15.75" customHeight="1" x14ac:dyDescent="0.3">
      <c r="A247" s="88"/>
      <c r="BG247" s="89"/>
      <c r="BH247" s="89"/>
      <c r="BI247" s="89"/>
      <c r="BJ247" s="89"/>
      <c r="BK247" s="89"/>
      <c r="BL247" s="89"/>
      <c r="BM247" s="89"/>
      <c r="BN247" s="89"/>
      <c r="BO247" s="89"/>
    </row>
    <row r="248" spans="1:67" ht="15.75" customHeight="1" x14ac:dyDescent="0.3">
      <c r="A248" s="88"/>
      <c r="BG248" s="89"/>
      <c r="BH248" s="89"/>
      <c r="BI248" s="89"/>
      <c r="BJ248" s="89"/>
      <c r="BK248" s="89"/>
      <c r="BL248" s="89"/>
      <c r="BM248" s="89"/>
      <c r="BN248" s="89"/>
      <c r="BO248" s="89"/>
    </row>
    <row r="249" spans="1:67" ht="15.75" customHeight="1" x14ac:dyDescent="0.3">
      <c r="A249" s="88"/>
      <c r="BG249" s="89"/>
      <c r="BH249" s="89"/>
      <c r="BI249" s="89"/>
      <c r="BJ249" s="89"/>
      <c r="BK249" s="89"/>
      <c r="BL249" s="89"/>
      <c r="BM249" s="89"/>
      <c r="BN249" s="89"/>
      <c r="BO249" s="89"/>
    </row>
    <row r="250" spans="1:67" ht="15.75" customHeight="1" x14ac:dyDescent="0.3">
      <c r="A250" s="88"/>
      <c r="BG250" s="89"/>
      <c r="BH250" s="89"/>
      <c r="BI250" s="89"/>
      <c r="BJ250" s="89"/>
      <c r="BK250" s="89"/>
      <c r="BL250" s="89"/>
      <c r="BM250" s="89"/>
      <c r="BN250" s="89"/>
      <c r="BO250" s="89"/>
    </row>
    <row r="251" spans="1:67" ht="15.75" customHeight="1" x14ac:dyDescent="0.3">
      <c r="A251" s="88"/>
      <c r="BG251" s="89"/>
      <c r="BH251" s="89"/>
      <c r="BI251" s="89"/>
      <c r="BJ251" s="89"/>
      <c r="BK251" s="89"/>
      <c r="BL251" s="89"/>
      <c r="BM251" s="89"/>
      <c r="BN251" s="89"/>
      <c r="BO251" s="89"/>
    </row>
    <row r="252" spans="1:67" ht="15.75" customHeight="1" x14ac:dyDescent="0.3">
      <c r="A252" s="88"/>
      <c r="BG252" s="89"/>
      <c r="BH252" s="89"/>
      <c r="BI252" s="89"/>
      <c r="BJ252" s="89"/>
      <c r="BK252" s="89"/>
      <c r="BL252" s="89"/>
      <c r="BM252" s="89"/>
      <c r="BN252" s="89"/>
      <c r="BO252" s="89"/>
    </row>
    <row r="253" spans="1:67" ht="15.75" customHeight="1" x14ac:dyDescent="0.3">
      <c r="A253" s="88"/>
      <c r="BG253" s="89"/>
      <c r="BH253" s="89"/>
      <c r="BI253" s="89"/>
      <c r="BJ253" s="89"/>
      <c r="BK253" s="89"/>
      <c r="BL253" s="89"/>
      <c r="BM253" s="89"/>
      <c r="BN253" s="89"/>
      <c r="BO253" s="89"/>
    </row>
    <row r="254" spans="1:67" ht="15.75" customHeight="1" x14ac:dyDescent="0.3">
      <c r="A254" s="88"/>
      <c r="BG254" s="89"/>
      <c r="BH254" s="89"/>
      <c r="BI254" s="89"/>
      <c r="BJ254" s="89"/>
      <c r="BK254" s="89"/>
      <c r="BL254" s="89"/>
      <c r="BM254" s="89"/>
      <c r="BN254" s="89"/>
      <c r="BO254" s="89"/>
    </row>
    <row r="255" spans="1:67" ht="15.75" customHeight="1" x14ac:dyDescent="0.3">
      <c r="A255" s="88"/>
      <c r="BG255" s="89"/>
      <c r="BH255" s="89"/>
      <c r="BI255" s="89"/>
      <c r="BJ255" s="89"/>
      <c r="BK255" s="89"/>
      <c r="BL255" s="89"/>
      <c r="BM255" s="89"/>
      <c r="BN255" s="89"/>
      <c r="BO255" s="89"/>
    </row>
    <row r="256" spans="1:67" ht="15.75" customHeight="1" x14ac:dyDescent="0.3">
      <c r="A256" s="88"/>
      <c r="BG256" s="89"/>
      <c r="BH256" s="89"/>
      <c r="BI256" s="89"/>
      <c r="BJ256" s="89"/>
      <c r="BK256" s="89"/>
      <c r="BL256" s="89"/>
      <c r="BM256" s="89"/>
      <c r="BN256" s="89"/>
      <c r="BO256" s="89"/>
    </row>
    <row r="257" spans="1:67" ht="15.75" customHeight="1" x14ac:dyDescent="0.3">
      <c r="A257" s="88"/>
      <c r="BG257" s="89"/>
      <c r="BH257" s="89"/>
      <c r="BI257" s="89"/>
      <c r="BJ257" s="89"/>
      <c r="BK257" s="89"/>
      <c r="BL257" s="89"/>
      <c r="BM257" s="89"/>
      <c r="BN257" s="89"/>
      <c r="BO257" s="89"/>
    </row>
    <row r="258" spans="1:67" ht="15.75" customHeight="1" x14ac:dyDescent="0.3">
      <c r="A258" s="88"/>
      <c r="BG258" s="89"/>
      <c r="BH258" s="89"/>
      <c r="BI258" s="89"/>
      <c r="BJ258" s="89"/>
      <c r="BK258" s="89"/>
      <c r="BL258" s="89"/>
      <c r="BM258" s="89"/>
      <c r="BN258" s="89"/>
      <c r="BO258" s="89"/>
    </row>
    <row r="259" spans="1:67" ht="15.75" customHeight="1" x14ac:dyDescent="0.3">
      <c r="A259" s="88"/>
      <c r="BG259" s="89"/>
      <c r="BH259" s="89"/>
      <c r="BI259" s="89"/>
      <c r="BJ259" s="89"/>
      <c r="BK259" s="89"/>
      <c r="BL259" s="89"/>
      <c r="BM259" s="89"/>
      <c r="BN259" s="89"/>
      <c r="BO259" s="89"/>
    </row>
    <row r="260" spans="1:67" ht="15.75" customHeight="1" x14ac:dyDescent="0.3">
      <c r="A260" s="88"/>
      <c r="BG260" s="89"/>
      <c r="BH260" s="89"/>
      <c r="BI260" s="89"/>
      <c r="BJ260" s="89"/>
      <c r="BK260" s="89"/>
      <c r="BL260" s="89"/>
      <c r="BM260" s="89"/>
      <c r="BN260" s="89"/>
      <c r="BO260" s="89"/>
    </row>
    <row r="261" spans="1:67" ht="15.75" customHeight="1" x14ac:dyDescent="0.3">
      <c r="A261" s="88"/>
      <c r="BG261" s="89"/>
      <c r="BH261" s="89"/>
      <c r="BI261" s="89"/>
      <c r="BJ261" s="89"/>
      <c r="BK261" s="89"/>
      <c r="BL261" s="89"/>
      <c r="BM261" s="89"/>
      <c r="BN261" s="89"/>
      <c r="BO261" s="89"/>
    </row>
    <row r="262" spans="1:67" ht="15.75" customHeight="1" x14ac:dyDescent="0.3">
      <c r="A262" s="88"/>
      <c r="BG262" s="89"/>
      <c r="BH262" s="89"/>
      <c r="BI262" s="89"/>
      <c r="BJ262" s="89"/>
      <c r="BK262" s="89"/>
      <c r="BL262" s="89"/>
      <c r="BM262" s="89"/>
      <c r="BN262" s="89"/>
      <c r="BO262" s="89"/>
    </row>
    <row r="263" spans="1:67" ht="15.75" customHeight="1" x14ac:dyDescent="0.3">
      <c r="A263" s="88"/>
      <c r="BG263" s="89"/>
      <c r="BH263" s="89"/>
      <c r="BI263" s="89"/>
      <c r="BJ263" s="89"/>
      <c r="BK263" s="89"/>
      <c r="BL263" s="89"/>
      <c r="BM263" s="89"/>
      <c r="BN263" s="89"/>
      <c r="BO263" s="89"/>
    </row>
    <row r="264" spans="1:67" ht="15.75" customHeight="1" x14ac:dyDescent="0.3">
      <c r="A264" s="88"/>
      <c r="BG264" s="89"/>
      <c r="BH264" s="89"/>
      <c r="BI264" s="89"/>
      <c r="BJ264" s="89"/>
      <c r="BK264" s="89"/>
      <c r="BL264" s="89"/>
      <c r="BM264" s="89"/>
      <c r="BN264" s="89"/>
      <c r="BO264" s="89"/>
    </row>
    <row r="265" spans="1:67" ht="15.75" customHeight="1" x14ac:dyDescent="0.3">
      <c r="A265" s="88"/>
      <c r="BG265" s="89"/>
      <c r="BH265" s="89"/>
      <c r="BI265" s="89"/>
      <c r="BJ265" s="89"/>
      <c r="BK265" s="89"/>
      <c r="BL265" s="89"/>
      <c r="BM265" s="89"/>
      <c r="BN265" s="89"/>
      <c r="BO265" s="89"/>
    </row>
    <row r="266" spans="1:67" ht="15.75" customHeight="1" x14ac:dyDescent="0.3">
      <c r="A266" s="88"/>
      <c r="BG266" s="89"/>
      <c r="BH266" s="89"/>
      <c r="BI266" s="89"/>
      <c r="BJ266" s="89"/>
      <c r="BK266" s="89"/>
      <c r="BL266" s="89"/>
      <c r="BM266" s="89"/>
      <c r="BN266" s="89"/>
      <c r="BO266" s="89"/>
    </row>
    <row r="267" spans="1:67" ht="15.75" customHeight="1" x14ac:dyDescent="0.3">
      <c r="A267" s="88"/>
      <c r="BG267" s="89"/>
      <c r="BH267" s="89"/>
      <c r="BI267" s="89"/>
      <c r="BJ267" s="89"/>
      <c r="BK267" s="89"/>
      <c r="BL267" s="89"/>
      <c r="BM267" s="89"/>
      <c r="BN267" s="89"/>
      <c r="BO267" s="89"/>
    </row>
    <row r="268" spans="1:67" ht="15.75" customHeight="1" x14ac:dyDescent="0.3">
      <c r="A268" s="88"/>
      <c r="BG268" s="89"/>
      <c r="BH268" s="89"/>
      <c r="BI268" s="89"/>
      <c r="BJ268" s="89"/>
      <c r="BK268" s="89"/>
      <c r="BL268" s="89"/>
      <c r="BM268" s="89"/>
      <c r="BN268" s="89"/>
      <c r="BO268" s="89"/>
    </row>
    <row r="269" spans="1:67" ht="15.75" customHeight="1" x14ac:dyDescent="0.3">
      <c r="A269" s="88"/>
      <c r="BG269" s="89"/>
      <c r="BH269" s="89"/>
      <c r="BI269" s="89"/>
      <c r="BJ269" s="89"/>
      <c r="BK269" s="89"/>
      <c r="BL269" s="89"/>
      <c r="BM269" s="89"/>
      <c r="BN269" s="89"/>
      <c r="BO269" s="89"/>
    </row>
    <row r="270" spans="1:67" ht="15.75" customHeight="1" x14ac:dyDescent="0.3">
      <c r="A270" s="88"/>
      <c r="BG270" s="89"/>
      <c r="BH270" s="89"/>
      <c r="BI270" s="89"/>
      <c r="BJ270" s="89"/>
      <c r="BK270" s="89"/>
      <c r="BL270" s="89"/>
      <c r="BM270" s="89"/>
      <c r="BN270" s="89"/>
      <c r="BO270" s="89"/>
    </row>
    <row r="271" spans="1:67" ht="15.75" customHeight="1" x14ac:dyDescent="0.3">
      <c r="A271" s="88"/>
      <c r="BG271" s="89"/>
      <c r="BH271" s="89"/>
      <c r="BI271" s="89"/>
      <c r="BJ271" s="89"/>
      <c r="BK271" s="89"/>
      <c r="BL271" s="89"/>
      <c r="BM271" s="89"/>
      <c r="BN271" s="89"/>
      <c r="BO271" s="89"/>
    </row>
    <row r="272" spans="1:67" ht="15.75" customHeight="1" x14ac:dyDescent="0.3">
      <c r="A272" s="88"/>
      <c r="BG272" s="89"/>
      <c r="BH272" s="89"/>
      <c r="BI272" s="89"/>
      <c r="BJ272" s="89"/>
      <c r="BK272" s="89"/>
      <c r="BL272" s="89"/>
      <c r="BM272" s="89"/>
      <c r="BN272" s="89"/>
      <c r="BO272" s="89"/>
    </row>
    <row r="273" spans="1:67" ht="15.75" customHeight="1" x14ac:dyDescent="0.3">
      <c r="A273" s="88"/>
      <c r="BG273" s="89"/>
      <c r="BH273" s="89"/>
      <c r="BI273" s="89"/>
      <c r="BJ273" s="89"/>
      <c r="BK273" s="89"/>
      <c r="BL273" s="89"/>
      <c r="BM273" s="89"/>
      <c r="BN273" s="89"/>
      <c r="BO273" s="89"/>
    </row>
    <row r="274" spans="1:67" ht="15.75" customHeight="1" x14ac:dyDescent="0.3">
      <c r="A274" s="88"/>
      <c r="BG274" s="89"/>
      <c r="BH274" s="89"/>
      <c r="BI274" s="89"/>
      <c r="BJ274" s="89"/>
      <c r="BK274" s="89"/>
      <c r="BL274" s="89"/>
      <c r="BM274" s="89"/>
      <c r="BN274" s="89"/>
      <c r="BO274" s="89"/>
    </row>
    <row r="275" spans="1:67" ht="15.75" customHeight="1" x14ac:dyDescent="0.3">
      <c r="A275" s="88"/>
      <c r="BG275" s="89"/>
      <c r="BH275" s="89"/>
      <c r="BI275" s="89"/>
      <c r="BJ275" s="89"/>
      <c r="BK275" s="89"/>
      <c r="BL275" s="89"/>
      <c r="BM275" s="89"/>
      <c r="BN275" s="89"/>
      <c r="BO275" s="89"/>
    </row>
    <row r="276" spans="1:67" ht="15.75" customHeight="1" x14ac:dyDescent="0.3">
      <c r="A276" s="88"/>
      <c r="BG276" s="89"/>
      <c r="BH276" s="89"/>
      <c r="BI276" s="89"/>
      <c r="BJ276" s="89"/>
      <c r="BK276" s="89"/>
      <c r="BL276" s="89"/>
      <c r="BM276" s="89"/>
      <c r="BN276" s="89"/>
      <c r="BO276" s="89"/>
    </row>
    <row r="277" spans="1:67" ht="15.75" customHeight="1" x14ac:dyDescent="0.3">
      <c r="A277" s="88"/>
      <c r="BG277" s="89"/>
      <c r="BH277" s="89"/>
      <c r="BI277" s="89"/>
      <c r="BJ277" s="89"/>
      <c r="BK277" s="89"/>
      <c r="BL277" s="89"/>
      <c r="BM277" s="89"/>
      <c r="BN277" s="89"/>
      <c r="BO277" s="89"/>
    </row>
    <row r="278" spans="1:67" ht="15.75" customHeight="1" x14ac:dyDescent="0.3">
      <c r="A278" s="88"/>
      <c r="BG278" s="89"/>
      <c r="BH278" s="89"/>
      <c r="BI278" s="89"/>
      <c r="BJ278" s="89"/>
      <c r="BK278" s="89"/>
      <c r="BL278" s="89"/>
      <c r="BM278" s="89"/>
      <c r="BN278" s="89"/>
      <c r="BO278" s="89"/>
    </row>
    <row r="279" spans="1:67" ht="15.75" customHeight="1" x14ac:dyDescent="0.3">
      <c r="A279" s="88"/>
      <c r="BG279" s="89"/>
      <c r="BH279" s="89"/>
      <c r="BI279" s="89"/>
      <c r="BJ279" s="89"/>
      <c r="BK279" s="89"/>
      <c r="BL279" s="89"/>
      <c r="BM279" s="89"/>
      <c r="BN279" s="89"/>
      <c r="BO279" s="89"/>
    </row>
    <row r="280" spans="1:67" ht="15.75" customHeight="1" x14ac:dyDescent="0.3">
      <c r="A280" s="88"/>
      <c r="BG280" s="89"/>
      <c r="BH280" s="89"/>
      <c r="BI280" s="89"/>
      <c r="BJ280" s="89"/>
      <c r="BK280" s="89"/>
      <c r="BL280" s="89"/>
      <c r="BM280" s="89"/>
      <c r="BN280" s="89"/>
      <c r="BO280" s="89"/>
    </row>
    <row r="281" spans="1:67" ht="15.75" customHeight="1" x14ac:dyDescent="0.3">
      <c r="A281" s="88"/>
      <c r="BG281" s="89"/>
      <c r="BH281" s="89"/>
      <c r="BI281" s="89"/>
      <c r="BJ281" s="89"/>
      <c r="BK281" s="89"/>
      <c r="BL281" s="89"/>
      <c r="BM281" s="89"/>
      <c r="BN281" s="89"/>
      <c r="BO281" s="89"/>
    </row>
    <row r="282" spans="1:67" ht="15.75" customHeight="1" x14ac:dyDescent="0.3">
      <c r="A282" s="88"/>
      <c r="BG282" s="89"/>
      <c r="BH282" s="89"/>
      <c r="BI282" s="89"/>
      <c r="BJ282" s="89"/>
      <c r="BK282" s="89"/>
      <c r="BL282" s="89"/>
      <c r="BM282" s="89"/>
      <c r="BN282" s="89"/>
      <c r="BO282" s="89"/>
    </row>
    <row r="283" spans="1:67" ht="15.75" customHeight="1" x14ac:dyDescent="0.3">
      <c r="A283" s="88"/>
      <c r="BG283" s="89"/>
      <c r="BH283" s="89"/>
      <c r="BI283" s="89"/>
      <c r="BJ283" s="89"/>
      <c r="BK283" s="89"/>
      <c r="BL283" s="89"/>
      <c r="BM283" s="89"/>
      <c r="BN283" s="89"/>
      <c r="BO283" s="89"/>
    </row>
    <row r="284" spans="1:67" ht="15.75" customHeight="1" x14ac:dyDescent="0.3">
      <c r="A284" s="88"/>
      <c r="BG284" s="89"/>
      <c r="BH284" s="89"/>
      <c r="BI284" s="89"/>
      <c r="BJ284" s="89"/>
      <c r="BK284" s="89"/>
      <c r="BL284" s="89"/>
      <c r="BM284" s="89"/>
      <c r="BN284" s="89"/>
      <c r="BO284" s="89"/>
    </row>
    <row r="285" spans="1:67" ht="15.75" customHeight="1" x14ac:dyDescent="0.3">
      <c r="A285" s="88"/>
      <c r="BG285" s="89"/>
      <c r="BH285" s="89"/>
      <c r="BI285" s="89"/>
      <c r="BJ285" s="89"/>
      <c r="BK285" s="89"/>
      <c r="BL285" s="89"/>
      <c r="BM285" s="89"/>
      <c r="BN285" s="89"/>
      <c r="BO285" s="89"/>
    </row>
    <row r="286" spans="1:67" ht="15.75" customHeight="1" x14ac:dyDescent="0.3">
      <c r="A286" s="88"/>
      <c r="BG286" s="89"/>
      <c r="BH286" s="89"/>
      <c r="BI286" s="89"/>
      <c r="BJ286" s="89"/>
      <c r="BK286" s="89"/>
      <c r="BL286" s="89"/>
      <c r="BM286" s="89"/>
      <c r="BN286" s="89"/>
      <c r="BO286" s="89"/>
    </row>
    <row r="287" spans="1:67" ht="15.75" customHeight="1" x14ac:dyDescent="0.3">
      <c r="A287" s="88"/>
      <c r="BG287" s="89"/>
      <c r="BH287" s="89"/>
      <c r="BI287" s="89"/>
      <c r="BJ287" s="89"/>
      <c r="BK287" s="89"/>
      <c r="BL287" s="89"/>
      <c r="BM287" s="89"/>
      <c r="BN287" s="89"/>
      <c r="BO287" s="89"/>
    </row>
    <row r="288" spans="1:67" ht="15.75" customHeight="1" x14ac:dyDescent="0.3">
      <c r="A288" s="88"/>
      <c r="BG288" s="89"/>
      <c r="BH288" s="89"/>
      <c r="BI288" s="89"/>
      <c r="BJ288" s="89"/>
      <c r="BK288" s="89"/>
      <c r="BL288" s="89"/>
      <c r="BM288" s="89"/>
      <c r="BN288" s="89"/>
      <c r="BO288" s="89"/>
    </row>
    <row r="289" spans="1:67" ht="15.75" customHeight="1" x14ac:dyDescent="0.3">
      <c r="A289" s="88"/>
      <c r="BG289" s="89"/>
      <c r="BH289" s="89"/>
      <c r="BI289" s="89"/>
      <c r="BJ289" s="89"/>
      <c r="BK289" s="89"/>
      <c r="BL289" s="89"/>
      <c r="BM289" s="89"/>
      <c r="BN289" s="89"/>
      <c r="BO289" s="89"/>
    </row>
    <row r="290" spans="1:67" ht="15.75" customHeight="1" x14ac:dyDescent="0.3">
      <c r="A290" s="88"/>
      <c r="BG290" s="89"/>
      <c r="BH290" s="89"/>
      <c r="BI290" s="89"/>
      <c r="BJ290" s="89"/>
      <c r="BK290" s="89"/>
      <c r="BL290" s="89"/>
      <c r="BM290" s="89"/>
      <c r="BN290" s="89"/>
      <c r="BO290" s="89"/>
    </row>
    <row r="291" spans="1:67" ht="15.75" customHeight="1" x14ac:dyDescent="0.3">
      <c r="A291" s="88"/>
      <c r="BG291" s="89"/>
      <c r="BH291" s="89"/>
      <c r="BI291" s="89"/>
      <c r="BJ291" s="89"/>
      <c r="BK291" s="89"/>
      <c r="BL291" s="89"/>
      <c r="BM291" s="89"/>
      <c r="BN291" s="89"/>
      <c r="BO291" s="89"/>
    </row>
    <row r="292" spans="1:67" ht="15.75" customHeight="1" x14ac:dyDescent="0.3">
      <c r="A292" s="88"/>
      <c r="BG292" s="89"/>
      <c r="BH292" s="89"/>
      <c r="BI292" s="89"/>
      <c r="BJ292" s="89"/>
      <c r="BK292" s="89"/>
      <c r="BL292" s="89"/>
      <c r="BM292" s="89"/>
      <c r="BN292" s="89"/>
      <c r="BO292" s="89"/>
    </row>
    <row r="293" spans="1:67" ht="15.75" customHeight="1" x14ac:dyDescent="0.3">
      <c r="A293" s="88"/>
      <c r="BG293" s="89"/>
      <c r="BH293" s="89"/>
      <c r="BI293" s="89"/>
      <c r="BJ293" s="89"/>
      <c r="BK293" s="89"/>
      <c r="BL293" s="89"/>
      <c r="BM293" s="89"/>
      <c r="BN293" s="89"/>
      <c r="BO293" s="89"/>
    </row>
    <row r="294" spans="1:67" ht="15.75" customHeight="1" x14ac:dyDescent="0.3">
      <c r="A294" s="88"/>
      <c r="BG294" s="89"/>
      <c r="BH294" s="89"/>
      <c r="BI294" s="89"/>
      <c r="BJ294" s="89"/>
      <c r="BK294" s="89"/>
      <c r="BL294" s="89"/>
      <c r="BM294" s="89"/>
      <c r="BN294" s="89"/>
      <c r="BO294" s="89"/>
    </row>
    <row r="295" spans="1:67" ht="15.75" customHeight="1" x14ac:dyDescent="0.3">
      <c r="A295" s="88"/>
      <c r="BG295" s="89"/>
      <c r="BH295" s="89"/>
      <c r="BI295" s="89"/>
      <c r="BJ295" s="89"/>
      <c r="BK295" s="89"/>
      <c r="BL295" s="89"/>
      <c r="BM295" s="89"/>
      <c r="BN295" s="89"/>
      <c r="BO295" s="89"/>
    </row>
    <row r="296" spans="1:67" ht="15.75" customHeight="1" x14ac:dyDescent="0.3">
      <c r="A296" s="88"/>
      <c r="BG296" s="89"/>
      <c r="BH296" s="89"/>
      <c r="BI296" s="89"/>
      <c r="BJ296" s="89"/>
      <c r="BK296" s="89"/>
      <c r="BL296" s="89"/>
      <c r="BM296" s="89"/>
      <c r="BN296" s="89"/>
      <c r="BO296" s="89"/>
    </row>
    <row r="297" spans="1:67" ht="15.75" customHeight="1" x14ac:dyDescent="0.3">
      <c r="A297" s="88"/>
      <c r="BG297" s="89"/>
      <c r="BH297" s="89"/>
      <c r="BI297" s="89"/>
      <c r="BJ297" s="89"/>
      <c r="BK297" s="89"/>
      <c r="BL297" s="89"/>
      <c r="BM297" s="89"/>
      <c r="BN297" s="89"/>
      <c r="BO297" s="89"/>
    </row>
    <row r="298" spans="1:67" ht="15.75" customHeight="1" x14ac:dyDescent="0.3">
      <c r="A298" s="88"/>
      <c r="BG298" s="89"/>
      <c r="BH298" s="89"/>
      <c r="BI298" s="89"/>
      <c r="BJ298" s="89"/>
      <c r="BK298" s="89"/>
      <c r="BL298" s="89"/>
      <c r="BM298" s="89"/>
      <c r="BN298" s="89"/>
      <c r="BO298" s="89"/>
    </row>
    <row r="299" spans="1:67" ht="15.75" customHeight="1" x14ac:dyDescent="0.3">
      <c r="A299" s="88"/>
      <c r="BG299" s="89"/>
      <c r="BH299" s="89"/>
      <c r="BI299" s="89"/>
      <c r="BJ299" s="89"/>
      <c r="BK299" s="89"/>
      <c r="BL299" s="89"/>
      <c r="BM299" s="89"/>
      <c r="BN299" s="89"/>
      <c r="BO299" s="89"/>
    </row>
    <row r="300" spans="1:67" ht="15.75" customHeight="1" x14ac:dyDescent="0.3">
      <c r="A300" s="88"/>
      <c r="BG300" s="89"/>
      <c r="BH300" s="89"/>
      <c r="BI300" s="89"/>
      <c r="BJ300" s="89"/>
      <c r="BK300" s="89"/>
      <c r="BL300" s="89"/>
      <c r="BM300" s="89"/>
      <c r="BN300" s="89"/>
      <c r="BO300" s="89"/>
    </row>
    <row r="301" spans="1:67" ht="15.75" customHeight="1" x14ac:dyDescent="0.3">
      <c r="A301" s="88"/>
      <c r="BG301" s="89"/>
      <c r="BH301" s="89"/>
      <c r="BI301" s="89"/>
      <c r="BJ301" s="89"/>
      <c r="BK301" s="89"/>
      <c r="BL301" s="89"/>
      <c r="BM301" s="89"/>
      <c r="BN301" s="89"/>
      <c r="BO301" s="89"/>
    </row>
    <row r="302" spans="1:67" ht="15.75" customHeight="1" x14ac:dyDescent="0.3">
      <c r="A302" s="88"/>
      <c r="BG302" s="89"/>
      <c r="BH302" s="89"/>
      <c r="BI302" s="89"/>
      <c r="BJ302" s="89"/>
      <c r="BK302" s="89"/>
      <c r="BL302" s="89"/>
      <c r="BM302" s="89"/>
      <c r="BN302" s="89"/>
      <c r="BO302" s="89"/>
    </row>
    <row r="303" spans="1:67" ht="15.75" customHeight="1" x14ac:dyDescent="0.3">
      <c r="A303" s="88"/>
      <c r="BG303" s="89"/>
      <c r="BH303" s="89"/>
      <c r="BI303" s="89"/>
      <c r="BJ303" s="89"/>
      <c r="BK303" s="89"/>
      <c r="BL303" s="89"/>
      <c r="BM303" s="89"/>
      <c r="BN303" s="89"/>
      <c r="BO303" s="89"/>
    </row>
    <row r="304" spans="1:67" ht="15.75" customHeight="1" x14ac:dyDescent="0.3">
      <c r="A304" s="88"/>
      <c r="BG304" s="89"/>
      <c r="BH304" s="89"/>
      <c r="BI304" s="89"/>
      <c r="BJ304" s="89"/>
      <c r="BK304" s="89"/>
      <c r="BL304" s="89"/>
      <c r="BM304" s="89"/>
      <c r="BN304" s="89"/>
      <c r="BO304" s="89"/>
    </row>
    <row r="305" spans="1:67" ht="15.75" customHeight="1" x14ac:dyDescent="0.3">
      <c r="A305" s="88"/>
      <c r="BG305" s="89"/>
      <c r="BH305" s="89"/>
      <c r="BI305" s="89"/>
      <c r="BJ305" s="89"/>
      <c r="BK305" s="89"/>
      <c r="BL305" s="89"/>
      <c r="BM305" s="89"/>
      <c r="BN305" s="89"/>
      <c r="BO305" s="89"/>
    </row>
    <row r="306" spans="1:67" ht="15.75" customHeight="1" x14ac:dyDescent="0.3">
      <c r="A306" s="88"/>
      <c r="BG306" s="89"/>
      <c r="BH306" s="89"/>
      <c r="BI306" s="89"/>
      <c r="BJ306" s="89"/>
      <c r="BK306" s="89"/>
      <c r="BL306" s="89"/>
      <c r="BM306" s="89"/>
      <c r="BN306" s="89"/>
      <c r="BO306" s="89"/>
    </row>
    <row r="307" spans="1:67" ht="15.75" customHeight="1" x14ac:dyDescent="0.3">
      <c r="A307" s="88"/>
      <c r="BG307" s="89"/>
      <c r="BH307" s="89"/>
      <c r="BI307" s="89"/>
      <c r="BJ307" s="89"/>
      <c r="BK307" s="89"/>
      <c r="BL307" s="89"/>
      <c r="BM307" s="89"/>
      <c r="BN307" s="89"/>
      <c r="BO307" s="89"/>
    </row>
    <row r="308" spans="1:67" ht="15.75" customHeight="1" x14ac:dyDescent="0.3">
      <c r="A308" s="88"/>
      <c r="BG308" s="89"/>
      <c r="BH308" s="89"/>
      <c r="BI308" s="89"/>
      <c r="BJ308" s="89"/>
      <c r="BK308" s="89"/>
      <c r="BL308" s="89"/>
      <c r="BM308" s="89"/>
      <c r="BN308" s="89"/>
      <c r="BO308" s="89"/>
    </row>
    <row r="309" spans="1:67" ht="15.75" customHeight="1" x14ac:dyDescent="0.3">
      <c r="A309" s="88"/>
      <c r="BG309" s="89"/>
      <c r="BH309" s="89"/>
      <c r="BI309" s="89"/>
      <c r="BJ309" s="89"/>
      <c r="BK309" s="89"/>
      <c r="BL309" s="89"/>
      <c r="BM309" s="89"/>
      <c r="BN309" s="89"/>
      <c r="BO309" s="89"/>
    </row>
    <row r="310" spans="1:67" ht="15.75" customHeight="1" x14ac:dyDescent="0.3">
      <c r="A310" s="88"/>
      <c r="BG310" s="89"/>
      <c r="BH310" s="89"/>
      <c r="BI310" s="89"/>
      <c r="BJ310" s="89"/>
      <c r="BK310" s="89"/>
      <c r="BL310" s="89"/>
      <c r="BM310" s="89"/>
      <c r="BN310" s="89"/>
      <c r="BO310" s="89"/>
    </row>
    <row r="311" spans="1:67" ht="15.75" customHeight="1" x14ac:dyDescent="0.3">
      <c r="A311" s="88"/>
      <c r="BG311" s="89"/>
      <c r="BH311" s="89"/>
      <c r="BI311" s="89"/>
      <c r="BJ311" s="89"/>
      <c r="BK311" s="89"/>
      <c r="BL311" s="89"/>
      <c r="BM311" s="89"/>
      <c r="BN311" s="89"/>
      <c r="BO311" s="89"/>
    </row>
    <row r="312" spans="1:67" ht="15.75" customHeight="1" x14ac:dyDescent="0.3">
      <c r="A312" s="88"/>
      <c r="BG312" s="89"/>
      <c r="BH312" s="89"/>
      <c r="BI312" s="89"/>
      <c r="BJ312" s="89"/>
      <c r="BK312" s="89"/>
      <c r="BL312" s="89"/>
      <c r="BM312" s="89"/>
      <c r="BN312" s="89"/>
      <c r="BO312" s="89"/>
    </row>
    <row r="313" spans="1:67" ht="15.75" customHeight="1" x14ac:dyDescent="0.3">
      <c r="A313" s="88"/>
      <c r="BG313" s="89"/>
      <c r="BH313" s="89"/>
      <c r="BI313" s="89"/>
      <c r="BJ313" s="89"/>
      <c r="BK313" s="89"/>
      <c r="BL313" s="89"/>
      <c r="BM313" s="89"/>
      <c r="BN313" s="89"/>
      <c r="BO313" s="89"/>
    </row>
    <row r="314" spans="1:67" ht="15.75" customHeight="1" x14ac:dyDescent="0.3">
      <c r="A314" s="88"/>
      <c r="BG314" s="89"/>
      <c r="BH314" s="89"/>
      <c r="BI314" s="89"/>
      <c r="BJ314" s="89"/>
      <c r="BK314" s="89"/>
      <c r="BL314" s="89"/>
      <c r="BM314" s="89"/>
      <c r="BN314" s="89"/>
      <c r="BO314" s="89"/>
    </row>
    <row r="315" spans="1:67" ht="15.75" customHeight="1" x14ac:dyDescent="0.3">
      <c r="A315" s="88"/>
      <c r="BG315" s="89"/>
      <c r="BH315" s="89"/>
      <c r="BI315" s="89"/>
      <c r="BJ315" s="89"/>
      <c r="BK315" s="89"/>
      <c r="BL315" s="89"/>
      <c r="BM315" s="89"/>
      <c r="BN315" s="89"/>
      <c r="BO315" s="89"/>
    </row>
    <row r="316" spans="1:67" ht="15.75" customHeight="1" x14ac:dyDescent="0.3">
      <c r="A316" s="88"/>
      <c r="BG316" s="89"/>
      <c r="BH316" s="89"/>
      <c r="BI316" s="89"/>
      <c r="BJ316" s="89"/>
      <c r="BK316" s="89"/>
      <c r="BL316" s="89"/>
      <c r="BM316" s="89"/>
      <c r="BN316" s="89"/>
      <c r="BO316" s="89"/>
    </row>
    <row r="317" spans="1:67" ht="15.75" customHeight="1" x14ac:dyDescent="0.3">
      <c r="A317" s="88"/>
      <c r="BG317" s="89"/>
      <c r="BH317" s="89"/>
      <c r="BI317" s="89"/>
      <c r="BJ317" s="89"/>
      <c r="BK317" s="89"/>
      <c r="BL317" s="89"/>
      <c r="BM317" s="89"/>
      <c r="BN317" s="89"/>
      <c r="BO317" s="89"/>
    </row>
    <row r="318" spans="1:67" ht="15.75" customHeight="1" x14ac:dyDescent="0.3">
      <c r="A318" s="88"/>
      <c r="BG318" s="89"/>
      <c r="BH318" s="89"/>
      <c r="BI318" s="89"/>
      <c r="BJ318" s="89"/>
      <c r="BK318" s="89"/>
      <c r="BL318" s="89"/>
      <c r="BM318" s="89"/>
      <c r="BN318" s="89"/>
      <c r="BO318" s="89"/>
    </row>
    <row r="319" spans="1:67" ht="15.75" customHeight="1" x14ac:dyDescent="0.3">
      <c r="A319" s="88"/>
      <c r="BG319" s="89"/>
      <c r="BH319" s="89"/>
      <c r="BI319" s="89"/>
      <c r="BJ319" s="89"/>
      <c r="BK319" s="89"/>
      <c r="BL319" s="89"/>
      <c r="BM319" s="89"/>
      <c r="BN319" s="89"/>
      <c r="BO319" s="89"/>
    </row>
    <row r="320" spans="1:67" ht="15.75" customHeight="1" x14ac:dyDescent="0.3">
      <c r="A320" s="88"/>
      <c r="BG320" s="89"/>
      <c r="BH320" s="89"/>
      <c r="BI320" s="89"/>
      <c r="BJ320" s="89"/>
      <c r="BK320" s="89"/>
      <c r="BL320" s="89"/>
      <c r="BM320" s="89"/>
      <c r="BN320" s="89"/>
      <c r="BO320" s="89"/>
    </row>
    <row r="321" spans="1:67" ht="15.75" customHeight="1" x14ac:dyDescent="0.3">
      <c r="A321" s="88"/>
      <c r="BG321" s="89"/>
      <c r="BH321" s="89"/>
      <c r="BI321" s="89"/>
      <c r="BJ321" s="89"/>
      <c r="BK321" s="89"/>
      <c r="BL321" s="89"/>
      <c r="BM321" s="89"/>
      <c r="BN321" s="89"/>
      <c r="BO321" s="89"/>
    </row>
    <row r="322" spans="1:67" ht="15.75" customHeight="1" x14ac:dyDescent="0.3">
      <c r="A322" s="88"/>
      <c r="BG322" s="89"/>
      <c r="BH322" s="89"/>
      <c r="BI322" s="89"/>
      <c r="BJ322" s="89"/>
      <c r="BK322" s="89"/>
      <c r="BL322" s="89"/>
      <c r="BM322" s="89"/>
      <c r="BN322" s="89"/>
      <c r="BO322" s="89"/>
    </row>
    <row r="323" spans="1:67" ht="15.75" customHeight="1" x14ac:dyDescent="0.3">
      <c r="A323" s="88"/>
      <c r="BG323" s="89"/>
      <c r="BH323" s="89"/>
      <c r="BI323" s="89"/>
      <c r="BJ323" s="89"/>
      <c r="BK323" s="89"/>
      <c r="BL323" s="89"/>
      <c r="BM323" s="89"/>
      <c r="BN323" s="89"/>
      <c r="BO323" s="89"/>
    </row>
    <row r="324" spans="1:67" ht="15.75" customHeight="1" x14ac:dyDescent="0.3">
      <c r="A324" s="88"/>
      <c r="BG324" s="89"/>
      <c r="BH324" s="89"/>
      <c r="BI324" s="89"/>
      <c r="BJ324" s="89"/>
      <c r="BK324" s="89"/>
      <c r="BL324" s="89"/>
      <c r="BM324" s="89"/>
      <c r="BN324" s="89"/>
      <c r="BO324" s="89"/>
    </row>
    <row r="325" spans="1:67" ht="15.75" customHeight="1" x14ac:dyDescent="0.3">
      <c r="A325" s="88"/>
      <c r="BG325" s="89"/>
      <c r="BH325" s="89"/>
      <c r="BI325" s="89"/>
      <c r="BJ325" s="89"/>
      <c r="BK325" s="89"/>
      <c r="BL325" s="89"/>
      <c r="BM325" s="89"/>
      <c r="BN325" s="89"/>
      <c r="BO325" s="89"/>
    </row>
    <row r="326" spans="1:67" ht="15.75" customHeight="1" x14ac:dyDescent="0.3">
      <c r="A326" s="88"/>
      <c r="BG326" s="89"/>
      <c r="BH326" s="89"/>
      <c r="BI326" s="89"/>
      <c r="BJ326" s="89"/>
      <c r="BK326" s="89"/>
      <c r="BL326" s="89"/>
      <c r="BM326" s="89"/>
      <c r="BN326" s="89"/>
      <c r="BO326" s="89"/>
    </row>
    <row r="327" spans="1:67" ht="15.75" customHeight="1" x14ac:dyDescent="0.3">
      <c r="A327" s="88"/>
      <c r="BG327" s="89"/>
      <c r="BH327" s="89"/>
      <c r="BI327" s="89"/>
      <c r="BJ327" s="89"/>
      <c r="BK327" s="89"/>
      <c r="BL327" s="89"/>
      <c r="BM327" s="89"/>
      <c r="BN327" s="89"/>
      <c r="BO327" s="89"/>
    </row>
    <row r="328" spans="1:67" ht="15.75" customHeight="1" x14ac:dyDescent="0.3">
      <c r="A328" s="88"/>
      <c r="BG328" s="89"/>
      <c r="BH328" s="89"/>
      <c r="BI328" s="89"/>
      <c r="BJ328" s="89"/>
      <c r="BK328" s="89"/>
      <c r="BL328" s="89"/>
      <c r="BM328" s="89"/>
      <c r="BN328" s="89"/>
      <c r="BO328" s="89"/>
    </row>
    <row r="329" spans="1:67" ht="15.75" customHeight="1" x14ac:dyDescent="0.3">
      <c r="A329" s="88"/>
      <c r="BG329" s="89"/>
      <c r="BH329" s="89"/>
      <c r="BI329" s="89"/>
      <c r="BJ329" s="89"/>
      <c r="BK329" s="89"/>
      <c r="BL329" s="89"/>
      <c r="BM329" s="89"/>
      <c r="BN329" s="89"/>
      <c r="BO329" s="89"/>
    </row>
    <row r="330" spans="1:67" ht="15.75" customHeight="1" x14ac:dyDescent="0.3">
      <c r="A330" s="88"/>
      <c r="BG330" s="89"/>
      <c r="BH330" s="89"/>
      <c r="BI330" s="89"/>
      <c r="BJ330" s="89"/>
      <c r="BK330" s="89"/>
      <c r="BL330" s="89"/>
      <c r="BM330" s="89"/>
      <c r="BN330" s="89"/>
      <c r="BO330" s="89"/>
    </row>
    <row r="331" spans="1:67" ht="15.75" customHeight="1" x14ac:dyDescent="0.3">
      <c r="A331" s="88"/>
      <c r="BG331" s="89"/>
      <c r="BH331" s="89"/>
      <c r="BI331" s="89"/>
      <c r="BJ331" s="89"/>
      <c r="BK331" s="89"/>
      <c r="BL331" s="89"/>
      <c r="BM331" s="89"/>
      <c r="BN331" s="89"/>
      <c r="BO331" s="89"/>
    </row>
    <row r="332" spans="1:67" ht="15.75" customHeight="1" x14ac:dyDescent="0.3">
      <c r="A332" s="88"/>
      <c r="BG332" s="89"/>
      <c r="BH332" s="89"/>
      <c r="BI332" s="89"/>
      <c r="BJ332" s="89"/>
      <c r="BK332" s="89"/>
      <c r="BL332" s="89"/>
      <c r="BM332" s="89"/>
      <c r="BN332" s="89"/>
      <c r="BO332" s="89"/>
    </row>
    <row r="333" spans="1:67" ht="15.75" customHeight="1" x14ac:dyDescent="0.3">
      <c r="A333" s="88"/>
      <c r="BG333" s="89"/>
      <c r="BH333" s="89"/>
      <c r="BI333" s="89"/>
      <c r="BJ333" s="89"/>
      <c r="BK333" s="89"/>
      <c r="BL333" s="89"/>
      <c r="BM333" s="89"/>
      <c r="BN333" s="89"/>
      <c r="BO333" s="89"/>
    </row>
    <row r="334" spans="1:67" ht="15.75" customHeight="1" x14ac:dyDescent="0.3">
      <c r="A334" s="88"/>
      <c r="BG334" s="89"/>
      <c r="BH334" s="89"/>
      <c r="BI334" s="89"/>
      <c r="BJ334" s="89"/>
      <c r="BK334" s="89"/>
      <c r="BL334" s="89"/>
      <c r="BM334" s="89"/>
      <c r="BN334" s="89"/>
      <c r="BO334" s="89"/>
    </row>
    <row r="335" spans="1:67" ht="15.75" customHeight="1" x14ac:dyDescent="0.3">
      <c r="A335" s="88"/>
      <c r="BG335" s="89"/>
      <c r="BH335" s="89"/>
      <c r="BI335" s="89"/>
      <c r="BJ335" s="89"/>
      <c r="BK335" s="89"/>
      <c r="BL335" s="89"/>
      <c r="BM335" s="89"/>
      <c r="BN335" s="89"/>
      <c r="BO335" s="89"/>
    </row>
    <row r="336" spans="1:67" ht="15.75" customHeight="1" x14ac:dyDescent="0.3">
      <c r="A336" s="88"/>
      <c r="BG336" s="89"/>
      <c r="BH336" s="89"/>
      <c r="BI336" s="89"/>
      <c r="BJ336" s="89"/>
      <c r="BK336" s="89"/>
      <c r="BL336" s="89"/>
      <c r="BM336" s="89"/>
      <c r="BN336" s="89"/>
      <c r="BO336" s="89"/>
    </row>
    <row r="337" spans="1:67" ht="15.75" customHeight="1" x14ac:dyDescent="0.3">
      <c r="A337" s="88"/>
      <c r="BG337" s="89"/>
      <c r="BH337" s="89"/>
      <c r="BI337" s="89"/>
      <c r="BJ337" s="89"/>
      <c r="BK337" s="89"/>
      <c r="BL337" s="89"/>
      <c r="BM337" s="89"/>
      <c r="BN337" s="89"/>
      <c r="BO337" s="89"/>
    </row>
    <row r="338" spans="1:67" ht="15.75" customHeight="1" x14ac:dyDescent="0.3">
      <c r="A338" s="88"/>
      <c r="BG338" s="89"/>
      <c r="BH338" s="89"/>
      <c r="BI338" s="89"/>
      <c r="BJ338" s="89"/>
      <c r="BK338" s="89"/>
      <c r="BL338" s="89"/>
      <c r="BM338" s="89"/>
      <c r="BN338" s="89"/>
      <c r="BO338" s="89"/>
    </row>
    <row r="339" spans="1:67" ht="15.75" customHeight="1" x14ac:dyDescent="0.3">
      <c r="A339" s="88"/>
      <c r="BG339" s="89"/>
      <c r="BH339" s="89"/>
      <c r="BI339" s="89"/>
      <c r="BJ339" s="89"/>
      <c r="BK339" s="89"/>
      <c r="BL339" s="89"/>
      <c r="BM339" s="89"/>
      <c r="BN339" s="89"/>
      <c r="BO339" s="89"/>
    </row>
    <row r="340" spans="1:67" ht="15.75" customHeight="1" x14ac:dyDescent="0.3">
      <c r="A340" s="88"/>
      <c r="BG340" s="89"/>
      <c r="BH340" s="89"/>
      <c r="BI340" s="89"/>
      <c r="BJ340" s="89"/>
      <c r="BK340" s="89"/>
      <c r="BL340" s="89"/>
      <c r="BM340" s="89"/>
      <c r="BN340" s="89"/>
      <c r="BO340" s="89"/>
    </row>
    <row r="341" spans="1:67" ht="15.75" customHeight="1" x14ac:dyDescent="0.3">
      <c r="A341" s="88"/>
      <c r="BG341" s="89"/>
      <c r="BH341" s="89"/>
      <c r="BI341" s="89"/>
      <c r="BJ341" s="89"/>
      <c r="BK341" s="89"/>
      <c r="BL341" s="89"/>
      <c r="BM341" s="89"/>
      <c r="BN341" s="89"/>
      <c r="BO341" s="89"/>
    </row>
    <row r="342" spans="1:67" ht="15.75" customHeight="1" x14ac:dyDescent="0.3">
      <c r="A342" s="88"/>
      <c r="BG342" s="89"/>
      <c r="BH342" s="89"/>
      <c r="BI342" s="89"/>
      <c r="BJ342" s="89"/>
      <c r="BK342" s="89"/>
      <c r="BL342" s="89"/>
      <c r="BM342" s="89"/>
      <c r="BN342" s="89"/>
      <c r="BO342" s="89"/>
    </row>
    <row r="343" spans="1:67" ht="15.75" customHeight="1" x14ac:dyDescent="0.3">
      <c r="A343" s="88"/>
      <c r="BG343" s="89"/>
      <c r="BH343" s="89"/>
      <c r="BI343" s="89"/>
      <c r="BJ343" s="89"/>
      <c r="BK343" s="89"/>
      <c r="BL343" s="89"/>
      <c r="BM343" s="89"/>
      <c r="BN343" s="89"/>
      <c r="BO343" s="89"/>
    </row>
    <row r="344" spans="1:67" ht="15.75" customHeight="1" x14ac:dyDescent="0.3">
      <c r="A344" s="88"/>
      <c r="BG344" s="89"/>
      <c r="BH344" s="89"/>
      <c r="BI344" s="89"/>
      <c r="BJ344" s="89"/>
      <c r="BK344" s="89"/>
      <c r="BL344" s="89"/>
      <c r="BM344" s="89"/>
      <c r="BN344" s="89"/>
      <c r="BO344" s="89"/>
    </row>
    <row r="345" spans="1:67" ht="15.75" customHeight="1" x14ac:dyDescent="0.3">
      <c r="A345" s="88"/>
      <c r="BG345" s="89"/>
      <c r="BH345" s="89"/>
      <c r="BI345" s="89"/>
      <c r="BJ345" s="89"/>
      <c r="BK345" s="89"/>
      <c r="BL345" s="89"/>
      <c r="BM345" s="89"/>
      <c r="BN345" s="89"/>
      <c r="BO345" s="89"/>
    </row>
    <row r="346" spans="1:67" ht="15.75" customHeight="1" x14ac:dyDescent="0.3">
      <c r="A346" s="88"/>
      <c r="BG346" s="89"/>
      <c r="BH346" s="89"/>
      <c r="BI346" s="89"/>
      <c r="BJ346" s="89"/>
      <c r="BK346" s="89"/>
      <c r="BL346" s="89"/>
      <c r="BM346" s="89"/>
      <c r="BN346" s="89"/>
      <c r="BO346" s="89"/>
    </row>
    <row r="347" spans="1:67" ht="15.75" customHeight="1" x14ac:dyDescent="0.3">
      <c r="A347" s="88"/>
      <c r="BG347" s="89"/>
      <c r="BH347" s="89"/>
      <c r="BI347" s="89"/>
      <c r="BJ347" s="89"/>
      <c r="BK347" s="89"/>
      <c r="BL347" s="89"/>
      <c r="BM347" s="89"/>
      <c r="BN347" s="89"/>
      <c r="BO347" s="89"/>
    </row>
    <row r="348" spans="1:67" ht="15.75" customHeight="1" x14ac:dyDescent="0.3">
      <c r="A348" s="88"/>
      <c r="BG348" s="89"/>
      <c r="BH348" s="89"/>
      <c r="BI348" s="89"/>
      <c r="BJ348" s="89"/>
      <c r="BK348" s="89"/>
      <c r="BL348" s="89"/>
      <c r="BM348" s="89"/>
      <c r="BN348" s="89"/>
      <c r="BO348" s="89"/>
    </row>
    <row r="349" spans="1:67" ht="15.75" customHeight="1" x14ac:dyDescent="0.3">
      <c r="A349" s="88"/>
      <c r="BG349" s="89"/>
      <c r="BH349" s="89"/>
      <c r="BI349" s="89"/>
      <c r="BJ349" s="89"/>
      <c r="BK349" s="89"/>
      <c r="BL349" s="89"/>
      <c r="BM349" s="89"/>
      <c r="BN349" s="89"/>
      <c r="BO349" s="89"/>
    </row>
    <row r="350" spans="1:67" ht="15.75" customHeight="1" x14ac:dyDescent="0.3">
      <c r="A350" s="88"/>
      <c r="BG350" s="89"/>
      <c r="BH350" s="89"/>
      <c r="BI350" s="89"/>
      <c r="BJ350" s="89"/>
      <c r="BK350" s="89"/>
      <c r="BL350" s="89"/>
      <c r="BM350" s="89"/>
      <c r="BN350" s="89"/>
      <c r="BO350" s="89"/>
    </row>
    <row r="351" spans="1:67" ht="15.75" customHeight="1" x14ac:dyDescent="0.3">
      <c r="A351" s="88"/>
      <c r="BG351" s="89"/>
      <c r="BH351" s="89"/>
      <c r="BI351" s="89"/>
      <c r="BJ351" s="89"/>
      <c r="BK351" s="89"/>
      <c r="BL351" s="89"/>
      <c r="BM351" s="89"/>
      <c r="BN351" s="89"/>
      <c r="BO351" s="89"/>
    </row>
    <row r="352" spans="1:67" ht="15.75" customHeight="1" x14ac:dyDescent="0.3">
      <c r="A352" s="88"/>
      <c r="BG352" s="89"/>
      <c r="BH352" s="89"/>
      <c r="BI352" s="89"/>
      <c r="BJ352" s="89"/>
      <c r="BK352" s="89"/>
      <c r="BL352" s="89"/>
      <c r="BM352" s="89"/>
      <c r="BN352" s="89"/>
      <c r="BO352" s="89"/>
    </row>
    <row r="353" spans="1:67" ht="15.75" customHeight="1" x14ac:dyDescent="0.3">
      <c r="A353" s="88"/>
      <c r="BG353" s="89"/>
      <c r="BH353" s="89"/>
      <c r="BI353" s="89"/>
      <c r="BJ353" s="89"/>
      <c r="BK353" s="89"/>
      <c r="BL353" s="89"/>
      <c r="BM353" s="89"/>
      <c r="BN353" s="89"/>
      <c r="BO353" s="89"/>
    </row>
    <row r="354" spans="1:67" ht="15.75" customHeight="1" x14ac:dyDescent="0.3">
      <c r="A354" s="88"/>
      <c r="BG354" s="89"/>
      <c r="BH354" s="89"/>
      <c r="BI354" s="89"/>
      <c r="BJ354" s="89"/>
      <c r="BK354" s="89"/>
      <c r="BL354" s="89"/>
      <c r="BM354" s="89"/>
      <c r="BN354" s="89"/>
      <c r="BO354" s="89"/>
    </row>
    <row r="355" spans="1:67" ht="15.75" customHeight="1" x14ac:dyDescent="0.3">
      <c r="A355" s="88"/>
      <c r="BG355" s="89"/>
      <c r="BH355" s="89"/>
      <c r="BI355" s="89"/>
      <c r="BJ355" s="89"/>
      <c r="BK355" s="89"/>
      <c r="BL355" s="89"/>
      <c r="BM355" s="89"/>
      <c r="BN355" s="89"/>
      <c r="BO355" s="89"/>
    </row>
    <row r="356" spans="1:67" ht="15.75" customHeight="1" x14ac:dyDescent="0.3">
      <c r="A356" s="88"/>
      <c r="BG356" s="89"/>
      <c r="BH356" s="89"/>
      <c r="BI356" s="89"/>
      <c r="BJ356" s="89"/>
      <c r="BK356" s="89"/>
      <c r="BL356" s="89"/>
      <c r="BM356" s="89"/>
      <c r="BN356" s="89"/>
      <c r="BO356" s="89"/>
    </row>
    <row r="357" spans="1:67" ht="15.75" customHeight="1" x14ac:dyDescent="0.3">
      <c r="A357" s="88"/>
      <c r="BG357" s="89"/>
      <c r="BH357" s="89"/>
      <c r="BI357" s="89"/>
      <c r="BJ357" s="89"/>
      <c r="BK357" s="89"/>
      <c r="BL357" s="89"/>
      <c r="BM357" s="89"/>
      <c r="BN357" s="89"/>
      <c r="BO357" s="89"/>
    </row>
    <row r="358" spans="1:67" ht="15.75" customHeight="1" x14ac:dyDescent="0.3">
      <c r="A358" s="88"/>
      <c r="BG358" s="89"/>
      <c r="BH358" s="89"/>
      <c r="BI358" s="89"/>
      <c r="BJ358" s="89"/>
      <c r="BK358" s="89"/>
      <c r="BL358" s="89"/>
      <c r="BM358" s="89"/>
      <c r="BN358" s="89"/>
      <c r="BO358" s="89"/>
    </row>
    <row r="359" spans="1:67" ht="15.75" customHeight="1" x14ac:dyDescent="0.3">
      <c r="A359" s="88"/>
      <c r="BG359" s="89"/>
      <c r="BH359" s="89"/>
      <c r="BI359" s="89"/>
      <c r="BJ359" s="89"/>
      <c r="BK359" s="89"/>
      <c r="BL359" s="89"/>
      <c r="BM359" s="89"/>
      <c r="BN359" s="89"/>
      <c r="BO359" s="89"/>
    </row>
    <row r="360" spans="1:67" ht="15.75" customHeight="1" x14ac:dyDescent="0.3">
      <c r="A360" s="88"/>
      <c r="BG360" s="89"/>
      <c r="BH360" s="89"/>
      <c r="BI360" s="89"/>
      <c r="BJ360" s="89"/>
      <c r="BK360" s="89"/>
      <c r="BL360" s="89"/>
      <c r="BM360" s="89"/>
      <c r="BN360" s="89"/>
      <c r="BO360" s="89"/>
    </row>
    <row r="361" spans="1:67" ht="15.75" customHeight="1" x14ac:dyDescent="0.3">
      <c r="A361" s="88"/>
      <c r="BG361" s="89"/>
      <c r="BH361" s="89"/>
      <c r="BI361" s="89"/>
      <c r="BJ361" s="89"/>
      <c r="BK361" s="89"/>
      <c r="BL361" s="89"/>
      <c r="BM361" s="89"/>
      <c r="BN361" s="89"/>
      <c r="BO361" s="89"/>
    </row>
    <row r="362" spans="1:67" ht="15.75" customHeight="1" x14ac:dyDescent="0.3">
      <c r="A362" s="88"/>
      <c r="BG362" s="89"/>
      <c r="BH362" s="89"/>
      <c r="BI362" s="89"/>
      <c r="BJ362" s="89"/>
      <c r="BK362" s="89"/>
      <c r="BL362" s="89"/>
      <c r="BM362" s="89"/>
      <c r="BN362" s="89"/>
      <c r="BO362" s="89"/>
    </row>
    <row r="363" spans="1:67" ht="15.75" customHeight="1" x14ac:dyDescent="0.3">
      <c r="A363" s="88"/>
      <c r="BG363" s="89"/>
      <c r="BH363" s="89"/>
      <c r="BI363" s="89"/>
      <c r="BJ363" s="89"/>
      <c r="BK363" s="89"/>
      <c r="BL363" s="89"/>
      <c r="BM363" s="89"/>
      <c r="BN363" s="89"/>
      <c r="BO363" s="89"/>
    </row>
    <row r="364" spans="1:67" ht="15.75" customHeight="1" x14ac:dyDescent="0.3">
      <c r="A364" s="88"/>
      <c r="BG364" s="89"/>
      <c r="BH364" s="89"/>
      <c r="BI364" s="89"/>
      <c r="BJ364" s="89"/>
      <c r="BK364" s="89"/>
      <c r="BL364" s="89"/>
      <c r="BM364" s="89"/>
      <c r="BN364" s="89"/>
      <c r="BO364" s="89"/>
    </row>
    <row r="365" spans="1:67" ht="15.75" customHeight="1" x14ac:dyDescent="0.3">
      <c r="A365" s="88"/>
      <c r="BG365" s="89"/>
      <c r="BH365" s="89"/>
      <c r="BI365" s="89"/>
      <c r="BJ365" s="89"/>
      <c r="BK365" s="89"/>
      <c r="BL365" s="89"/>
      <c r="BM365" s="89"/>
      <c r="BN365" s="89"/>
      <c r="BO365" s="89"/>
    </row>
    <row r="366" spans="1:67" ht="15.75" customHeight="1" x14ac:dyDescent="0.3">
      <c r="A366" s="88"/>
      <c r="BG366" s="89"/>
      <c r="BH366" s="89"/>
      <c r="BI366" s="89"/>
      <c r="BJ366" s="89"/>
      <c r="BK366" s="89"/>
      <c r="BL366" s="89"/>
      <c r="BM366" s="89"/>
      <c r="BN366" s="89"/>
      <c r="BO366" s="89"/>
    </row>
    <row r="367" spans="1:67" ht="15.75" customHeight="1" x14ac:dyDescent="0.3">
      <c r="A367" s="88"/>
      <c r="BG367" s="89"/>
      <c r="BH367" s="89"/>
      <c r="BI367" s="89"/>
      <c r="BJ367" s="89"/>
      <c r="BK367" s="89"/>
      <c r="BL367" s="89"/>
      <c r="BM367" s="89"/>
      <c r="BN367" s="89"/>
      <c r="BO367" s="89"/>
    </row>
    <row r="368" spans="1:67" ht="15.75" customHeight="1" x14ac:dyDescent="0.3">
      <c r="A368" s="88"/>
      <c r="BG368" s="89"/>
      <c r="BH368" s="89"/>
      <c r="BI368" s="89"/>
      <c r="BJ368" s="89"/>
      <c r="BK368" s="89"/>
      <c r="BL368" s="89"/>
      <c r="BM368" s="89"/>
      <c r="BN368" s="89"/>
      <c r="BO368" s="89"/>
    </row>
    <row r="369" spans="1:67" ht="15.75" customHeight="1" x14ac:dyDescent="0.3">
      <c r="A369" s="88"/>
      <c r="BG369" s="89"/>
      <c r="BH369" s="89"/>
      <c r="BI369" s="89"/>
      <c r="BJ369" s="89"/>
      <c r="BK369" s="89"/>
      <c r="BL369" s="89"/>
      <c r="BM369" s="89"/>
      <c r="BN369" s="89"/>
      <c r="BO369" s="89"/>
    </row>
    <row r="370" spans="1:67" ht="15.75" customHeight="1" x14ac:dyDescent="0.3">
      <c r="A370" s="88"/>
      <c r="BG370" s="89"/>
      <c r="BH370" s="89"/>
      <c r="BI370" s="89"/>
      <c r="BJ370" s="89"/>
      <c r="BK370" s="89"/>
      <c r="BL370" s="89"/>
      <c r="BM370" s="89"/>
      <c r="BN370" s="89"/>
      <c r="BO370" s="89"/>
    </row>
    <row r="371" spans="1:67" ht="15.75" customHeight="1" x14ac:dyDescent="0.3">
      <c r="A371" s="88"/>
      <c r="BG371" s="89"/>
      <c r="BH371" s="89"/>
      <c r="BI371" s="89"/>
      <c r="BJ371" s="89"/>
      <c r="BK371" s="89"/>
      <c r="BL371" s="89"/>
      <c r="BM371" s="89"/>
      <c r="BN371" s="89"/>
      <c r="BO371" s="89"/>
    </row>
    <row r="372" spans="1:67" ht="15.75" customHeight="1" x14ac:dyDescent="0.3">
      <c r="A372" s="88"/>
      <c r="BG372" s="89"/>
      <c r="BH372" s="89"/>
      <c r="BI372" s="89"/>
      <c r="BJ372" s="89"/>
      <c r="BK372" s="89"/>
      <c r="BL372" s="89"/>
      <c r="BM372" s="89"/>
      <c r="BN372" s="89"/>
      <c r="BO372" s="89"/>
    </row>
    <row r="373" spans="1:67" ht="15.75" customHeight="1" x14ac:dyDescent="0.3">
      <c r="A373" s="88"/>
      <c r="BG373" s="89"/>
      <c r="BH373" s="89"/>
      <c r="BI373" s="89"/>
      <c r="BJ373" s="89"/>
      <c r="BK373" s="89"/>
      <c r="BL373" s="89"/>
      <c r="BM373" s="89"/>
      <c r="BN373" s="89"/>
      <c r="BO373" s="89"/>
    </row>
    <row r="374" spans="1:67" ht="15.75" customHeight="1" x14ac:dyDescent="0.3">
      <c r="A374" s="88"/>
      <c r="BG374" s="89"/>
      <c r="BH374" s="89"/>
      <c r="BI374" s="89"/>
      <c r="BJ374" s="89"/>
      <c r="BK374" s="89"/>
      <c r="BL374" s="89"/>
      <c r="BM374" s="89"/>
      <c r="BN374" s="89"/>
      <c r="BO374" s="89"/>
    </row>
    <row r="375" spans="1:67" ht="15.75" customHeight="1" x14ac:dyDescent="0.3">
      <c r="A375" s="88"/>
      <c r="BG375" s="89"/>
      <c r="BH375" s="89"/>
      <c r="BI375" s="89"/>
      <c r="BJ375" s="89"/>
      <c r="BK375" s="89"/>
      <c r="BL375" s="89"/>
      <c r="BM375" s="89"/>
      <c r="BN375" s="89"/>
      <c r="BO375" s="89"/>
    </row>
    <row r="376" spans="1:67" ht="15.75" customHeight="1" x14ac:dyDescent="0.3">
      <c r="A376" s="88"/>
      <c r="BG376" s="89"/>
      <c r="BH376" s="89"/>
      <c r="BI376" s="89"/>
      <c r="BJ376" s="89"/>
      <c r="BK376" s="89"/>
      <c r="BL376" s="89"/>
      <c r="BM376" s="89"/>
      <c r="BN376" s="89"/>
      <c r="BO376" s="89"/>
    </row>
    <row r="377" spans="1:67" ht="15.75" customHeight="1" x14ac:dyDescent="0.3">
      <c r="A377" s="88"/>
      <c r="BG377" s="89"/>
      <c r="BH377" s="89"/>
      <c r="BI377" s="89"/>
      <c r="BJ377" s="89"/>
      <c r="BK377" s="89"/>
      <c r="BL377" s="89"/>
      <c r="BM377" s="89"/>
      <c r="BN377" s="89"/>
      <c r="BO377" s="89"/>
    </row>
    <row r="378" spans="1:67" ht="15.75" customHeight="1" x14ac:dyDescent="0.3">
      <c r="A378" s="88"/>
      <c r="BG378" s="89"/>
      <c r="BH378" s="89"/>
      <c r="BI378" s="89"/>
      <c r="BJ378" s="89"/>
      <c r="BK378" s="89"/>
      <c r="BL378" s="89"/>
      <c r="BM378" s="89"/>
      <c r="BN378" s="89"/>
      <c r="BO378" s="89"/>
    </row>
    <row r="379" spans="1:67" ht="15.75" customHeight="1" x14ac:dyDescent="0.3">
      <c r="A379" s="88"/>
      <c r="BG379" s="89"/>
      <c r="BH379" s="89"/>
      <c r="BI379" s="89"/>
      <c r="BJ379" s="89"/>
      <c r="BK379" s="89"/>
      <c r="BL379" s="89"/>
      <c r="BM379" s="89"/>
      <c r="BN379" s="89"/>
      <c r="BO379" s="89"/>
    </row>
    <row r="380" spans="1:67" ht="15.75" customHeight="1" x14ac:dyDescent="0.3">
      <c r="A380" s="88"/>
      <c r="BG380" s="89"/>
      <c r="BH380" s="89"/>
      <c r="BI380" s="89"/>
      <c r="BJ380" s="89"/>
      <c r="BK380" s="89"/>
      <c r="BL380" s="89"/>
      <c r="BM380" s="89"/>
      <c r="BN380" s="89"/>
      <c r="BO380" s="89"/>
    </row>
    <row r="381" spans="1:67" ht="15.75" customHeight="1" x14ac:dyDescent="0.3">
      <c r="A381" s="88"/>
      <c r="BG381" s="89"/>
      <c r="BH381" s="89"/>
      <c r="BI381" s="89"/>
      <c r="BJ381" s="89"/>
      <c r="BK381" s="89"/>
      <c r="BL381" s="89"/>
      <c r="BM381" s="89"/>
      <c r="BN381" s="89"/>
      <c r="BO381" s="89"/>
    </row>
    <row r="382" spans="1:67" ht="15.75" customHeight="1" x14ac:dyDescent="0.3">
      <c r="A382" s="88"/>
      <c r="BG382" s="89"/>
      <c r="BH382" s="89"/>
      <c r="BI382" s="89"/>
      <c r="BJ382" s="89"/>
      <c r="BK382" s="89"/>
      <c r="BL382" s="89"/>
      <c r="BM382" s="89"/>
      <c r="BN382" s="89"/>
      <c r="BO382" s="89"/>
    </row>
    <row r="383" spans="1:67" ht="15.75" customHeight="1" x14ac:dyDescent="0.3">
      <c r="A383" s="88"/>
      <c r="BG383" s="89"/>
      <c r="BH383" s="89"/>
      <c r="BI383" s="89"/>
      <c r="BJ383" s="89"/>
      <c r="BK383" s="89"/>
      <c r="BL383" s="89"/>
      <c r="BM383" s="89"/>
      <c r="BN383" s="89"/>
      <c r="BO383" s="89"/>
    </row>
    <row r="384" spans="1:67" ht="15.75" customHeight="1" x14ac:dyDescent="0.3">
      <c r="A384" s="88"/>
      <c r="BG384" s="89"/>
      <c r="BH384" s="89"/>
      <c r="BI384" s="89"/>
      <c r="BJ384" s="89"/>
      <c r="BK384" s="89"/>
      <c r="BL384" s="89"/>
      <c r="BM384" s="89"/>
      <c r="BN384" s="89"/>
      <c r="BO384" s="89"/>
    </row>
    <row r="385" spans="1:67" ht="15.75" customHeight="1" x14ac:dyDescent="0.3">
      <c r="A385" s="88"/>
      <c r="BG385" s="89"/>
      <c r="BH385" s="89"/>
      <c r="BI385" s="89"/>
      <c r="BJ385" s="89"/>
      <c r="BK385" s="89"/>
      <c r="BL385" s="89"/>
      <c r="BM385" s="89"/>
      <c r="BN385" s="89"/>
      <c r="BO385" s="89"/>
    </row>
    <row r="386" spans="1:67" ht="15.75" customHeight="1" x14ac:dyDescent="0.3">
      <c r="A386" s="88"/>
      <c r="BG386" s="89"/>
      <c r="BH386" s="89"/>
      <c r="BI386" s="89"/>
      <c r="BJ386" s="89"/>
      <c r="BK386" s="89"/>
      <c r="BL386" s="89"/>
      <c r="BM386" s="89"/>
      <c r="BN386" s="89"/>
      <c r="BO386" s="89"/>
    </row>
    <row r="387" spans="1:67" ht="15.75" customHeight="1" x14ac:dyDescent="0.3">
      <c r="A387" s="88"/>
      <c r="BG387" s="89"/>
      <c r="BH387" s="89"/>
      <c r="BI387" s="89"/>
      <c r="BJ387" s="89"/>
      <c r="BK387" s="89"/>
      <c r="BL387" s="89"/>
      <c r="BM387" s="89"/>
      <c r="BN387" s="89"/>
      <c r="BO387" s="89"/>
    </row>
    <row r="388" spans="1:67" ht="15.75" customHeight="1" x14ac:dyDescent="0.3">
      <c r="A388" s="88"/>
      <c r="BG388" s="89"/>
      <c r="BH388" s="89"/>
      <c r="BI388" s="89"/>
      <c r="BJ388" s="89"/>
      <c r="BK388" s="89"/>
      <c r="BL388" s="89"/>
      <c r="BM388" s="89"/>
      <c r="BN388" s="89"/>
      <c r="BO388" s="89"/>
    </row>
    <row r="389" spans="1:67" ht="15.75" customHeight="1" x14ac:dyDescent="0.3">
      <c r="A389" s="88"/>
      <c r="BG389" s="89"/>
      <c r="BH389" s="89"/>
      <c r="BI389" s="89"/>
      <c r="BJ389" s="89"/>
      <c r="BK389" s="89"/>
      <c r="BL389" s="89"/>
      <c r="BM389" s="89"/>
      <c r="BN389" s="89"/>
      <c r="BO389" s="89"/>
    </row>
    <row r="390" spans="1:67" ht="15.75" customHeight="1" x14ac:dyDescent="0.3">
      <c r="A390" s="88"/>
      <c r="BG390" s="89"/>
      <c r="BH390" s="89"/>
      <c r="BI390" s="89"/>
      <c r="BJ390" s="89"/>
      <c r="BK390" s="89"/>
      <c r="BL390" s="89"/>
      <c r="BM390" s="89"/>
      <c r="BN390" s="89"/>
      <c r="BO390" s="89"/>
    </row>
    <row r="391" spans="1:67" ht="15.75" customHeight="1" x14ac:dyDescent="0.3">
      <c r="A391" s="88"/>
      <c r="BG391" s="89"/>
      <c r="BH391" s="89"/>
      <c r="BI391" s="89"/>
      <c r="BJ391" s="89"/>
      <c r="BK391" s="89"/>
      <c r="BL391" s="89"/>
      <c r="BM391" s="89"/>
      <c r="BN391" s="89"/>
      <c r="BO391" s="89"/>
    </row>
    <row r="392" spans="1:67" ht="15.75" customHeight="1" x14ac:dyDescent="0.3">
      <c r="A392" s="88"/>
      <c r="BG392" s="89"/>
      <c r="BH392" s="89"/>
      <c r="BI392" s="89"/>
      <c r="BJ392" s="89"/>
      <c r="BK392" s="89"/>
      <c r="BL392" s="89"/>
      <c r="BM392" s="89"/>
      <c r="BN392" s="89"/>
      <c r="BO392" s="89"/>
    </row>
    <row r="393" spans="1:67" ht="15.75" customHeight="1" x14ac:dyDescent="0.3">
      <c r="A393" s="88"/>
      <c r="BG393" s="89"/>
      <c r="BH393" s="89"/>
      <c r="BI393" s="89"/>
      <c r="BJ393" s="89"/>
      <c r="BK393" s="89"/>
      <c r="BL393" s="89"/>
      <c r="BM393" s="89"/>
      <c r="BN393" s="89"/>
      <c r="BO393" s="89"/>
    </row>
    <row r="394" spans="1:67" ht="15.75" customHeight="1" x14ac:dyDescent="0.3">
      <c r="A394" s="88"/>
      <c r="BG394" s="89"/>
      <c r="BH394" s="89"/>
      <c r="BI394" s="89"/>
      <c r="BJ394" s="89"/>
      <c r="BK394" s="89"/>
      <c r="BL394" s="89"/>
      <c r="BM394" s="89"/>
      <c r="BN394" s="89"/>
      <c r="BO394" s="89"/>
    </row>
    <row r="395" spans="1:67" ht="15.75" customHeight="1" x14ac:dyDescent="0.3">
      <c r="A395" s="88"/>
      <c r="BG395" s="89"/>
      <c r="BH395" s="89"/>
      <c r="BI395" s="89"/>
      <c r="BJ395" s="89"/>
      <c r="BK395" s="89"/>
      <c r="BL395" s="89"/>
      <c r="BM395" s="89"/>
      <c r="BN395" s="89"/>
      <c r="BO395" s="89"/>
    </row>
    <row r="396" spans="1:67" ht="15.75" customHeight="1" x14ac:dyDescent="0.3">
      <c r="A396" s="88"/>
      <c r="BG396" s="89"/>
      <c r="BH396" s="89"/>
      <c r="BI396" s="89"/>
      <c r="BJ396" s="89"/>
      <c r="BK396" s="89"/>
      <c r="BL396" s="89"/>
      <c r="BM396" s="89"/>
      <c r="BN396" s="89"/>
      <c r="BO396" s="89"/>
    </row>
    <row r="397" spans="1:67" ht="15.75" customHeight="1" x14ac:dyDescent="0.3">
      <c r="A397" s="88"/>
      <c r="BG397" s="89"/>
      <c r="BH397" s="89"/>
      <c r="BI397" s="89"/>
      <c r="BJ397" s="89"/>
      <c r="BK397" s="89"/>
      <c r="BL397" s="89"/>
      <c r="BM397" s="89"/>
      <c r="BN397" s="89"/>
      <c r="BO397" s="89"/>
    </row>
    <row r="398" spans="1:67" ht="15.75" customHeight="1" x14ac:dyDescent="0.3">
      <c r="A398" s="88"/>
      <c r="BG398" s="89"/>
      <c r="BH398" s="89"/>
      <c r="BI398" s="89"/>
      <c r="BJ398" s="89"/>
      <c r="BK398" s="89"/>
      <c r="BL398" s="89"/>
      <c r="BM398" s="89"/>
      <c r="BN398" s="89"/>
      <c r="BO398" s="89"/>
    </row>
    <row r="399" spans="1:67" ht="15.75" customHeight="1" x14ac:dyDescent="0.3">
      <c r="A399" s="88"/>
      <c r="BG399" s="89"/>
      <c r="BH399" s="89"/>
      <c r="BI399" s="89"/>
      <c r="BJ399" s="89"/>
      <c r="BK399" s="89"/>
      <c r="BL399" s="89"/>
      <c r="BM399" s="89"/>
      <c r="BN399" s="89"/>
      <c r="BO399" s="89"/>
    </row>
    <row r="400" spans="1:67" ht="15.75" customHeight="1" x14ac:dyDescent="0.3">
      <c r="A400" s="88"/>
      <c r="BG400" s="89"/>
      <c r="BH400" s="89"/>
      <c r="BI400" s="89"/>
      <c r="BJ400" s="89"/>
      <c r="BK400" s="89"/>
      <c r="BL400" s="89"/>
      <c r="BM400" s="89"/>
      <c r="BN400" s="89"/>
      <c r="BO400" s="89"/>
    </row>
    <row r="401" spans="1:67" ht="15.75" customHeight="1" x14ac:dyDescent="0.3">
      <c r="A401" s="88"/>
      <c r="BG401" s="89"/>
      <c r="BH401" s="89"/>
      <c r="BI401" s="89"/>
      <c r="BJ401" s="89"/>
      <c r="BK401" s="89"/>
      <c r="BL401" s="89"/>
      <c r="BM401" s="89"/>
      <c r="BN401" s="89"/>
      <c r="BO401" s="89"/>
    </row>
    <row r="402" spans="1:67" ht="15.75" customHeight="1" x14ac:dyDescent="0.3">
      <c r="A402" s="88"/>
      <c r="BG402" s="89"/>
      <c r="BH402" s="89"/>
      <c r="BI402" s="89"/>
      <c r="BJ402" s="89"/>
      <c r="BK402" s="89"/>
      <c r="BL402" s="89"/>
      <c r="BM402" s="89"/>
      <c r="BN402" s="89"/>
      <c r="BO402" s="89"/>
    </row>
    <row r="403" spans="1:67" ht="15.75" customHeight="1" x14ac:dyDescent="0.3">
      <c r="A403" s="88"/>
      <c r="BG403" s="89"/>
      <c r="BH403" s="89"/>
      <c r="BI403" s="89"/>
      <c r="BJ403" s="89"/>
      <c r="BK403" s="89"/>
      <c r="BL403" s="89"/>
      <c r="BM403" s="89"/>
      <c r="BN403" s="89"/>
      <c r="BO403" s="89"/>
    </row>
    <row r="404" spans="1:67" ht="15.75" customHeight="1" x14ac:dyDescent="0.3">
      <c r="A404" s="88"/>
      <c r="BG404" s="89"/>
      <c r="BH404" s="89"/>
      <c r="BI404" s="89"/>
      <c r="BJ404" s="89"/>
      <c r="BK404" s="89"/>
      <c r="BL404" s="89"/>
      <c r="BM404" s="89"/>
      <c r="BN404" s="89"/>
      <c r="BO404" s="89"/>
    </row>
    <row r="405" spans="1:67" ht="15.75" customHeight="1" x14ac:dyDescent="0.3">
      <c r="A405" s="88"/>
      <c r="BG405" s="89"/>
      <c r="BH405" s="89"/>
      <c r="BI405" s="89"/>
      <c r="BJ405" s="89"/>
      <c r="BK405" s="89"/>
      <c r="BL405" s="89"/>
      <c r="BM405" s="89"/>
      <c r="BN405" s="89"/>
      <c r="BO405" s="89"/>
    </row>
    <row r="406" spans="1:67" ht="15.75" customHeight="1" x14ac:dyDescent="0.3">
      <c r="A406" s="88"/>
      <c r="BG406" s="89"/>
      <c r="BH406" s="89"/>
      <c r="BI406" s="89"/>
      <c r="BJ406" s="89"/>
      <c r="BK406" s="89"/>
      <c r="BL406" s="89"/>
      <c r="BM406" s="89"/>
      <c r="BN406" s="89"/>
      <c r="BO406" s="89"/>
    </row>
    <row r="407" spans="1:67" ht="15.75" customHeight="1" x14ac:dyDescent="0.3">
      <c r="A407" s="88"/>
      <c r="BG407" s="89"/>
      <c r="BH407" s="89"/>
      <c r="BI407" s="89"/>
      <c r="BJ407" s="89"/>
      <c r="BK407" s="89"/>
      <c r="BL407" s="89"/>
      <c r="BM407" s="89"/>
      <c r="BN407" s="89"/>
      <c r="BO407" s="89"/>
    </row>
    <row r="408" spans="1:67" ht="15.75" customHeight="1" x14ac:dyDescent="0.3">
      <c r="A408" s="88"/>
      <c r="BG408" s="89"/>
      <c r="BH408" s="89"/>
      <c r="BI408" s="89"/>
      <c r="BJ408" s="89"/>
      <c r="BK408" s="89"/>
      <c r="BL408" s="89"/>
      <c r="BM408" s="89"/>
      <c r="BN408" s="89"/>
      <c r="BO408" s="89"/>
    </row>
    <row r="409" spans="1:67" ht="15.75" customHeight="1" x14ac:dyDescent="0.3">
      <c r="A409" s="88"/>
      <c r="BG409" s="89"/>
      <c r="BH409" s="89"/>
      <c r="BI409" s="89"/>
      <c r="BJ409" s="89"/>
      <c r="BK409" s="89"/>
      <c r="BL409" s="89"/>
      <c r="BM409" s="89"/>
      <c r="BN409" s="89"/>
      <c r="BO409" s="89"/>
    </row>
    <row r="410" spans="1:67" ht="15.75" customHeight="1" x14ac:dyDescent="0.3">
      <c r="A410" s="88"/>
      <c r="BG410" s="89"/>
      <c r="BH410" s="89"/>
      <c r="BI410" s="89"/>
      <c r="BJ410" s="89"/>
      <c r="BK410" s="89"/>
      <c r="BL410" s="89"/>
      <c r="BM410" s="89"/>
      <c r="BN410" s="89"/>
      <c r="BO410" s="89"/>
    </row>
    <row r="411" spans="1:67" ht="15.75" customHeight="1" x14ac:dyDescent="0.3">
      <c r="A411" s="88"/>
      <c r="BG411" s="89"/>
      <c r="BH411" s="89"/>
      <c r="BI411" s="89"/>
      <c r="BJ411" s="89"/>
      <c r="BK411" s="89"/>
      <c r="BL411" s="89"/>
      <c r="BM411" s="89"/>
      <c r="BN411" s="89"/>
      <c r="BO411" s="89"/>
    </row>
    <row r="412" spans="1:67" ht="15.75" customHeight="1" x14ac:dyDescent="0.3">
      <c r="A412" s="88"/>
      <c r="BG412" s="89"/>
      <c r="BH412" s="89"/>
      <c r="BI412" s="89"/>
      <c r="BJ412" s="89"/>
      <c r="BK412" s="89"/>
      <c r="BL412" s="89"/>
      <c r="BM412" s="89"/>
      <c r="BN412" s="89"/>
      <c r="BO412" s="89"/>
    </row>
    <row r="413" spans="1:67" ht="15.75" customHeight="1" x14ac:dyDescent="0.3">
      <c r="A413" s="88"/>
      <c r="BG413" s="89"/>
      <c r="BH413" s="89"/>
      <c r="BI413" s="89"/>
      <c r="BJ413" s="89"/>
      <c r="BK413" s="89"/>
      <c r="BL413" s="89"/>
      <c r="BM413" s="89"/>
      <c r="BN413" s="89"/>
      <c r="BO413" s="89"/>
    </row>
    <row r="414" spans="1:67" ht="15.75" customHeight="1" x14ac:dyDescent="0.3">
      <c r="A414" s="88"/>
      <c r="BG414" s="89"/>
      <c r="BH414" s="89"/>
      <c r="BI414" s="89"/>
      <c r="BJ414" s="89"/>
      <c r="BK414" s="89"/>
      <c r="BL414" s="89"/>
      <c r="BM414" s="89"/>
      <c r="BN414" s="89"/>
      <c r="BO414" s="89"/>
    </row>
    <row r="415" spans="1:67" ht="15.75" customHeight="1" x14ac:dyDescent="0.3">
      <c r="A415" s="88"/>
      <c r="BG415" s="89"/>
      <c r="BH415" s="89"/>
      <c r="BI415" s="89"/>
      <c r="BJ415" s="89"/>
      <c r="BK415" s="89"/>
      <c r="BL415" s="89"/>
      <c r="BM415" s="89"/>
      <c r="BN415" s="89"/>
      <c r="BO415" s="89"/>
    </row>
    <row r="416" spans="1:67" ht="15.75" customHeight="1" x14ac:dyDescent="0.3">
      <c r="A416" s="88"/>
      <c r="BG416" s="89"/>
      <c r="BH416" s="89"/>
      <c r="BI416" s="89"/>
      <c r="BJ416" s="89"/>
      <c r="BK416" s="89"/>
      <c r="BL416" s="89"/>
      <c r="BM416" s="89"/>
      <c r="BN416" s="89"/>
      <c r="BO416" s="89"/>
    </row>
    <row r="417" spans="1:67" ht="15.75" customHeight="1" x14ac:dyDescent="0.3">
      <c r="A417" s="88"/>
      <c r="BG417" s="89"/>
      <c r="BH417" s="89"/>
      <c r="BI417" s="89"/>
      <c r="BJ417" s="89"/>
      <c r="BK417" s="89"/>
      <c r="BL417" s="89"/>
      <c r="BM417" s="89"/>
      <c r="BN417" s="89"/>
      <c r="BO417" s="89"/>
    </row>
    <row r="418" spans="1:67" ht="15.75" customHeight="1" x14ac:dyDescent="0.3">
      <c r="A418" s="88"/>
      <c r="BG418" s="89"/>
      <c r="BH418" s="89"/>
      <c r="BI418" s="89"/>
      <c r="BJ418" s="89"/>
      <c r="BK418" s="89"/>
      <c r="BL418" s="89"/>
      <c r="BM418" s="89"/>
      <c r="BN418" s="89"/>
      <c r="BO418" s="89"/>
    </row>
    <row r="419" spans="1:67" ht="15.75" customHeight="1" x14ac:dyDescent="0.3">
      <c r="A419" s="88"/>
      <c r="BG419" s="89"/>
      <c r="BH419" s="89"/>
      <c r="BI419" s="89"/>
      <c r="BJ419" s="89"/>
      <c r="BK419" s="89"/>
      <c r="BL419" s="89"/>
      <c r="BM419" s="89"/>
      <c r="BN419" s="89"/>
      <c r="BO419" s="89"/>
    </row>
    <row r="420" spans="1:67" ht="15.75" customHeight="1" x14ac:dyDescent="0.3">
      <c r="A420" s="88"/>
      <c r="BG420" s="89"/>
      <c r="BH420" s="89"/>
      <c r="BI420" s="89"/>
      <c r="BJ420" s="89"/>
      <c r="BK420" s="89"/>
      <c r="BL420" s="89"/>
      <c r="BM420" s="89"/>
      <c r="BN420" s="89"/>
      <c r="BO420" s="89"/>
    </row>
    <row r="421" spans="1:67" ht="15.75" customHeight="1" x14ac:dyDescent="0.3">
      <c r="A421" s="88"/>
      <c r="BG421" s="89"/>
      <c r="BH421" s="89"/>
      <c r="BI421" s="89"/>
      <c r="BJ421" s="89"/>
      <c r="BK421" s="89"/>
      <c r="BL421" s="89"/>
      <c r="BM421" s="89"/>
      <c r="BN421" s="89"/>
      <c r="BO421" s="89"/>
    </row>
    <row r="422" spans="1:67" ht="15.75" customHeight="1" x14ac:dyDescent="0.3">
      <c r="A422" s="88"/>
      <c r="BG422" s="89"/>
      <c r="BH422" s="89"/>
      <c r="BI422" s="89"/>
      <c r="BJ422" s="89"/>
      <c r="BK422" s="89"/>
      <c r="BL422" s="89"/>
      <c r="BM422" s="89"/>
      <c r="BN422" s="89"/>
      <c r="BO422" s="89"/>
    </row>
    <row r="423" spans="1:67" ht="15.75" customHeight="1" x14ac:dyDescent="0.3">
      <c r="A423" s="88"/>
      <c r="BG423" s="89"/>
      <c r="BH423" s="89"/>
      <c r="BI423" s="89"/>
      <c r="BJ423" s="89"/>
      <c r="BK423" s="89"/>
      <c r="BL423" s="89"/>
      <c r="BM423" s="89"/>
      <c r="BN423" s="89"/>
      <c r="BO423" s="89"/>
    </row>
    <row r="424" spans="1:67" ht="15.75" customHeight="1" x14ac:dyDescent="0.3">
      <c r="A424" s="88"/>
      <c r="BG424" s="89"/>
      <c r="BH424" s="89"/>
      <c r="BI424" s="89"/>
      <c r="BJ424" s="89"/>
      <c r="BK424" s="89"/>
      <c r="BL424" s="89"/>
      <c r="BM424" s="89"/>
      <c r="BN424" s="89"/>
      <c r="BO424" s="89"/>
    </row>
    <row r="425" spans="1:67" ht="15.75" customHeight="1" x14ac:dyDescent="0.3">
      <c r="A425" s="88"/>
      <c r="BG425" s="89"/>
      <c r="BH425" s="89"/>
      <c r="BI425" s="89"/>
      <c r="BJ425" s="89"/>
      <c r="BK425" s="89"/>
      <c r="BL425" s="89"/>
      <c r="BM425" s="89"/>
      <c r="BN425" s="89"/>
      <c r="BO425" s="89"/>
    </row>
    <row r="426" spans="1:67" ht="15.75" customHeight="1" x14ac:dyDescent="0.3">
      <c r="A426" s="88"/>
      <c r="BG426" s="89"/>
      <c r="BH426" s="89"/>
      <c r="BI426" s="89"/>
      <c r="BJ426" s="89"/>
      <c r="BK426" s="89"/>
      <c r="BL426" s="89"/>
      <c r="BM426" s="89"/>
      <c r="BN426" s="89"/>
      <c r="BO426" s="89"/>
    </row>
    <row r="427" spans="1:67" ht="15.75" customHeight="1" x14ac:dyDescent="0.3">
      <c r="A427" s="88"/>
      <c r="BG427" s="89"/>
      <c r="BH427" s="89"/>
      <c r="BI427" s="89"/>
      <c r="BJ427" s="89"/>
      <c r="BK427" s="89"/>
      <c r="BL427" s="89"/>
      <c r="BM427" s="89"/>
      <c r="BN427" s="89"/>
      <c r="BO427" s="89"/>
    </row>
    <row r="428" spans="1:67" ht="15.75" customHeight="1" x14ac:dyDescent="0.3">
      <c r="A428" s="88"/>
      <c r="BG428" s="89"/>
      <c r="BH428" s="89"/>
      <c r="BI428" s="89"/>
      <c r="BJ428" s="89"/>
      <c r="BK428" s="89"/>
      <c r="BL428" s="89"/>
      <c r="BM428" s="89"/>
      <c r="BN428" s="89"/>
      <c r="BO428" s="89"/>
    </row>
    <row r="429" spans="1:67" ht="15.75" customHeight="1" x14ac:dyDescent="0.3">
      <c r="A429" s="88"/>
      <c r="BG429" s="89"/>
      <c r="BH429" s="89"/>
      <c r="BI429" s="89"/>
      <c r="BJ429" s="89"/>
      <c r="BK429" s="89"/>
      <c r="BL429" s="89"/>
      <c r="BM429" s="89"/>
      <c r="BN429" s="89"/>
      <c r="BO429" s="89"/>
    </row>
    <row r="430" spans="1:67" ht="15.75" customHeight="1" x14ac:dyDescent="0.3">
      <c r="A430" s="88"/>
      <c r="BG430" s="89"/>
      <c r="BH430" s="89"/>
      <c r="BI430" s="89"/>
      <c r="BJ430" s="89"/>
      <c r="BK430" s="89"/>
      <c r="BL430" s="89"/>
      <c r="BM430" s="89"/>
      <c r="BN430" s="89"/>
      <c r="BO430" s="89"/>
    </row>
    <row r="431" spans="1:67" ht="15.75" customHeight="1" x14ac:dyDescent="0.3">
      <c r="A431" s="88"/>
      <c r="BG431" s="89"/>
      <c r="BH431" s="89"/>
      <c r="BI431" s="89"/>
      <c r="BJ431" s="89"/>
      <c r="BK431" s="89"/>
      <c r="BL431" s="89"/>
      <c r="BM431" s="89"/>
      <c r="BN431" s="89"/>
      <c r="BO431" s="89"/>
    </row>
    <row r="432" spans="1:67" ht="15.75" customHeight="1" x14ac:dyDescent="0.3">
      <c r="A432" s="88"/>
      <c r="BG432" s="89"/>
      <c r="BH432" s="89"/>
      <c r="BI432" s="89"/>
      <c r="BJ432" s="89"/>
      <c r="BK432" s="89"/>
      <c r="BL432" s="89"/>
      <c r="BM432" s="89"/>
      <c r="BN432" s="89"/>
      <c r="BO432" s="89"/>
    </row>
    <row r="433" spans="1:67" ht="15.75" customHeight="1" x14ac:dyDescent="0.3">
      <c r="A433" s="88"/>
      <c r="BG433" s="89"/>
      <c r="BH433" s="89"/>
      <c r="BI433" s="89"/>
      <c r="BJ433" s="89"/>
      <c r="BK433" s="89"/>
      <c r="BL433" s="89"/>
      <c r="BM433" s="89"/>
      <c r="BN433" s="89"/>
      <c r="BO433" s="89"/>
    </row>
    <row r="434" spans="1:67" ht="15.75" customHeight="1" x14ac:dyDescent="0.3">
      <c r="A434" s="88"/>
      <c r="BG434" s="89"/>
      <c r="BH434" s="89"/>
      <c r="BI434" s="89"/>
      <c r="BJ434" s="89"/>
      <c r="BK434" s="89"/>
      <c r="BL434" s="89"/>
      <c r="BM434" s="89"/>
      <c r="BN434" s="89"/>
      <c r="BO434" s="89"/>
    </row>
    <row r="435" spans="1:67" ht="15.75" customHeight="1" x14ac:dyDescent="0.3">
      <c r="A435" s="88"/>
      <c r="BG435" s="89"/>
      <c r="BH435" s="89"/>
      <c r="BI435" s="89"/>
      <c r="BJ435" s="89"/>
      <c r="BK435" s="89"/>
      <c r="BL435" s="89"/>
      <c r="BM435" s="89"/>
      <c r="BN435" s="89"/>
      <c r="BO435" s="89"/>
    </row>
    <row r="436" spans="1:67" ht="15.75" customHeight="1" x14ac:dyDescent="0.3">
      <c r="A436" s="88"/>
      <c r="BG436" s="89"/>
      <c r="BH436" s="89"/>
      <c r="BI436" s="89"/>
      <c r="BJ436" s="89"/>
      <c r="BK436" s="89"/>
      <c r="BL436" s="89"/>
      <c r="BM436" s="89"/>
      <c r="BN436" s="89"/>
      <c r="BO436" s="89"/>
    </row>
    <row r="437" spans="1:67" ht="15.75" customHeight="1" x14ac:dyDescent="0.3">
      <c r="A437" s="88"/>
      <c r="BG437" s="89"/>
      <c r="BH437" s="89"/>
      <c r="BI437" s="89"/>
      <c r="BJ437" s="89"/>
      <c r="BK437" s="89"/>
      <c r="BL437" s="89"/>
      <c r="BM437" s="89"/>
      <c r="BN437" s="89"/>
      <c r="BO437" s="89"/>
    </row>
    <row r="438" spans="1:67" ht="15.75" customHeight="1" x14ac:dyDescent="0.3">
      <c r="A438" s="88"/>
      <c r="BG438" s="89"/>
      <c r="BH438" s="89"/>
      <c r="BI438" s="89"/>
      <c r="BJ438" s="89"/>
      <c r="BK438" s="89"/>
      <c r="BL438" s="89"/>
      <c r="BM438" s="89"/>
      <c r="BN438" s="89"/>
      <c r="BO438" s="89"/>
    </row>
    <row r="439" spans="1:67" ht="15.75" customHeight="1" x14ac:dyDescent="0.3">
      <c r="A439" s="88"/>
      <c r="BG439" s="89"/>
      <c r="BH439" s="89"/>
      <c r="BI439" s="89"/>
      <c r="BJ439" s="89"/>
      <c r="BK439" s="89"/>
      <c r="BL439" s="89"/>
      <c r="BM439" s="89"/>
      <c r="BN439" s="89"/>
      <c r="BO439" s="89"/>
    </row>
    <row r="440" spans="1:67" ht="15.75" customHeight="1" x14ac:dyDescent="0.3">
      <c r="A440" s="88"/>
      <c r="BG440" s="89"/>
      <c r="BH440" s="89"/>
      <c r="BI440" s="89"/>
      <c r="BJ440" s="89"/>
      <c r="BK440" s="89"/>
      <c r="BL440" s="89"/>
      <c r="BM440" s="89"/>
      <c r="BN440" s="89"/>
      <c r="BO440" s="89"/>
    </row>
    <row r="441" spans="1:67" ht="15.75" customHeight="1" x14ac:dyDescent="0.3">
      <c r="A441" s="88"/>
      <c r="BG441" s="89"/>
      <c r="BH441" s="89"/>
      <c r="BI441" s="89"/>
      <c r="BJ441" s="89"/>
      <c r="BK441" s="89"/>
      <c r="BL441" s="89"/>
      <c r="BM441" s="89"/>
      <c r="BN441" s="89"/>
      <c r="BO441" s="89"/>
    </row>
    <row r="442" spans="1:67" ht="15.75" customHeight="1" x14ac:dyDescent="0.3">
      <c r="A442" s="88"/>
      <c r="BG442" s="89"/>
      <c r="BH442" s="89"/>
      <c r="BI442" s="89"/>
      <c r="BJ442" s="89"/>
      <c r="BK442" s="89"/>
      <c r="BL442" s="89"/>
      <c r="BM442" s="89"/>
      <c r="BN442" s="89"/>
      <c r="BO442" s="89"/>
    </row>
    <row r="443" spans="1:67" ht="15.75" customHeight="1" x14ac:dyDescent="0.3">
      <c r="A443" s="88"/>
      <c r="BG443" s="89"/>
      <c r="BH443" s="89"/>
      <c r="BI443" s="89"/>
      <c r="BJ443" s="89"/>
      <c r="BK443" s="89"/>
      <c r="BL443" s="89"/>
      <c r="BM443" s="89"/>
      <c r="BN443" s="89"/>
      <c r="BO443" s="89"/>
    </row>
    <row r="444" spans="1:67" ht="15.75" customHeight="1" x14ac:dyDescent="0.3">
      <c r="A444" s="88"/>
      <c r="BG444" s="89"/>
      <c r="BH444" s="89"/>
      <c r="BI444" s="89"/>
      <c r="BJ444" s="89"/>
      <c r="BK444" s="89"/>
      <c r="BL444" s="89"/>
      <c r="BM444" s="89"/>
      <c r="BN444" s="89"/>
      <c r="BO444" s="89"/>
    </row>
    <row r="445" spans="1:67" ht="15.75" customHeight="1" x14ac:dyDescent="0.3">
      <c r="A445" s="88"/>
      <c r="BG445" s="89"/>
      <c r="BH445" s="89"/>
      <c r="BI445" s="89"/>
      <c r="BJ445" s="89"/>
      <c r="BK445" s="89"/>
      <c r="BL445" s="89"/>
      <c r="BM445" s="89"/>
      <c r="BN445" s="89"/>
      <c r="BO445" s="89"/>
    </row>
    <row r="446" spans="1:67" ht="15.75" customHeight="1" x14ac:dyDescent="0.3">
      <c r="A446" s="88"/>
      <c r="BG446" s="89"/>
      <c r="BH446" s="89"/>
      <c r="BI446" s="89"/>
      <c r="BJ446" s="89"/>
      <c r="BK446" s="89"/>
      <c r="BL446" s="89"/>
      <c r="BM446" s="89"/>
      <c r="BN446" s="89"/>
      <c r="BO446" s="89"/>
    </row>
    <row r="447" spans="1:67" ht="15.75" customHeight="1" x14ac:dyDescent="0.3">
      <c r="A447" s="88"/>
      <c r="BG447" s="89"/>
      <c r="BH447" s="89"/>
      <c r="BI447" s="89"/>
      <c r="BJ447" s="89"/>
      <c r="BK447" s="89"/>
      <c r="BL447" s="89"/>
      <c r="BM447" s="89"/>
      <c r="BN447" s="89"/>
      <c r="BO447" s="89"/>
    </row>
    <row r="448" spans="1:67" ht="15.75" customHeight="1" x14ac:dyDescent="0.3">
      <c r="A448" s="88"/>
      <c r="BG448" s="89"/>
      <c r="BH448" s="89"/>
      <c r="BI448" s="89"/>
      <c r="BJ448" s="89"/>
      <c r="BK448" s="89"/>
      <c r="BL448" s="89"/>
      <c r="BM448" s="89"/>
      <c r="BN448" s="89"/>
      <c r="BO448" s="89"/>
    </row>
    <row r="449" spans="1:67" ht="15.75" customHeight="1" x14ac:dyDescent="0.3">
      <c r="A449" s="88"/>
      <c r="BG449" s="89"/>
      <c r="BH449" s="89"/>
      <c r="BI449" s="89"/>
      <c r="BJ449" s="89"/>
      <c r="BK449" s="89"/>
      <c r="BL449" s="89"/>
      <c r="BM449" s="89"/>
      <c r="BN449" s="89"/>
      <c r="BO449" s="89"/>
    </row>
    <row r="450" spans="1:67" ht="15.75" customHeight="1" x14ac:dyDescent="0.3">
      <c r="A450" s="88"/>
      <c r="BG450" s="89"/>
      <c r="BH450" s="89"/>
      <c r="BI450" s="89"/>
      <c r="BJ450" s="89"/>
      <c r="BK450" s="89"/>
      <c r="BL450" s="89"/>
      <c r="BM450" s="89"/>
      <c r="BN450" s="89"/>
      <c r="BO450" s="89"/>
    </row>
    <row r="451" spans="1:67" ht="15.75" customHeight="1" x14ac:dyDescent="0.3">
      <c r="A451" s="88"/>
      <c r="BG451" s="89"/>
      <c r="BH451" s="89"/>
      <c r="BI451" s="89"/>
      <c r="BJ451" s="89"/>
      <c r="BK451" s="89"/>
      <c r="BL451" s="89"/>
      <c r="BM451" s="89"/>
      <c r="BN451" s="89"/>
      <c r="BO451" s="89"/>
    </row>
    <row r="452" spans="1:67" ht="15.75" customHeight="1" x14ac:dyDescent="0.3">
      <c r="A452" s="88"/>
      <c r="BG452" s="89"/>
      <c r="BH452" s="89"/>
      <c r="BI452" s="89"/>
      <c r="BJ452" s="89"/>
      <c r="BK452" s="89"/>
      <c r="BL452" s="89"/>
      <c r="BM452" s="89"/>
      <c r="BN452" s="89"/>
      <c r="BO452" s="89"/>
    </row>
    <row r="453" spans="1:67" ht="15.75" customHeight="1" x14ac:dyDescent="0.3">
      <c r="A453" s="88"/>
      <c r="BG453" s="89"/>
      <c r="BH453" s="89"/>
      <c r="BI453" s="89"/>
      <c r="BJ453" s="89"/>
      <c r="BK453" s="89"/>
      <c r="BL453" s="89"/>
      <c r="BM453" s="89"/>
      <c r="BN453" s="89"/>
      <c r="BO453" s="89"/>
    </row>
    <row r="454" spans="1:67" ht="15.75" customHeight="1" x14ac:dyDescent="0.3">
      <c r="A454" s="88"/>
      <c r="BG454" s="89"/>
      <c r="BH454" s="89"/>
      <c r="BI454" s="89"/>
      <c r="BJ454" s="89"/>
      <c r="BK454" s="89"/>
      <c r="BL454" s="89"/>
      <c r="BM454" s="89"/>
      <c r="BN454" s="89"/>
      <c r="BO454" s="89"/>
    </row>
    <row r="455" spans="1:67" ht="15.75" customHeight="1" x14ac:dyDescent="0.3">
      <c r="A455" s="88"/>
      <c r="BG455" s="89"/>
      <c r="BH455" s="89"/>
      <c r="BI455" s="89"/>
      <c r="BJ455" s="89"/>
      <c r="BK455" s="89"/>
      <c r="BL455" s="89"/>
      <c r="BM455" s="89"/>
      <c r="BN455" s="89"/>
      <c r="BO455" s="89"/>
    </row>
    <row r="456" spans="1:67" ht="15.75" customHeight="1" x14ac:dyDescent="0.3">
      <c r="A456" s="88"/>
      <c r="BG456" s="89"/>
      <c r="BH456" s="89"/>
      <c r="BI456" s="89"/>
      <c r="BJ456" s="89"/>
      <c r="BK456" s="89"/>
      <c r="BL456" s="89"/>
      <c r="BM456" s="89"/>
      <c r="BN456" s="89"/>
      <c r="BO456" s="89"/>
    </row>
    <row r="457" spans="1:67" ht="15.75" customHeight="1" x14ac:dyDescent="0.3">
      <c r="A457" s="88"/>
      <c r="BG457" s="89"/>
      <c r="BH457" s="89"/>
      <c r="BI457" s="89"/>
      <c r="BJ457" s="89"/>
      <c r="BK457" s="89"/>
      <c r="BL457" s="89"/>
      <c r="BM457" s="89"/>
      <c r="BN457" s="89"/>
      <c r="BO457" s="89"/>
    </row>
    <row r="458" spans="1:67" ht="15.75" customHeight="1" x14ac:dyDescent="0.3">
      <c r="A458" s="88"/>
      <c r="BG458" s="89"/>
      <c r="BH458" s="89"/>
      <c r="BI458" s="89"/>
      <c r="BJ458" s="89"/>
      <c r="BK458" s="89"/>
      <c r="BL458" s="89"/>
      <c r="BM458" s="89"/>
      <c r="BN458" s="89"/>
      <c r="BO458" s="89"/>
    </row>
    <row r="459" spans="1:67" ht="15.75" customHeight="1" x14ac:dyDescent="0.3">
      <c r="A459" s="88"/>
      <c r="BG459" s="89"/>
      <c r="BH459" s="89"/>
      <c r="BI459" s="89"/>
      <c r="BJ459" s="89"/>
      <c r="BK459" s="89"/>
      <c r="BL459" s="89"/>
      <c r="BM459" s="89"/>
      <c r="BN459" s="89"/>
      <c r="BO459" s="89"/>
    </row>
    <row r="460" spans="1:67" ht="15.75" customHeight="1" x14ac:dyDescent="0.3">
      <c r="A460" s="88"/>
      <c r="BG460" s="89"/>
      <c r="BH460" s="89"/>
      <c r="BI460" s="89"/>
      <c r="BJ460" s="89"/>
      <c r="BK460" s="89"/>
      <c r="BL460" s="89"/>
      <c r="BM460" s="89"/>
      <c r="BN460" s="89"/>
      <c r="BO460" s="89"/>
    </row>
    <row r="461" spans="1:67" ht="15.75" customHeight="1" x14ac:dyDescent="0.3">
      <c r="A461" s="88"/>
      <c r="BG461" s="89"/>
      <c r="BH461" s="89"/>
      <c r="BI461" s="89"/>
      <c r="BJ461" s="89"/>
      <c r="BK461" s="89"/>
      <c r="BL461" s="89"/>
      <c r="BM461" s="89"/>
      <c r="BN461" s="89"/>
      <c r="BO461" s="89"/>
    </row>
    <row r="462" spans="1:67" ht="15.75" customHeight="1" x14ac:dyDescent="0.3">
      <c r="A462" s="88"/>
      <c r="BG462" s="89"/>
      <c r="BH462" s="89"/>
      <c r="BI462" s="89"/>
      <c r="BJ462" s="89"/>
      <c r="BK462" s="89"/>
      <c r="BL462" s="89"/>
      <c r="BM462" s="89"/>
      <c r="BN462" s="89"/>
      <c r="BO462" s="89"/>
    </row>
    <row r="463" spans="1:67" ht="15.75" customHeight="1" x14ac:dyDescent="0.3">
      <c r="A463" s="88"/>
      <c r="BG463" s="89"/>
      <c r="BH463" s="89"/>
      <c r="BI463" s="89"/>
      <c r="BJ463" s="89"/>
      <c r="BK463" s="89"/>
      <c r="BL463" s="89"/>
      <c r="BM463" s="89"/>
      <c r="BN463" s="89"/>
      <c r="BO463" s="89"/>
    </row>
    <row r="464" spans="1:67" ht="15.75" customHeight="1" x14ac:dyDescent="0.3">
      <c r="A464" s="88"/>
      <c r="BG464" s="89"/>
      <c r="BH464" s="89"/>
      <c r="BI464" s="89"/>
      <c r="BJ464" s="89"/>
      <c r="BK464" s="89"/>
      <c r="BL464" s="89"/>
      <c r="BM464" s="89"/>
      <c r="BN464" s="89"/>
      <c r="BO464" s="89"/>
    </row>
    <row r="465" spans="1:67" ht="15.75" customHeight="1" x14ac:dyDescent="0.3">
      <c r="A465" s="88"/>
      <c r="BG465" s="89"/>
      <c r="BH465" s="89"/>
      <c r="BI465" s="89"/>
      <c r="BJ465" s="89"/>
      <c r="BK465" s="89"/>
      <c r="BL465" s="89"/>
      <c r="BM465" s="89"/>
      <c r="BN465" s="89"/>
      <c r="BO465" s="89"/>
    </row>
    <row r="466" spans="1:67" ht="15.75" customHeight="1" x14ac:dyDescent="0.3">
      <c r="A466" s="88"/>
      <c r="BG466" s="89"/>
      <c r="BH466" s="89"/>
      <c r="BI466" s="89"/>
      <c r="BJ466" s="89"/>
      <c r="BK466" s="89"/>
      <c r="BL466" s="89"/>
      <c r="BM466" s="89"/>
      <c r="BN466" s="89"/>
      <c r="BO466" s="89"/>
    </row>
    <row r="467" spans="1:67" ht="15.75" customHeight="1" x14ac:dyDescent="0.3">
      <c r="A467" s="88"/>
      <c r="BG467" s="89"/>
      <c r="BH467" s="89"/>
      <c r="BI467" s="89"/>
      <c r="BJ467" s="89"/>
      <c r="BK467" s="89"/>
      <c r="BL467" s="89"/>
      <c r="BM467" s="89"/>
      <c r="BN467" s="89"/>
      <c r="BO467" s="89"/>
    </row>
    <row r="468" spans="1:67" ht="15.75" customHeight="1" x14ac:dyDescent="0.3">
      <c r="A468" s="88"/>
      <c r="BG468" s="89"/>
      <c r="BH468" s="89"/>
      <c r="BI468" s="89"/>
      <c r="BJ468" s="89"/>
      <c r="BK468" s="89"/>
      <c r="BL468" s="89"/>
      <c r="BM468" s="89"/>
      <c r="BN468" s="89"/>
      <c r="BO468" s="89"/>
    </row>
    <row r="469" spans="1:67" ht="15.75" customHeight="1" x14ac:dyDescent="0.3">
      <c r="A469" s="88"/>
      <c r="BG469" s="89"/>
      <c r="BH469" s="89"/>
      <c r="BI469" s="89"/>
      <c r="BJ469" s="89"/>
      <c r="BK469" s="89"/>
      <c r="BL469" s="89"/>
      <c r="BM469" s="89"/>
      <c r="BN469" s="89"/>
      <c r="BO469" s="89"/>
    </row>
    <row r="470" spans="1:67" ht="15.75" customHeight="1" x14ac:dyDescent="0.3">
      <c r="A470" s="88"/>
      <c r="BG470" s="89"/>
      <c r="BH470" s="89"/>
      <c r="BI470" s="89"/>
      <c r="BJ470" s="89"/>
      <c r="BK470" s="89"/>
      <c r="BL470" s="89"/>
      <c r="BM470" s="89"/>
      <c r="BN470" s="89"/>
      <c r="BO470" s="89"/>
    </row>
    <row r="471" spans="1:67" ht="15.75" customHeight="1" x14ac:dyDescent="0.3">
      <c r="A471" s="88"/>
      <c r="BG471" s="89"/>
      <c r="BH471" s="89"/>
      <c r="BI471" s="89"/>
      <c r="BJ471" s="89"/>
      <c r="BK471" s="89"/>
      <c r="BL471" s="89"/>
      <c r="BM471" s="89"/>
      <c r="BN471" s="89"/>
      <c r="BO471" s="89"/>
    </row>
    <row r="472" spans="1:67" ht="15.75" customHeight="1" x14ac:dyDescent="0.3">
      <c r="A472" s="88"/>
      <c r="BG472" s="89"/>
      <c r="BH472" s="89"/>
      <c r="BI472" s="89"/>
      <c r="BJ472" s="89"/>
      <c r="BK472" s="89"/>
      <c r="BL472" s="89"/>
      <c r="BM472" s="89"/>
      <c r="BN472" s="89"/>
      <c r="BO472" s="89"/>
    </row>
    <row r="473" spans="1:67" ht="15.75" customHeight="1" x14ac:dyDescent="0.3">
      <c r="A473" s="88"/>
      <c r="BG473" s="89"/>
      <c r="BH473" s="89"/>
      <c r="BI473" s="89"/>
      <c r="BJ473" s="89"/>
      <c r="BK473" s="89"/>
      <c r="BL473" s="89"/>
      <c r="BM473" s="89"/>
      <c r="BN473" s="89"/>
      <c r="BO473" s="89"/>
    </row>
    <row r="474" spans="1:67" ht="15.75" customHeight="1" x14ac:dyDescent="0.3">
      <c r="A474" s="88"/>
      <c r="BG474" s="89"/>
      <c r="BH474" s="89"/>
      <c r="BI474" s="89"/>
      <c r="BJ474" s="89"/>
      <c r="BK474" s="89"/>
      <c r="BL474" s="89"/>
      <c r="BM474" s="89"/>
      <c r="BN474" s="89"/>
      <c r="BO474" s="89"/>
    </row>
    <row r="475" spans="1:67" ht="15.75" customHeight="1" x14ac:dyDescent="0.3">
      <c r="A475" s="88"/>
      <c r="BG475" s="89"/>
      <c r="BH475" s="89"/>
      <c r="BI475" s="89"/>
      <c r="BJ475" s="89"/>
      <c r="BK475" s="89"/>
      <c r="BL475" s="89"/>
      <c r="BM475" s="89"/>
      <c r="BN475" s="89"/>
      <c r="BO475" s="89"/>
    </row>
    <row r="476" spans="1:67" ht="15.75" customHeight="1" x14ac:dyDescent="0.3">
      <c r="A476" s="88"/>
      <c r="BG476" s="89"/>
      <c r="BH476" s="89"/>
      <c r="BI476" s="89"/>
      <c r="BJ476" s="89"/>
      <c r="BK476" s="89"/>
      <c r="BL476" s="89"/>
      <c r="BM476" s="89"/>
      <c r="BN476" s="89"/>
      <c r="BO476" s="89"/>
    </row>
    <row r="477" spans="1:67" ht="15.75" customHeight="1" x14ac:dyDescent="0.3">
      <c r="A477" s="88"/>
      <c r="BG477" s="89"/>
      <c r="BH477" s="89"/>
      <c r="BI477" s="89"/>
      <c r="BJ477" s="89"/>
      <c r="BK477" s="89"/>
      <c r="BL477" s="89"/>
      <c r="BM477" s="89"/>
      <c r="BN477" s="89"/>
      <c r="BO477" s="89"/>
    </row>
    <row r="478" spans="1:67" ht="15.75" customHeight="1" x14ac:dyDescent="0.3">
      <c r="A478" s="88"/>
      <c r="BG478" s="89"/>
      <c r="BH478" s="89"/>
      <c r="BI478" s="89"/>
      <c r="BJ478" s="89"/>
      <c r="BK478" s="89"/>
      <c r="BL478" s="89"/>
      <c r="BM478" s="89"/>
      <c r="BN478" s="89"/>
      <c r="BO478" s="89"/>
    </row>
    <row r="479" spans="1:67" ht="15.75" customHeight="1" x14ac:dyDescent="0.3">
      <c r="A479" s="88"/>
      <c r="BG479" s="89"/>
      <c r="BH479" s="89"/>
      <c r="BI479" s="89"/>
      <c r="BJ479" s="89"/>
      <c r="BK479" s="89"/>
      <c r="BL479" s="89"/>
      <c r="BM479" s="89"/>
      <c r="BN479" s="89"/>
      <c r="BO479" s="89"/>
    </row>
    <row r="480" spans="1:67" ht="15.75" customHeight="1" x14ac:dyDescent="0.3">
      <c r="A480" s="88"/>
      <c r="BG480" s="89"/>
      <c r="BH480" s="89"/>
      <c r="BI480" s="89"/>
      <c r="BJ480" s="89"/>
      <c r="BK480" s="89"/>
      <c r="BL480" s="89"/>
      <c r="BM480" s="89"/>
      <c r="BN480" s="89"/>
      <c r="BO480" s="89"/>
    </row>
    <row r="481" spans="1:67" ht="15.75" customHeight="1" x14ac:dyDescent="0.3">
      <c r="A481" s="88"/>
      <c r="BG481" s="89"/>
      <c r="BH481" s="89"/>
      <c r="BI481" s="89"/>
      <c r="BJ481" s="89"/>
      <c r="BK481" s="89"/>
      <c r="BL481" s="89"/>
      <c r="BM481" s="89"/>
      <c r="BN481" s="89"/>
      <c r="BO481" s="89"/>
    </row>
    <row r="482" spans="1:67" ht="15.75" customHeight="1" x14ac:dyDescent="0.3">
      <c r="A482" s="88"/>
      <c r="BG482" s="89"/>
      <c r="BH482" s="89"/>
      <c r="BI482" s="89"/>
      <c r="BJ482" s="89"/>
      <c r="BK482" s="89"/>
      <c r="BL482" s="89"/>
      <c r="BM482" s="89"/>
      <c r="BN482" s="89"/>
      <c r="BO482" s="89"/>
    </row>
    <row r="483" spans="1:67" ht="15.75" customHeight="1" x14ac:dyDescent="0.3">
      <c r="A483" s="88"/>
      <c r="BG483" s="89"/>
      <c r="BH483" s="89"/>
      <c r="BI483" s="89"/>
      <c r="BJ483" s="89"/>
      <c r="BK483" s="89"/>
      <c r="BL483" s="89"/>
      <c r="BM483" s="89"/>
      <c r="BN483" s="89"/>
      <c r="BO483" s="89"/>
    </row>
    <row r="484" spans="1:67" ht="15.75" customHeight="1" x14ac:dyDescent="0.3">
      <c r="A484" s="88"/>
      <c r="BG484" s="89"/>
      <c r="BH484" s="89"/>
      <c r="BI484" s="89"/>
      <c r="BJ484" s="89"/>
      <c r="BK484" s="89"/>
      <c r="BL484" s="89"/>
      <c r="BM484" s="89"/>
      <c r="BN484" s="89"/>
      <c r="BO484" s="89"/>
    </row>
    <row r="485" spans="1:67" ht="15.75" customHeight="1" x14ac:dyDescent="0.3">
      <c r="A485" s="88"/>
      <c r="BG485" s="89"/>
      <c r="BH485" s="89"/>
      <c r="BI485" s="89"/>
      <c r="BJ485" s="89"/>
      <c r="BK485" s="89"/>
      <c r="BL485" s="89"/>
      <c r="BM485" s="89"/>
      <c r="BN485" s="89"/>
      <c r="BO485" s="89"/>
    </row>
    <row r="486" spans="1:67" ht="15.75" customHeight="1" x14ac:dyDescent="0.3">
      <c r="A486" s="88"/>
      <c r="BG486" s="89"/>
      <c r="BH486" s="89"/>
      <c r="BI486" s="89"/>
      <c r="BJ486" s="89"/>
      <c r="BK486" s="89"/>
      <c r="BL486" s="89"/>
      <c r="BM486" s="89"/>
      <c r="BN486" s="89"/>
      <c r="BO486" s="89"/>
    </row>
    <row r="487" spans="1:67" ht="15.75" customHeight="1" x14ac:dyDescent="0.3">
      <c r="A487" s="88"/>
      <c r="BG487" s="89"/>
      <c r="BH487" s="89"/>
      <c r="BI487" s="89"/>
      <c r="BJ487" s="89"/>
      <c r="BK487" s="89"/>
      <c r="BL487" s="89"/>
      <c r="BM487" s="89"/>
      <c r="BN487" s="89"/>
      <c r="BO487" s="89"/>
    </row>
    <row r="488" spans="1:67" ht="15.75" customHeight="1" x14ac:dyDescent="0.3">
      <c r="A488" s="88"/>
      <c r="BG488" s="89"/>
      <c r="BH488" s="89"/>
      <c r="BI488" s="89"/>
      <c r="BJ488" s="89"/>
      <c r="BK488" s="89"/>
      <c r="BL488" s="89"/>
      <c r="BM488" s="89"/>
      <c r="BN488" s="89"/>
      <c r="BO488" s="89"/>
    </row>
    <row r="489" spans="1:67" ht="15.75" customHeight="1" x14ac:dyDescent="0.3">
      <c r="A489" s="88"/>
      <c r="BG489" s="89"/>
      <c r="BH489" s="89"/>
      <c r="BI489" s="89"/>
      <c r="BJ489" s="89"/>
      <c r="BK489" s="89"/>
      <c r="BL489" s="89"/>
      <c r="BM489" s="89"/>
      <c r="BN489" s="89"/>
      <c r="BO489" s="89"/>
    </row>
    <row r="490" spans="1:67" ht="15.75" customHeight="1" x14ac:dyDescent="0.3">
      <c r="A490" s="88"/>
      <c r="BG490" s="89"/>
      <c r="BH490" s="89"/>
      <c r="BI490" s="89"/>
      <c r="BJ490" s="89"/>
      <c r="BK490" s="89"/>
      <c r="BL490" s="89"/>
      <c r="BM490" s="89"/>
      <c r="BN490" s="89"/>
      <c r="BO490" s="89"/>
    </row>
    <row r="491" spans="1:67" ht="15.75" customHeight="1" x14ac:dyDescent="0.3">
      <c r="A491" s="88"/>
      <c r="BG491" s="89"/>
      <c r="BH491" s="89"/>
      <c r="BI491" s="89"/>
      <c r="BJ491" s="89"/>
      <c r="BK491" s="89"/>
      <c r="BL491" s="89"/>
      <c r="BM491" s="89"/>
      <c r="BN491" s="89"/>
      <c r="BO491" s="89"/>
    </row>
    <row r="492" spans="1:67" ht="15.75" customHeight="1" x14ac:dyDescent="0.3">
      <c r="A492" s="88"/>
      <c r="BG492" s="89"/>
      <c r="BH492" s="89"/>
      <c r="BI492" s="89"/>
      <c r="BJ492" s="89"/>
      <c r="BK492" s="89"/>
      <c r="BL492" s="89"/>
      <c r="BM492" s="89"/>
      <c r="BN492" s="89"/>
      <c r="BO492" s="89"/>
    </row>
    <row r="493" spans="1:67" ht="15.75" customHeight="1" x14ac:dyDescent="0.3">
      <c r="A493" s="88"/>
      <c r="BG493" s="89"/>
      <c r="BH493" s="89"/>
      <c r="BI493" s="89"/>
      <c r="BJ493" s="89"/>
      <c r="BK493" s="89"/>
      <c r="BL493" s="89"/>
      <c r="BM493" s="89"/>
      <c r="BN493" s="89"/>
      <c r="BO493" s="89"/>
    </row>
    <row r="494" spans="1:67" ht="15.75" customHeight="1" x14ac:dyDescent="0.3">
      <c r="A494" s="88"/>
      <c r="BG494" s="89"/>
      <c r="BH494" s="89"/>
      <c r="BI494" s="89"/>
      <c r="BJ494" s="89"/>
      <c r="BK494" s="89"/>
      <c r="BL494" s="89"/>
      <c r="BM494" s="89"/>
      <c r="BN494" s="89"/>
      <c r="BO494" s="89"/>
    </row>
    <row r="495" spans="1:67" ht="15.75" customHeight="1" x14ac:dyDescent="0.3">
      <c r="A495" s="88"/>
      <c r="BG495" s="89"/>
      <c r="BH495" s="89"/>
      <c r="BI495" s="89"/>
      <c r="BJ495" s="89"/>
      <c r="BK495" s="89"/>
      <c r="BL495" s="89"/>
      <c r="BM495" s="89"/>
      <c r="BN495" s="89"/>
      <c r="BO495" s="89"/>
    </row>
    <row r="496" spans="1:67" ht="15.75" customHeight="1" x14ac:dyDescent="0.3">
      <c r="A496" s="88"/>
      <c r="BG496" s="89"/>
      <c r="BH496" s="89"/>
      <c r="BI496" s="89"/>
      <c r="BJ496" s="89"/>
      <c r="BK496" s="89"/>
      <c r="BL496" s="89"/>
      <c r="BM496" s="89"/>
      <c r="BN496" s="89"/>
      <c r="BO496" s="89"/>
    </row>
    <row r="497" spans="1:67" ht="15.75" customHeight="1" x14ac:dyDescent="0.3">
      <c r="A497" s="88"/>
      <c r="BG497" s="89"/>
      <c r="BH497" s="89"/>
      <c r="BI497" s="89"/>
      <c r="BJ497" s="89"/>
      <c r="BK497" s="89"/>
      <c r="BL497" s="89"/>
      <c r="BM497" s="89"/>
      <c r="BN497" s="89"/>
      <c r="BO497" s="89"/>
    </row>
    <row r="498" spans="1:67" ht="15.75" customHeight="1" x14ac:dyDescent="0.3">
      <c r="A498" s="88"/>
      <c r="BG498" s="89"/>
      <c r="BH498" s="89"/>
      <c r="BI498" s="89"/>
      <c r="BJ498" s="89"/>
      <c r="BK498" s="89"/>
      <c r="BL498" s="89"/>
      <c r="BM498" s="89"/>
      <c r="BN498" s="89"/>
      <c r="BO498" s="89"/>
    </row>
    <row r="499" spans="1:67" ht="15.75" customHeight="1" x14ac:dyDescent="0.3">
      <c r="A499" s="88"/>
      <c r="BG499" s="89"/>
      <c r="BH499" s="89"/>
      <c r="BI499" s="89"/>
      <c r="BJ499" s="89"/>
      <c r="BK499" s="89"/>
      <c r="BL499" s="89"/>
      <c r="BM499" s="89"/>
      <c r="BN499" s="89"/>
      <c r="BO499" s="89"/>
    </row>
    <row r="500" spans="1:67" ht="15.75" customHeight="1" x14ac:dyDescent="0.3">
      <c r="A500" s="88"/>
      <c r="BG500" s="89"/>
      <c r="BH500" s="89"/>
      <c r="BI500" s="89"/>
      <c r="BJ500" s="89"/>
      <c r="BK500" s="89"/>
      <c r="BL500" s="89"/>
      <c r="BM500" s="89"/>
      <c r="BN500" s="89"/>
      <c r="BO500" s="89"/>
    </row>
    <row r="501" spans="1:67" ht="15.75" customHeight="1" x14ac:dyDescent="0.3">
      <c r="A501" s="88"/>
      <c r="BG501" s="89"/>
      <c r="BH501" s="89"/>
      <c r="BI501" s="89"/>
      <c r="BJ501" s="89"/>
      <c r="BK501" s="89"/>
      <c r="BL501" s="89"/>
      <c r="BM501" s="89"/>
      <c r="BN501" s="89"/>
      <c r="BO501" s="89"/>
    </row>
    <row r="502" spans="1:67" ht="15.75" customHeight="1" x14ac:dyDescent="0.3">
      <c r="A502" s="88"/>
      <c r="BG502" s="89"/>
      <c r="BH502" s="89"/>
      <c r="BI502" s="89"/>
      <c r="BJ502" s="89"/>
      <c r="BK502" s="89"/>
      <c r="BL502" s="89"/>
      <c r="BM502" s="89"/>
      <c r="BN502" s="89"/>
      <c r="BO502" s="89"/>
    </row>
    <row r="503" spans="1:67" ht="15.75" customHeight="1" x14ac:dyDescent="0.3">
      <c r="A503" s="88"/>
      <c r="BG503" s="89"/>
      <c r="BH503" s="89"/>
      <c r="BI503" s="89"/>
      <c r="BJ503" s="89"/>
      <c r="BK503" s="89"/>
      <c r="BL503" s="89"/>
      <c r="BM503" s="89"/>
      <c r="BN503" s="89"/>
      <c r="BO503" s="89"/>
    </row>
    <row r="504" spans="1:67" ht="15.75" customHeight="1" x14ac:dyDescent="0.3">
      <c r="A504" s="88"/>
      <c r="BG504" s="89"/>
      <c r="BH504" s="89"/>
      <c r="BI504" s="89"/>
      <c r="BJ504" s="89"/>
      <c r="BK504" s="89"/>
      <c r="BL504" s="89"/>
      <c r="BM504" s="89"/>
      <c r="BN504" s="89"/>
      <c r="BO504" s="89"/>
    </row>
    <row r="505" spans="1:67" ht="15.75" customHeight="1" x14ac:dyDescent="0.3">
      <c r="A505" s="88"/>
      <c r="BG505" s="89"/>
      <c r="BH505" s="89"/>
      <c r="BI505" s="89"/>
      <c r="BJ505" s="89"/>
      <c r="BK505" s="89"/>
      <c r="BL505" s="89"/>
      <c r="BM505" s="89"/>
      <c r="BN505" s="89"/>
      <c r="BO505" s="89"/>
    </row>
    <row r="506" spans="1:67" ht="15.75" customHeight="1" x14ac:dyDescent="0.3">
      <c r="A506" s="88"/>
      <c r="BG506" s="89"/>
      <c r="BH506" s="89"/>
      <c r="BI506" s="89"/>
      <c r="BJ506" s="89"/>
      <c r="BK506" s="89"/>
      <c r="BL506" s="89"/>
      <c r="BM506" s="89"/>
      <c r="BN506" s="89"/>
      <c r="BO506" s="89"/>
    </row>
    <row r="507" spans="1:67" ht="15.75" customHeight="1" x14ac:dyDescent="0.3">
      <c r="A507" s="88"/>
      <c r="BG507" s="89"/>
      <c r="BH507" s="89"/>
      <c r="BI507" s="89"/>
      <c r="BJ507" s="89"/>
      <c r="BK507" s="89"/>
      <c r="BL507" s="89"/>
      <c r="BM507" s="89"/>
      <c r="BN507" s="89"/>
      <c r="BO507" s="89"/>
    </row>
    <row r="508" spans="1:67" ht="15.75" customHeight="1" x14ac:dyDescent="0.3">
      <c r="A508" s="88"/>
      <c r="BG508" s="89"/>
      <c r="BH508" s="89"/>
      <c r="BI508" s="89"/>
      <c r="BJ508" s="89"/>
      <c r="BK508" s="89"/>
      <c r="BL508" s="89"/>
      <c r="BM508" s="89"/>
      <c r="BN508" s="89"/>
      <c r="BO508" s="89"/>
    </row>
    <row r="509" spans="1:67" ht="15.75" customHeight="1" x14ac:dyDescent="0.3">
      <c r="A509" s="88"/>
      <c r="BG509" s="89"/>
      <c r="BH509" s="89"/>
      <c r="BI509" s="89"/>
      <c r="BJ509" s="89"/>
      <c r="BK509" s="89"/>
      <c r="BL509" s="89"/>
      <c r="BM509" s="89"/>
      <c r="BN509" s="89"/>
      <c r="BO509" s="89"/>
    </row>
    <row r="510" spans="1:67" ht="15.75" customHeight="1" x14ac:dyDescent="0.3">
      <c r="A510" s="88"/>
      <c r="BG510" s="89"/>
      <c r="BH510" s="89"/>
      <c r="BI510" s="89"/>
      <c r="BJ510" s="89"/>
      <c r="BK510" s="89"/>
      <c r="BL510" s="89"/>
      <c r="BM510" s="89"/>
      <c r="BN510" s="89"/>
      <c r="BO510" s="89"/>
    </row>
    <row r="511" spans="1:67" ht="15.75" customHeight="1" x14ac:dyDescent="0.3">
      <c r="A511" s="88"/>
      <c r="BG511" s="89"/>
      <c r="BH511" s="89"/>
      <c r="BI511" s="89"/>
      <c r="BJ511" s="89"/>
      <c r="BK511" s="89"/>
      <c r="BL511" s="89"/>
      <c r="BM511" s="89"/>
      <c r="BN511" s="89"/>
      <c r="BO511" s="89"/>
    </row>
    <row r="512" spans="1:67" ht="15.75" customHeight="1" x14ac:dyDescent="0.3">
      <c r="A512" s="88"/>
      <c r="BG512" s="89"/>
      <c r="BH512" s="89"/>
      <c r="BI512" s="89"/>
      <c r="BJ512" s="89"/>
      <c r="BK512" s="89"/>
      <c r="BL512" s="89"/>
      <c r="BM512" s="89"/>
      <c r="BN512" s="89"/>
      <c r="BO512" s="89"/>
    </row>
    <row r="513" spans="1:67" ht="15.75" customHeight="1" x14ac:dyDescent="0.3">
      <c r="A513" s="88"/>
      <c r="BG513" s="89"/>
      <c r="BH513" s="89"/>
      <c r="BI513" s="89"/>
      <c r="BJ513" s="89"/>
      <c r="BK513" s="89"/>
      <c r="BL513" s="89"/>
      <c r="BM513" s="89"/>
      <c r="BN513" s="89"/>
      <c r="BO513" s="89"/>
    </row>
    <row r="514" spans="1:67" ht="15.75" customHeight="1" x14ac:dyDescent="0.3">
      <c r="A514" s="88"/>
      <c r="BG514" s="89"/>
      <c r="BH514" s="89"/>
      <c r="BI514" s="89"/>
      <c r="BJ514" s="89"/>
      <c r="BK514" s="89"/>
      <c r="BL514" s="89"/>
      <c r="BM514" s="89"/>
      <c r="BN514" s="89"/>
      <c r="BO514" s="89"/>
    </row>
    <row r="515" spans="1:67" ht="15.75" customHeight="1" x14ac:dyDescent="0.3">
      <c r="A515" s="88"/>
      <c r="BG515" s="89"/>
      <c r="BH515" s="89"/>
      <c r="BI515" s="89"/>
      <c r="BJ515" s="89"/>
      <c r="BK515" s="89"/>
      <c r="BL515" s="89"/>
      <c r="BM515" s="89"/>
      <c r="BN515" s="89"/>
      <c r="BO515" s="89"/>
    </row>
    <row r="516" spans="1:67" ht="15.75" customHeight="1" x14ac:dyDescent="0.3">
      <c r="A516" s="88"/>
      <c r="BG516" s="89"/>
      <c r="BH516" s="89"/>
      <c r="BI516" s="89"/>
      <c r="BJ516" s="89"/>
      <c r="BK516" s="89"/>
      <c r="BL516" s="89"/>
      <c r="BM516" s="89"/>
      <c r="BN516" s="89"/>
      <c r="BO516" s="89"/>
    </row>
    <row r="517" spans="1:67" ht="15.75" customHeight="1" x14ac:dyDescent="0.3">
      <c r="A517" s="88"/>
      <c r="BG517" s="89"/>
      <c r="BH517" s="89"/>
      <c r="BI517" s="89"/>
      <c r="BJ517" s="89"/>
      <c r="BK517" s="89"/>
      <c r="BL517" s="89"/>
      <c r="BM517" s="89"/>
      <c r="BN517" s="89"/>
      <c r="BO517" s="89"/>
    </row>
    <row r="518" spans="1:67" ht="15.75" customHeight="1" x14ac:dyDescent="0.3">
      <c r="A518" s="88"/>
      <c r="BG518" s="89"/>
      <c r="BH518" s="89"/>
      <c r="BI518" s="89"/>
      <c r="BJ518" s="89"/>
      <c r="BK518" s="89"/>
      <c r="BL518" s="89"/>
      <c r="BM518" s="89"/>
      <c r="BN518" s="89"/>
      <c r="BO518" s="89"/>
    </row>
    <row r="519" spans="1:67" ht="15.75" customHeight="1" x14ac:dyDescent="0.3">
      <c r="A519" s="88"/>
      <c r="BG519" s="89"/>
      <c r="BH519" s="89"/>
      <c r="BI519" s="89"/>
      <c r="BJ519" s="89"/>
      <c r="BK519" s="89"/>
      <c r="BL519" s="89"/>
      <c r="BM519" s="89"/>
      <c r="BN519" s="89"/>
      <c r="BO519" s="89"/>
    </row>
    <row r="520" spans="1:67" ht="15.75" customHeight="1" x14ac:dyDescent="0.3">
      <c r="A520" s="88"/>
      <c r="BG520" s="89"/>
      <c r="BH520" s="89"/>
      <c r="BI520" s="89"/>
      <c r="BJ520" s="89"/>
      <c r="BK520" s="89"/>
      <c r="BL520" s="89"/>
      <c r="BM520" s="89"/>
      <c r="BN520" s="89"/>
      <c r="BO520" s="89"/>
    </row>
    <row r="521" spans="1:67" ht="15.75" customHeight="1" x14ac:dyDescent="0.3">
      <c r="A521" s="88"/>
      <c r="BG521" s="89"/>
      <c r="BH521" s="89"/>
      <c r="BI521" s="89"/>
      <c r="BJ521" s="89"/>
      <c r="BK521" s="89"/>
      <c r="BL521" s="89"/>
      <c r="BM521" s="89"/>
      <c r="BN521" s="89"/>
      <c r="BO521" s="89"/>
    </row>
    <row r="522" spans="1:67" ht="15.75" customHeight="1" x14ac:dyDescent="0.3">
      <c r="A522" s="88"/>
      <c r="BG522" s="89"/>
      <c r="BH522" s="89"/>
      <c r="BI522" s="89"/>
      <c r="BJ522" s="89"/>
      <c r="BK522" s="89"/>
      <c r="BL522" s="89"/>
      <c r="BM522" s="89"/>
      <c r="BN522" s="89"/>
      <c r="BO522" s="89"/>
    </row>
    <row r="523" spans="1:67" ht="15.75" customHeight="1" x14ac:dyDescent="0.3">
      <c r="A523" s="88"/>
      <c r="BG523" s="89"/>
      <c r="BH523" s="89"/>
      <c r="BI523" s="89"/>
      <c r="BJ523" s="89"/>
      <c r="BK523" s="89"/>
      <c r="BL523" s="89"/>
      <c r="BM523" s="89"/>
      <c r="BN523" s="89"/>
      <c r="BO523" s="89"/>
    </row>
    <row r="524" spans="1:67" ht="15.75" customHeight="1" x14ac:dyDescent="0.3">
      <c r="A524" s="88"/>
      <c r="BG524" s="89"/>
      <c r="BH524" s="89"/>
      <c r="BI524" s="89"/>
      <c r="BJ524" s="89"/>
      <c r="BK524" s="89"/>
      <c r="BL524" s="89"/>
      <c r="BM524" s="89"/>
      <c r="BN524" s="89"/>
      <c r="BO524" s="89"/>
    </row>
    <row r="525" spans="1:67" ht="15.75" customHeight="1" x14ac:dyDescent="0.3">
      <c r="A525" s="88"/>
      <c r="BG525" s="89"/>
      <c r="BH525" s="89"/>
      <c r="BI525" s="89"/>
      <c r="BJ525" s="89"/>
      <c r="BK525" s="89"/>
      <c r="BL525" s="89"/>
      <c r="BM525" s="89"/>
      <c r="BN525" s="89"/>
      <c r="BO525" s="89"/>
    </row>
    <row r="526" spans="1:67" ht="15.75" customHeight="1" x14ac:dyDescent="0.3">
      <c r="A526" s="88"/>
      <c r="BG526" s="89"/>
      <c r="BH526" s="89"/>
      <c r="BI526" s="89"/>
      <c r="BJ526" s="89"/>
      <c r="BK526" s="89"/>
      <c r="BL526" s="89"/>
      <c r="BM526" s="89"/>
      <c r="BN526" s="89"/>
      <c r="BO526" s="89"/>
    </row>
    <row r="527" spans="1:67" ht="15.75" customHeight="1" x14ac:dyDescent="0.3">
      <c r="A527" s="88"/>
      <c r="BG527" s="89"/>
      <c r="BH527" s="89"/>
      <c r="BI527" s="89"/>
      <c r="BJ527" s="89"/>
      <c r="BK527" s="89"/>
      <c r="BL527" s="89"/>
      <c r="BM527" s="89"/>
      <c r="BN527" s="89"/>
      <c r="BO527" s="89"/>
    </row>
    <row r="528" spans="1:67" ht="15.75" customHeight="1" x14ac:dyDescent="0.3">
      <c r="A528" s="88"/>
      <c r="BG528" s="89"/>
      <c r="BH528" s="89"/>
      <c r="BI528" s="89"/>
      <c r="BJ528" s="89"/>
      <c r="BK528" s="89"/>
      <c r="BL528" s="89"/>
      <c r="BM528" s="89"/>
      <c r="BN528" s="89"/>
      <c r="BO528" s="89"/>
    </row>
    <row r="529" spans="1:67" ht="15.75" customHeight="1" x14ac:dyDescent="0.3">
      <c r="A529" s="88"/>
      <c r="BG529" s="89"/>
      <c r="BH529" s="89"/>
      <c r="BI529" s="89"/>
      <c r="BJ529" s="89"/>
      <c r="BK529" s="89"/>
      <c r="BL529" s="89"/>
      <c r="BM529" s="89"/>
      <c r="BN529" s="89"/>
      <c r="BO529" s="89"/>
    </row>
    <row r="530" spans="1:67" ht="15.75" customHeight="1" x14ac:dyDescent="0.3">
      <c r="A530" s="88"/>
      <c r="BG530" s="89"/>
      <c r="BH530" s="89"/>
      <c r="BI530" s="89"/>
      <c r="BJ530" s="89"/>
      <c r="BK530" s="89"/>
      <c r="BL530" s="89"/>
      <c r="BM530" s="89"/>
      <c r="BN530" s="89"/>
      <c r="BO530" s="89"/>
    </row>
    <row r="531" spans="1:67" ht="15.75" customHeight="1" x14ac:dyDescent="0.3">
      <c r="A531" s="88"/>
      <c r="BG531" s="89"/>
      <c r="BH531" s="89"/>
      <c r="BI531" s="89"/>
      <c r="BJ531" s="89"/>
      <c r="BK531" s="89"/>
      <c r="BL531" s="89"/>
      <c r="BM531" s="89"/>
      <c r="BN531" s="89"/>
      <c r="BO531" s="89"/>
    </row>
    <row r="532" spans="1:67" ht="15.75" customHeight="1" x14ac:dyDescent="0.3">
      <c r="A532" s="88"/>
      <c r="BG532" s="89"/>
      <c r="BH532" s="89"/>
      <c r="BI532" s="89"/>
      <c r="BJ532" s="89"/>
      <c r="BK532" s="89"/>
      <c r="BL532" s="89"/>
      <c r="BM532" s="89"/>
      <c r="BN532" s="89"/>
      <c r="BO532" s="89"/>
    </row>
    <row r="533" spans="1:67" ht="15.75" customHeight="1" x14ac:dyDescent="0.3">
      <c r="A533" s="88"/>
      <c r="BG533" s="89"/>
      <c r="BH533" s="89"/>
      <c r="BI533" s="89"/>
      <c r="BJ533" s="89"/>
      <c r="BK533" s="89"/>
      <c r="BL533" s="89"/>
      <c r="BM533" s="89"/>
      <c r="BN533" s="89"/>
      <c r="BO533" s="89"/>
    </row>
    <row r="534" spans="1:67" ht="15.75" customHeight="1" x14ac:dyDescent="0.3">
      <c r="A534" s="88"/>
      <c r="BG534" s="89"/>
      <c r="BH534" s="89"/>
      <c r="BI534" s="89"/>
      <c r="BJ534" s="89"/>
      <c r="BK534" s="89"/>
      <c r="BL534" s="89"/>
      <c r="BM534" s="89"/>
      <c r="BN534" s="89"/>
      <c r="BO534" s="89"/>
    </row>
    <row r="535" spans="1:67" ht="15.75" customHeight="1" x14ac:dyDescent="0.3">
      <c r="A535" s="88"/>
      <c r="BG535" s="89"/>
      <c r="BH535" s="89"/>
      <c r="BI535" s="89"/>
      <c r="BJ535" s="89"/>
      <c r="BK535" s="89"/>
      <c r="BL535" s="89"/>
      <c r="BM535" s="89"/>
      <c r="BN535" s="89"/>
      <c r="BO535" s="89"/>
    </row>
    <row r="536" spans="1:67" ht="15.75" customHeight="1" x14ac:dyDescent="0.3">
      <c r="A536" s="88"/>
      <c r="BG536" s="89"/>
      <c r="BH536" s="89"/>
      <c r="BI536" s="89"/>
      <c r="BJ536" s="89"/>
      <c r="BK536" s="89"/>
      <c r="BL536" s="89"/>
      <c r="BM536" s="89"/>
      <c r="BN536" s="89"/>
      <c r="BO536" s="89"/>
    </row>
    <row r="537" spans="1:67" ht="15.75" customHeight="1" x14ac:dyDescent="0.3">
      <c r="A537" s="88"/>
      <c r="BG537" s="89"/>
      <c r="BH537" s="89"/>
      <c r="BI537" s="89"/>
      <c r="BJ537" s="89"/>
      <c r="BK537" s="89"/>
      <c r="BL537" s="89"/>
      <c r="BM537" s="89"/>
      <c r="BN537" s="89"/>
      <c r="BO537" s="89"/>
    </row>
    <row r="538" spans="1:67" ht="15.75" customHeight="1" x14ac:dyDescent="0.3">
      <c r="A538" s="88"/>
      <c r="BG538" s="89"/>
      <c r="BH538" s="89"/>
      <c r="BI538" s="89"/>
      <c r="BJ538" s="89"/>
      <c r="BK538" s="89"/>
      <c r="BL538" s="89"/>
      <c r="BM538" s="89"/>
      <c r="BN538" s="89"/>
      <c r="BO538" s="89"/>
    </row>
    <row r="539" spans="1:67" ht="15.75" customHeight="1" x14ac:dyDescent="0.3">
      <c r="A539" s="88"/>
      <c r="BG539" s="89"/>
      <c r="BH539" s="89"/>
      <c r="BI539" s="89"/>
      <c r="BJ539" s="89"/>
      <c r="BK539" s="89"/>
      <c r="BL539" s="89"/>
      <c r="BM539" s="89"/>
      <c r="BN539" s="89"/>
      <c r="BO539" s="89"/>
    </row>
    <row r="540" spans="1:67" ht="15.75" customHeight="1" x14ac:dyDescent="0.3">
      <c r="A540" s="88"/>
      <c r="BG540" s="89"/>
      <c r="BH540" s="89"/>
      <c r="BI540" s="89"/>
      <c r="BJ540" s="89"/>
      <c r="BK540" s="89"/>
      <c r="BL540" s="89"/>
      <c r="BM540" s="89"/>
      <c r="BN540" s="89"/>
      <c r="BO540" s="89"/>
    </row>
    <row r="541" spans="1:67" ht="15.75" customHeight="1" x14ac:dyDescent="0.3">
      <c r="A541" s="88"/>
      <c r="BG541" s="89"/>
      <c r="BH541" s="89"/>
      <c r="BI541" s="89"/>
      <c r="BJ541" s="89"/>
      <c r="BK541" s="89"/>
      <c r="BL541" s="89"/>
      <c r="BM541" s="89"/>
      <c r="BN541" s="89"/>
      <c r="BO541" s="89"/>
    </row>
    <row r="542" spans="1:67" ht="15.75" customHeight="1" x14ac:dyDescent="0.3">
      <c r="A542" s="88"/>
      <c r="BG542" s="89"/>
      <c r="BH542" s="89"/>
      <c r="BI542" s="89"/>
      <c r="BJ542" s="89"/>
      <c r="BK542" s="89"/>
      <c r="BL542" s="89"/>
      <c r="BM542" s="89"/>
      <c r="BN542" s="89"/>
      <c r="BO542" s="89"/>
    </row>
    <row r="543" spans="1:67" ht="15.75" customHeight="1" x14ac:dyDescent="0.3">
      <c r="A543" s="88"/>
      <c r="BG543" s="89"/>
      <c r="BH543" s="89"/>
      <c r="BI543" s="89"/>
      <c r="BJ543" s="89"/>
      <c r="BK543" s="89"/>
      <c r="BL543" s="89"/>
      <c r="BM543" s="89"/>
      <c r="BN543" s="89"/>
      <c r="BO543" s="89"/>
    </row>
    <row r="544" spans="1:67" ht="15.75" customHeight="1" x14ac:dyDescent="0.3">
      <c r="A544" s="88"/>
      <c r="BG544" s="89"/>
      <c r="BH544" s="89"/>
      <c r="BI544" s="89"/>
      <c r="BJ544" s="89"/>
      <c r="BK544" s="89"/>
      <c r="BL544" s="89"/>
      <c r="BM544" s="89"/>
      <c r="BN544" s="89"/>
      <c r="BO544" s="89"/>
    </row>
    <row r="545" spans="1:67" ht="15.75" customHeight="1" x14ac:dyDescent="0.3">
      <c r="A545" s="88"/>
      <c r="BG545" s="89"/>
      <c r="BH545" s="89"/>
      <c r="BI545" s="89"/>
      <c r="BJ545" s="89"/>
      <c r="BK545" s="89"/>
      <c r="BL545" s="89"/>
      <c r="BM545" s="89"/>
      <c r="BN545" s="89"/>
      <c r="BO545" s="89"/>
    </row>
    <row r="546" spans="1:67" ht="15.75" customHeight="1" x14ac:dyDescent="0.3">
      <c r="A546" s="88"/>
      <c r="BG546" s="89"/>
      <c r="BH546" s="89"/>
      <c r="BI546" s="89"/>
      <c r="BJ546" s="89"/>
      <c r="BK546" s="89"/>
      <c r="BL546" s="89"/>
      <c r="BM546" s="89"/>
      <c r="BN546" s="89"/>
      <c r="BO546" s="89"/>
    </row>
    <row r="547" spans="1:67" ht="15.75" customHeight="1" x14ac:dyDescent="0.3">
      <c r="A547" s="88"/>
      <c r="BG547" s="89"/>
      <c r="BH547" s="89"/>
      <c r="BI547" s="89"/>
      <c r="BJ547" s="89"/>
      <c r="BK547" s="89"/>
      <c r="BL547" s="89"/>
      <c r="BM547" s="89"/>
      <c r="BN547" s="89"/>
      <c r="BO547" s="89"/>
    </row>
    <row r="548" spans="1:67" ht="15.75" customHeight="1" x14ac:dyDescent="0.3">
      <c r="A548" s="88"/>
      <c r="BG548" s="89"/>
      <c r="BH548" s="89"/>
      <c r="BI548" s="89"/>
      <c r="BJ548" s="89"/>
      <c r="BK548" s="89"/>
      <c r="BL548" s="89"/>
      <c r="BM548" s="89"/>
      <c r="BN548" s="89"/>
      <c r="BO548" s="89"/>
    </row>
    <row r="549" spans="1:67" ht="15.75" customHeight="1" x14ac:dyDescent="0.3">
      <c r="A549" s="88"/>
      <c r="BG549" s="89"/>
      <c r="BH549" s="89"/>
      <c r="BI549" s="89"/>
      <c r="BJ549" s="89"/>
      <c r="BK549" s="89"/>
      <c r="BL549" s="89"/>
      <c r="BM549" s="89"/>
      <c r="BN549" s="89"/>
      <c r="BO549" s="89"/>
    </row>
    <row r="550" spans="1:67" ht="15.75" customHeight="1" x14ac:dyDescent="0.3">
      <c r="A550" s="88"/>
      <c r="BG550" s="89"/>
      <c r="BH550" s="89"/>
      <c r="BI550" s="89"/>
      <c r="BJ550" s="89"/>
      <c r="BK550" s="89"/>
      <c r="BL550" s="89"/>
      <c r="BM550" s="89"/>
      <c r="BN550" s="89"/>
      <c r="BO550" s="89"/>
    </row>
    <row r="551" spans="1:67" ht="15.75" customHeight="1" x14ac:dyDescent="0.3">
      <c r="A551" s="88"/>
      <c r="BG551" s="89"/>
      <c r="BH551" s="89"/>
      <c r="BI551" s="89"/>
      <c r="BJ551" s="89"/>
      <c r="BK551" s="89"/>
      <c r="BL551" s="89"/>
      <c r="BM551" s="89"/>
      <c r="BN551" s="89"/>
      <c r="BO551" s="89"/>
    </row>
    <row r="552" spans="1:67" ht="15.75" customHeight="1" x14ac:dyDescent="0.3">
      <c r="A552" s="88"/>
      <c r="BG552" s="89"/>
      <c r="BH552" s="89"/>
      <c r="BI552" s="89"/>
      <c r="BJ552" s="89"/>
      <c r="BK552" s="89"/>
      <c r="BL552" s="89"/>
      <c r="BM552" s="89"/>
      <c r="BN552" s="89"/>
      <c r="BO552" s="89"/>
    </row>
    <row r="553" spans="1:67" ht="15.75" customHeight="1" x14ac:dyDescent="0.3">
      <c r="A553" s="88"/>
      <c r="BG553" s="89"/>
      <c r="BH553" s="89"/>
      <c r="BI553" s="89"/>
      <c r="BJ553" s="89"/>
      <c r="BK553" s="89"/>
      <c r="BL553" s="89"/>
      <c r="BM553" s="89"/>
      <c r="BN553" s="89"/>
      <c r="BO553" s="89"/>
    </row>
    <row r="554" spans="1:67" ht="15.75" customHeight="1" x14ac:dyDescent="0.3">
      <c r="A554" s="88"/>
      <c r="BG554" s="89"/>
      <c r="BH554" s="89"/>
      <c r="BI554" s="89"/>
      <c r="BJ554" s="89"/>
      <c r="BK554" s="89"/>
      <c r="BL554" s="89"/>
      <c r="BM554" s="89"/>
      <c r="BN554" s="89"/>
      <c r="BO554" s="89"/>
    </row>
    <row r="555" spans="1:67" ht="15.75" customHeight="1" x14ac:dyDescent="0.3">
      <c r="A555" s="88"/>
      <c r="BG555" s="89"/>
      <c r="BH555" s="89"/>
      <c r="BI555" s="89"/>
      <c r="BJ555" s="89"/>
      <c r="BK555" s="89"/>
      <c r="BL555" s="89"/>
      <c r="BM555" s="89"/>
      <c r="BN555" s="89"/>
      <c r="BO555" s="89"/>
    </row>
    <row r="556" spans="1:67" ht="15.75" customHeight="1" x14ac:dyDescent="0.3">
      <c r="A556" s="88"/>
      <c r="BG556" s="89"/>
      <c r="BH556" s="89"/>
      <c r="BI556" s="89"/>
      <c r="BJ556" s="89"/>
      <c r="BK556" s="89"/>
      <c r="BL556" s="89"/>
      <c r="BM556" s="89"/>
      <c r="BN556" s="89"/>
      <c r="BO556" s="89"/>
    </row>
    <row r="557" spans="1:67" ht="15.75" customHeight="1" x14ac:dyDescent="0.3">
      <c r="A557" s="88"/>
      <c r="BG557" s="89"/>
      <c r="BH557" s="89"/>
      <c r="BI557" s="89"/>
      <c r="BJ557" s="89"/>
      <c r="BK557" s="89"/>
      <c r="BL557" s="89"/>
      <c r="BM557" s="89"/>
      <c r="BN557" s="89"/>
      <c r="BO557" s="89"/>
    </row>
    <row r="558" spans="1:67" ht="15.75" customHeight="1" x14ac:dyDescent="0.3">
      <c r="A558" s="88"/>
      <c r="BG558" s="89"/>
      <c r="BH558" s="89"/>
      <c r="BI558" s="89"/>
      <c r="BJ558" s="89"/>
      <c r="BK558" s="89"/>
      <c r="BL558" s="89"/>
      <c r="BM558" s="89"/>
      <c r="BN558" s="89"/>
      <c r="BO558" s="89"/>
    </row>
    <row r="559" spans="1:67" ht="15.75" customHeight="1" x14ac:dyDescent="0.3">
      <c r="A559" s="88"/>
      <c r="BG559" s="89"/>
      <c r="BH559" s="89"/>
      <c r="BI559" s="89"/>
      <c r="BJ559" s="89"/>
      <c r="BK559" s="89"/>
      <c r="BL559" s="89"/>
      <c r="BM559" s="89"/>
      <c r="BN559" s="89"/>
      <c r="BO559" s="89"/>
    </row>
    <row r="560" spans="1:67" ht="15.75" customHeight="1" x14ac:dyDescent="0.3">
      <c r="A560" s="88"/>
      <c r="BG560" s="89"/>
      <c r="BH560" s="89"/>
      <c r="BI560" s="89"/>
      <c r="BJ560" s="89"/>
      <c r="BK560" s="89"/>
      <c r="BL560" s="89"/>
      <c r="BM560" s="89"/>
      <c r="BN560" s="89"/>
      <c r="BO560" s="89"/>
    </row>
    <row r="561" spans="1:67" ht="15.75" customHeight="1" x14ac:dyDescent="0.3">
      <c r="A561" s="88"/>
      <c r="BG561" s="89"/>
      <c r="BH561" s="89"/>
      <c r="BI561" s="89"/>
      <c r="BJ561" s="89"/>
      <c r="BK561" s="89"/>
      <c r="BL561" s="89"/>
      <c r="BM561" s="89"/>
      <c r="BN561" s="89"/>
      <c r="BO561" s="89"/>
    </row>
    <row r="562" spans="1:67" ht="15.75" customHeight="1" x14ac:dyDescent="0.3">
      <c r="A562" s="88"/>
      <c r="BG562" s="89"/>
      <c r="BH562" s="89"/>
      <c r="BI562" s="89"/>
      <c r="BJ562" s="89"/>
      <c r="BK562" s="89"/>
      <c r="BL562" s="89"/>
      <c r="BM562" s="89"/>
      <c r="BN562" s="89"/>
      <c r="BO562" s="89"/>
    </row>
    <row r="563" spans="1:67" ht="15.75" customHeight="1" x14ac:dyDescent="0.3">
      <c r="A563" s="88"/>
      <c r="BG563" s="89"/>
      <c r="BH563" s="89"/>
      <c r="BI563" s="89"/>
      <c r="BJ563" s="89"/>
      <c r="BK563" s="89"/>
      <c r="BL563" s="89"/>
      <c r="BM563" s="89"/>
      <c r="BN563" s="89"/>
      <c r="BO563" s="89"/>
    </row>
    <row r="564" spans="1:67" ht="15.75" customHeight="1" x14ac:dyDescent="0.3">
      <c r="A564" s="88"/>
      <c r="BG564" s="89"/>
      <c r="BH564" s="89"/>
      <c r="BI564" s="89"/>
      <c r="BJ564" s="89"/>
      <c r="BK564" s="89"/>
      <c r="BL564" s="89"/>
      <c r="BM564" s="89"/>
      <c r="BN564" s="89"/>
      <c r="BO564" s="89"/>
    </row>
    <row r="565" spans="1:67" ht="15.75" customHeight="1" x14ac:dyDescent="0.3">
      <c r="A565" s="88"/>
      <c r="BG565" s="89"/>
      <c r="BH565" s="89"/>
      <c r="BI565" s="89"/>
      <c r="BJ565" s="89"/>
      <c r="BK565" s="89"/>
      <c r="BL565" s="89"/>
      <c r="BM565" s="89"/>
      <c r="BN565" s="89"/>
      <c r="BO565" s="89"/>
    </row>
    <row r="566" spans="1:67" ht="15.75" customHeight="1" x14ac:dyDescent="0.3">
      <c r="A566" s="88"/>
      <c r="BG566" s="89"/>
      <c r="BH566" s="89"/>
      <c r="BI566" s="89"/>
      <c r="BJ566" s="89"/>
      <c r="BK566" s="89"/>
      <c r="BL566" s="89"/>
      <c r="BM566" s="89"/>
      <c r="BN566" s="89"/>
      <c r="BO566" s="89"/>
    </row>
    <row r="567" spans="1:67" ht="15.75" customHeight="1" x14ac:dyDescent="0.3">
      <c r="A567" s="88"/>
      <c r="BG567" s="89"/>
      <c r="BH567" s="89"/>
      <c r="BI567" s="89"/>
      <c r="BJ567" s="89"/>
      <c r="BK567" s="89"/>
      <c r="BL567" s="89"/>
      <c r="BM567" s="89"/>
      <c r="BN567" s="89"/>
      <c r="BO567" s="89"/>
    </row>
    <row r="568" spans="1:67" ht="15.75" customHeight="1" x14ac:dyDescent="0.3">
      <c r="A568" s="88"/>
      <c r="BG568" s="89"/>
      <c r="BH568" s="89"/>
      <c r="BI568" s="89"/>
      <c r="BJ568" s="89"/>
      <c r="BK568" s="89"/>
      <c r="BL568" s="89"/>
      <c r="BM568" s="89"/>
      <c r="BN568" s="89"/>
      <c r="BO568" s="89"/>
    </row>
    <row r="569" spans="1:67" ht="15.75" customHeight="1" x14ac:dyDescent="0.3">
      <c r="A569" s="88"/>
      <c r="BG569" s="89"/>
      <c r="BH569" s="89"/>
      <c r="BI569" s="89"/>
      <c r="BJ569" s="89"/>
      <c r="BK569" s="89"/>
      <c r="BL569" s="89"/>
      <c r="BM569" s="89"/>
      <c r="BN569" s="89"/>
      <c r="BO569" s="89"/>
    </row>
    <row r="570" spans="1:67" ht="15.75" customHeight="1" x14ac:dyDescent="0.3">
      <c r="A570" s="88"/>
      <c r="BG570" s="89"/>
      <c r="BH570" s="89"/>
      <c r="BI570" s="89"/>
      <c r="BJ570" s="89"/>
      <c r="BK570" s="89"/>
      <c r="BL570" s="89"/>
      <c r="BM570" s="89"/>
      <c r="BN570" s="89"/>
      <c r="BO570" s="89"/>
    </row>
    <row r="571" spans="1:67" ht="15.75" customHeight="1" x14ac:dyDescent="0.3">
      <c r="A571" s="88"/>
      <c r="BG571" s="89"/>
      <c r="BH571" s="89"/>
      <c r="BI571" s="89"/>
      <c r="BJ571" s="89"/>
      <c r="BK571" s="89"/>
      <c r="BL571" s="89"/>
      <c r="BM571" s="89"/>
      <c r="BN571" s="89"/>
      <c r="BO571" s="89"/>
    </row>
    <row r="572" spans="1:67" ht="15.75" customHeight="1" x14ac:dyDescent="0.3">
      <c r="A572" s="88"/>
      <c r="BG572" s="89"/>
      <c r="BH572" s="89"/>
      <c r="BI572" s="89"/>
      <c r="BJ572" s="89"/>
      <c r="BK572" s="89"/>
      <c r="BL572" s="89"/>
      <c r="BM572" s="89"/>
      <c r="BN572" s="89"/>
      <c r="BO572" s="89"/>
    </row>
    <row r="573" spans="1:67" ht="15.75" customHeight="1" x14ac:dyDescent="0.3">
      <c r="A573" s="88"/>
      <c r="BG573" s="89"/>
      <c r="BH573" s="89"/>
      <c r="BI573" s="89"/>
      <c r="BJ573" s="89"/>
      <c r="BK573" s="89"/>
      <c r="BL573" s="89"/>
      <c r="BM573" s="89"/>
      <c r="BN573" s="89"/>
      <c r="BO573" s="89"/>
    </row>
    <row r="574" spans="1:67" ht="15.75" customHeight="1" x14ac:dyDescent="0.3">
      <c r="A574" s="88"/>
      <c r="BG574" s="89"/>
      <c r="BH574" s="89"/>
      <c r="BI574" s="89"/>
      <c r="BJ574" s="89"/>
      <c r="BK574" s="89"/>
      <c r="BL574" s="89"/>
      <c r="BM574" s="89"/>
      <c r="BN574" s="89"/>
      <c r="BO574" s="89"/>
    </row>
    <row r="575" spans="1:67" ht="15.75" customHeight="1" x14ac:dyDescent="0.3">
      <c r="A575" s="88"/>
      <c r="BG575" s="89"/>
      <c r="BH575" s="89"/>
      <c r="BI575" s="89"/>
      <c r="BJ575" s="89"/>
      <c r="BK575" s="89"/>
      <c r="BL575" s="89"/>
      <c r="BM575" s="89"/>
      <c r="BN575" s="89"/>
      <c r="BO575" s="89"/>
    </row>
    <row r="576" spans="1:67" ht="15.75" customHeight="1" x14ac:dyDescent="0.3">
      <c r="A576" s="88"/>
      <c r="BG576" s="89"/>
      <c r="BH576" s="89"/>
      <c r="BI576" s="89"/>
      <c r="BJ576" s="89"/>
      <c r="BK576" s="89"/>
      <c r="BL576" s="89"/>
      <c r="BM576" s="89"/>
      <c r="BN576" s="89"/>
      <c r="BO576" s="89"/>
    </row>
    <row r="577" spans="1:67" ht="15.75" customHeight="1" x14ac:dyDescent="0.3">
      <c r="A577" s="88"/>
      <c r="BG577" s="89"/>
      <c r="BH577" s="89"/>
      <c r="BI577" s="89"/>
      <c r="BJ577" s="89"/>
      <c r="BK577" s="89"/>
      <c r="BL577" s="89"/>
      <c r="BM577" s="89"/>
      <c r="BN577" s="89"/>
      <c r="BO577" s="89"/>
    </row>
    <row r="578" spans="1:67" ht="15.75" customHeight="1" x14ac:dyDescent="0.3">
      <c r="A578" s="88"/>
      <c r="BG578" s="89"/>
      <c r="BH578" s="89"/>
      <c r="BI578" s="89"/>
      <c r="BJ578" s="89"/>
      <c r="BK578" s="89"/>
      <c r="BL578" s="89"/>
      <c r="BM578" s="89"/>
      <c r="BN578" s="89"/>
      <c r="BO578" s="89"/>
    </row>
    <row r="579" spans="1:67" ht="15.75" customHeight="1" x14ac:dyDescent="0.3">
      <c r="A579" s="88"/>
      <c r="BG579" s="89"/>
      <c r="BH579" s="89"/>
      <c r="BI579" s="89"/>
      <c r="BJ579" s="89"/>
      <c r="BK579" s="89"/>
      <c r="BL579" s="89"/>
      <c r="BM579" s="89"/>
      <c r="BN579" s="89"/>
      <c r="BO579" s="89"/>
    </row>
    <row r="580" spans="1:67" ht="15.75" customHeight="1" x14ac:dyDescent="0.3">
      <c r="A580" s="88"/>
      <c r="BG580" s="89"/>
      <c r="BH580" s="89"/>
      <c r="BI580" s="89"/>
      <c r="BJ580" s="89"/>
      <c r="BK580" s="89"/>
      <c r="BL580" s="89"/>
      <c r="BM580" s="89"/>
      <c r="BN580" s="89"/>
      <c r="BO580" s="89"/>
    </row>
    <row r="581" spans="1:67" ht="15.75" customHeight="1" x14ac:dyDescent="0.3">
      <c r="A581" s="88"/>
      <c r="BG581" s="89"/>
      <c r="BH581" s="89"/>
      <c r="BI581" s="89"/>
      <c r="BJ581" s="89"/>
      <c r="BK581" s="89"/>
      <c r="BL581" s="89"/>
      <c r="BM581" s="89"/>
      <c r="BN581" s="89"/>
      <c r="BO581" s="89"/>
    </row>
    <row r="582" spans="1:67" ht="15.75" customHeight="1" x14ac:dyDescent="0.3">
      <c r="A582" s="88"/>
      <c r="BG582" s="89"/>
      <c r="BH582" s="89"/>
      <c r="BI582" s="89"/>
      <c r="BJ582" s="89"/>
      <c r="BK582" s="89"/>
      <c r="BL582" s="89"/>
      <c r="BM582" s="89"/>
      <c r="BN582" s="89"/>
      <c r="BO582" s="89"/>
    </row>
    <row r="583" spans="1:67" ht="15.75" customHeight="1" x14ac:dyDescent="0.3">
      <c r="A583" s="88"/>
      <c r="BG583" s="89"/>
      <c r="BH583" s="89"/>
      <c r="BI583" s="89"/>
      <c r="BJ583" s="89"/>
      <c r="BK583" s="89"/>
      <c r="BL583" s="89"/>
      <c r="BM583" s="89"/>
      <c r="BN583" s="89"/>
      <c r="BO583" s="89"/>
    </row>
    <row r="584" spans="1:67" ht="15.75" customHeight="1" x14ac:dyDescent="0.3">
      <c r="A584" s="88"/>
      <c r="BG584" s="89"/>
      <c r="BH584" s="89"/>
      <c r="BI584" s="89"/>
      <c r="BJ584" s="89"/>
      <c r="BK584" s="89"/>
      <c r="BL584" s="89"/>
      <c r="BM584" s="89"/>
      <c r="BN584" s="89"/>
      <c r="BO584" s="89"/>
    </row>
    <row r="585" spans="1:67" ht="15.75" customHeight="1" x14ac:dyDescent="0.3">
      <c r="A585" s="88"/>
      <c r="BG585" s="89"/>
      <c r="BH585" s="89"/>
      <c r="BI585" s="89"/>
      <c r="BJ585" s="89"/>
      <c r="BK585" s="89"/>
      <c r="BL585" s="89"/>
      <c r="BM585" s="89"/>
      <c r="BN585" s="89"/>
      <c r="BO585" s="89"/>
    </row>
    <row r="586" spans="1:67" ht="15.75" customHeight="1" x14ac:dyDescent="0.3">
      <c r="A586" s="88"/>
      <c r="BG586" s="89"/>
      <c r="BH586" s="89"/>
      <c r="BI586" s="89"/>
      <c r="BJ586" s="89"/>
      <c r="BK586" s="89"/>
      <c r="BL586" s="89"/>
      <c r="BM586" s="89"/>
      <c r="BN586" s="89"/>
      <c r="BO586" s="89"/>
    </row>
    <row r="587" spans="1:67" ht="15.75" customHeight="1" x14ac:dyDescent="0.3">
      <c r="A587" s="88"/>
      <c r="BG587" s="89"/>
      <c r="BH587" s="89"/>
      <c r="BI587" s="89"/>
      <c r="BJ587" s="89"/>
      <c r="BK587" s="89"/>
      <c r="BL587" s="89"/>
      <c r="BM587" s="89"/>
      <c r="BN587" s="89"/>
      <c r="BO587" s="89"/>
    </row>
    <row r="588" spans="1:67" ht="15.75" customHeight="1" x14ac:dyDescent="0.3">
      <c r="A588" s="88"/>
      <c r="BG588" s="89"/>
      <c r="BH588" s="89"/>
      <c r="BI588" s="89"/>
      <c r="BJ588" s="89"/>
      <c r="BK588" s="89"/>
      <c r="BL588" s="89"/>
      <c r="BM588" s="89"/>
      <c r="BN588" s="89"/>
      <c r="BO588" s="89"/>
    </row>
    <row r="589" spans="1:67" ht="15.75" customHeight="1" x14ac:dyDescent="0.3">
      <c r="A589" s="88"/>
      <c r="BG589" s="89"/>
      <c r="BH589" s="89"/>
      <c r="BI589" s="89"/>
      <c r="BJ589" s="89"/>
      <c r="BK589" s="89"/>
      <c r="BL589" s="89"/>
      <c r="BM589" s="89"/>
      <c r="BN589" s="89"/>
      <c r="BO589" s="89"/>
    </row>
    <row r="590" spans="1:67" ht="15.75" customHeight="1" x14ac:dyDescent="0.3">
      <c r="A590" s="88"/>
      <c r="BG590" s="89"/>
      <c r="BH590" s="89"/>
      <c r="BI590" s="89"/>
      <c r="BJ590" s="89"/>
      <c r="BK590" s="89"/>
      <c r="BL590" s="89"/>
      <c r="BM590" s="89"/>
      <c r="BN590" s="89"/>
      <c r="BO590" s="89"/>
    </row>
    <row r="591" spans="1:67" ht="15.75" customHeight="1" x14ac:dyDescent="0.3">
      <c r="A591" s="88"/>
      <c r="BG591" s="89"/>
      <c r="BH591" s="89"/>
      <c r="BI591" s="89"/>
      <c r="BJ591" s="89"/>
      <c r="BK591" s="89"/>
      <c r="BL591" s="89"/>
      <c r="BM591" s="89"/>
      <c r="BN591" s="89"/>
      <c r="BO591" s="89"/>
    </row>
    <row r="592" spans="1:67" ht="15.75" customHeight="1" x14ac:dyDescent="0.3">
      <c r="A592" s="88"/>
      <c r="BG592" s="89"/>
      <c r="BH592" s="89"/>
      <c r="BI592" s="89"/>
      <c r="BJ592" s="89"/>
      <c r="BK592" s="89"/>
      <c r="BL592" s="89"/>
      <c r="BM592" s="89"/>
      <c r="BN592" s="89"/>
      <c r="BO592" s="89"/>
    </row>
    <row r="593" spans="1:67" ht="15.75" customHeight="1" x14ac:dyDescent="0.3">
      <c r="A593" s="88"/>
      <c r="BG593" s="89"/>
      <c r="BH593" s="89"/>
      <c r="BI593" s="89"/>
      <c r="BJ593" s="89"/>
      <c r="BK593" s="89"/>
      <c r="BL593" s="89"/>
      <c r="BM593" s="89"/>
      <c r="BN593" s="89"/>
      <c r="BO593" s="89"/>
    </row>
    <row r="594" spans="1:67" ht="15.75" customHeight="1" x14ac:dyDescent="0.3">
      <c r="A594" s="88"/>
      <c r="BG594" s="89"/>
      <c r="BH594" s="89"/>
      <c r="BI594" s="89"/>
      <c r="BJ594" s="89"/>
      <c r="BK594" s="89"/>
      <c r="BL594" s="89"/>
      <c r="BM594" s="89"/>
      <c r="BN594" s="89"/>
      <c r="BO594" s="89"/>
    </row>
    <row r="595" spans="1:67" ht="15.75" customHeight="1" x14ac:dyDescent="0.3">
      <c r="A595" s="88"/>
      <c r="BG595" s="89"/>
      <c r="BH595" s="89"/>
      <c r="BI595" s="89"/>
      <c r="BJ595" s="89"/>
      <c r="BK595" s="89"/>
      <c r="BL595" s="89"/>
      <c r="BM595" s="89"/>
      <c r="BN595" s="89"/>
      <c r="BO595" s="89"/>
    </row>
    <row r="596" spans="1:67" ht="15.75" customHeight="1" x14ac:dyDescent="0.3">
      <c r="A596" s="88"/>
      <c r="BG596" s="89"/>
      <c r="BH596" s="89"/>
      <c r="BI596" s="89"/>
      <c r="BJ596" s="89"/>
      <c r="BK596" s="89"/>
      <c r="BL596" s="89"/>
      <c r="BM596" s="89"/>
      <c r="BN596" s="89"/>
      <c r="BO596" s="89"/>
    </row>
    <row r="597" spans="1:67" ht="15.75" customHeight="1" x14ac:dyDescent="0.3">
      <c r="A597" s="88"/>
      <c r="BG597" s="89"/>
      <c r="BH597" s="89"/>
      <c r="BI597" s="89"/>
      <c r="BJ597" s="89"/>
      <c r="BK597" s="89"/>
      <c r="BL597" s="89"/>
      <c r="BM597" s="89"/>
      <c r="BN597" s="89"/>
      <c r="BO597" s="89"/>
    </row>
    <row r="598" spans="1:67" ht="15.75" customHeight="1" x14ac:dyDescent="0.3">
      <c r="A598" s="88"/>
      <c r="BG598" s="89"/>
      <c r="BH598" s="89"/>
      <c r="BI598" s="89"/>
      <c r="BJ598" s="89"/>
      <c r="BK598" s="89"/>
      <c r="BL598" s="89"/>
      <c r="BM598" s="89"/>
      <c r="BN598" s="89"/>
      <c r="BO598" s="89"/>
    </row>
    <row r="599" spans="1:67" ht="15.75" customHeight="1" x14ac:dyDescent="0.3">
      <c r="A599" s="88"/>
      <c r="BG599" s="89"/>
      <c r="BH599" s="89"/>
      <c r="BI599" s="89"/>
      <c r="BJ599" s="89"/>
      <c r="BK599" s="89"/>
      <c r="BL599" s="89"/>
      <c r="BM599" s="89"/>
      <c r="BN599" s="89"/>
      <c r="BO599" s="89"/>
    </row>
    <row r="600" spans="1:67" ht="15.75" customHeight="1" x14ac:dyDescent="0.3">
      <c r="A600" s="88"/>
      <c r="BG600" s="89"/>
      <c r="BH600" s="89"/>
      <c r="BI600" s="89"/>
      <c r="BJ600" s="89"/>
      <c r="BK600" s="89"/>
      <c r="BL600" s="89"/>
      <c r="BM600" s="89"/>
      <c r="BN600" s="89"/>
      <c r="BO600" s="89"/>
    </row>
    <row r="601" spans="1:67" ht="15.75" customHeight="1" x14ac:dyDescent="0.3">
      <c r="A601" s="88"/>
      <c r="BG601" s="89"/>
      <c r="BH601" s="89"/>
      <c r="BI601" s="89"/>
      <c r="BJ601" s="89"/>
      <c r="BK601" s="89"/>
      <c r="BL601" s="89"/>
      <c r="BM601" s="89"/>
      <c r="BN601" s="89"/>
      <c r="BO601" s="89"/>
    </row>
    <row r="602" spans="1:67" ht="15.75" customHeight="1" x14ac:dyDescent="0.3">
      <c r="A602" s="88"/>
      <c r="BG602" s="89"/>
      <c r="BH602" s="89"/>
      <c r="BI602" s="89"/>
      <c r="BJ602" s="89"/>
      <c r="BK602" s="89"/>
      <c r="BL602" s="89"/>
      <c r="BM602" s="89"/>
      <c r="BN602" s="89"/>
      <c r="BO602" s="89"/>
    </row>
    <row r="603" spans="1:67" ht="15.75" customHeight="1" x14ac:dyDescent="0.3">
      <c r="A603" s="88"/>
      <c r="BG603" s="89"/>
      <c r="BH603" s="89"/>
      <c r="BI603" s="89"/>
      <c r="BJ603" s="89"/>
      <c r="BK603" s="89"/>
      <c r="BL603" s="89"/>
      <c r="BM603" s="89"/>
      <c r="BN603" s="89"/>
      <c r="BO603" s="89"/>
    </row>
    <row r="604" spans="1:67" ht="15.75" customHeight="1" x14ac:dyDescent="0.3">
      <c r="A604" s="88"/>
      <c r="BG604" s="89"/>
      <c r="BH604" s="89"/>
      <c r="BI604" s="89"/>
      <c r="BJ604" s="89"/>
      <c r="BK604" s="89"/>
      <c r="BL604" s="89"/>
      <c r="BM604" s="89"/>
      <c r="BN604" s="89"/>
      <c r="BO604" s="89"/>
    </row>
    <row r="605" spans="1:67" ht="15.75" customHeight="1" x14ac:dyDescent="0.3">
      <c r="A605" s="88"/>
      <c r="BG605" s="89"/>
      <c r="BH605" s="89"/>
      <c r="BI605" s="89"/>
      <c r="BJ605" s="89"/>
      <c r="BK605" s="89"/>
      <c r="BL605" s="89"/>
      <c r="BM605" s="89"/>
      <c r="BN605" s="89"/>
      <c r="BO605" s="89"/>
    </row>
    <row r="606" spans="1:67" ht="15.75" customHeight="1" x14ac:dyDescent="0.3">
      <c r="A606" s="88"/>
      <c r="BG606" s="89"/>
      <c r="BH606" s="89"/>
      <c r="BI606" s="89"/>
      <c r="BJ606" s="89"/>
      <c r="BK606" s="89"/>
      <c r="BL606" s="89"/>
      <c r="BM606" s="89"/>
      <c r="BN606" s="89"/>
      <c r="BO606" s="89"/>
    </row>
    <row r="607" spans="1:67" ht="15.75" customHeight="1" x14ac:dyDescent="0.3">
      <c r="A607" s="88"/>
      <c r="BG607" s="89"/>
      <c r="BH607" s="89"/>
      <c r="BI607" s="89"/>
      <c r="BJ607" s="89"/>
      <c r="BK607" s="89"/>
      <c r="BL607" s="89"/>
      <c r="BM607" s="89"/>
      <c r="BN607" s="89"/>
      <c r="BO607" s="89"/>
    </row>
    <row r="608" spans="1:67" ht="15.75" customHeight="1" x14ac:dyDescent="0.3">
      <c r="A608" s="88"/>
      <c r="BG608" s="89"/>
      <c r="BH608" s="89"/>
      <c r="BI608" s="89"/>
      <c r="BJ608" s="89"/>
      <c r="BK608" s="89"/>
      <c r="BL608" s="89"/>
      <c r="BM608" s="89"/>
      <c r="BN608" s="89"/>
      <c r="BO608" s="89"/>
    </row>
    <row r="609" spans="1:67" ht="15.75" customHeight="1" x14ac:dyDescent="0.3">
      <c r="A609" s="88"/>
      <c r="BG609" s="89"/>
      <c r="BH609" s="89"/>
      <c r="BI609" s="89"/>
      <c r="BJ609" s="89"/>
      <c r="BK609" s="89"/>
      <c r="BL609" s="89"/>
      <c r="BM609" s="89"/>
      <c r="BN609" s="89"/>
      <c r="BO609" s="89"/>
    </row>
    <row r="610" spans="1:67" ht="15.75" customHeight="1" x14ac:dyDescent="0.3">
      <c r="A610" s="88"/>
      <c r="BG610" s="89"/>
      <c r="BH610" s="89"/>
      <c r="BI610" s="89"/>
      <c r="BJ610" s="89"/>
      <c r="BK610" s="89"/>
      <c r="BL610" s="89"/>
      <c r="BM610" s="89"/>
      <c r="BN610" s="89"/>
      <c r="BO610" s="89"/>
    </row>
    <row r="611" spans="1:67" ht="15.75" customHeight="1" x14ac:dyDescent="0.3">
      <c r="A611" s="88"/>
      <c r="BG611" s="89"/>
      <c r="BH611" s="89"/>
      <c r="BI611" s="89"/>
      <c r="BJ611" s="89"/>
      <c r="BK611" s="89"/>
      <c r="BL611" s="89"/>
      <c r="BM611" s="89"/>
      <c r="BN611" s="89"/>
      <c r="BO611" s="89"/>
    </row>
    <row r="612" spans="1:67" ht="15.75" customHeight="1" x14ac:dyDescent="0.3">
      <c r="A612" s="88"/>
      <c r="BG612" s="89"/>
      <c r="BH612" s="89"/>
      <c r="BI612" s="89"/>
      <c r="BJ612" s="89"/>
      <c r="BK612" s="89"/>
      <c r="BL612" s="89"/>
      <c r="BM612" s="89"/>
      <c r="BN612" s="89"/>
      <c r="BO612" s="89"/>
    </row>
    <row r="613" spans="1:67" ht="15.75" customHeight="1" x14ac:dyDescent="0.3">
      <c r="A613" s="88"/>
      <c r="BG613" s="89"/>
      <c r="BH613" s="89"/>
      <c r="BI613" s="89"/>
      <c r="BJ613" s="89"/>
      <c r="BK613" s="89"/>
      <c r="BL613" s="89"/>
      <c r="BM613" s="89"/>
      <c r="BN613" s="89"/>
      <c r="BO613" s="89"/>
    </row>
    <row r="614" spans="1:67" ht="15.75" customHeight="1" x14ac:dyDescent="0.3">
      <c r="A614" s="88"/>
      <c r="BG614" s="89"/>
      <c r="BH614" s="89"/>
      <c r="BI614" s="89"/>
      <c r="BJ614" s="89"/>
      <c r="BK614" s="89"/>
      <c r="BL614" s="89"/>
      <c r="BM614" s="89"/>
      <c r="BN614" s="89"/>
      <c r="BO614" s="89"/>
    </row>
    <row r="615" spans="1:67" ht="15.75" customHeight="1" x14ac:dyDescent="0.3">
      <c r="A615" s="88"/>
      <c r="BG615" s="89"/>
      <c r="BH615" s="89"/>
      <c r="BI615" s="89"/>
      <c r="BJ615" s="89"/>
      <c r="BK615" s="89"/>
      <c r="BL615" s="89"/>
      <c r="BM615" s="89"/>
      <c r="BN615" s="89"/>
      <c r="BO615" s="89"/>
    </row>
    <row r="616" spans="1:67" ht="15.75" customHeight="1" x14ac:dyDescent="0.3">
      <c r="A616" s="88"/>
      <c r="BG616" s="89"/>
      <c r="BH616" s="89"/>
      <c r="BI616" s="89"/>
      <c r="BJ616" s="89"/>
      <c r="BK616" s="89"/>
      <c r="BL616" s="89"/>
      <c r="BM616" s="89"/>
      <c r="BN616" s="89"/>
      <c r="BO616" s="89"/>
    </row>
    <row r="617" spans="1:67" ht="15.75" customHeight="1" x14ac:dyDescent="0.3">
      <c r="A617" s="88"/>
      <c r="BG617" s="89"/>
      <c r="BH617" s="89"/>
      <c r="BI617" s="89"/>
      <c r="BJ617" s="89"/>
      <c r="BK617" s="89"/>
      <c r="BL617" s="89"/>
      <c r="BM617" s="89"/>
      <c r="BN617" s="89"/>
      <c r="BO617" s="89"/>
    </row>
    <row r="618" spans="1:67" ht="15.75" customHeight="1" x14ac:dyDescent="0.3">
      <c r="A618" s="88"/>
      <c r="BG618" s="89"/>
      <c r="BH618" s="89"/>
      <c r="BI618" s="89"/>
      <c r="BJ618" s="89"/>
      <c r="BK618" s="89"/>
      <c r="BL618" s="89"/>
      <c r="BM618" s="89"/>
      <c r="BN618" s="89"/>
      <c r="BO618" s="89"/>
    </row>
    <row r="619" spans="1:67" ht="15.75" customHeight="1" x14ac:dyDescent="0.3">
      <c r="A619" s="88"/>
      <c r="BG619" s="89"/>
      <c r="BH619" s="89"/>
      <c r="BI619" s="89"/>
      <c r="BJ619" s="89"/>
      <c r="BK619" s="89"/>
      <c r="BL619" s="89"/>
      <c r="BM619" s="89"/>
      <c r="BN619" s="89"/>
      <c r="BO619" s="89"/>
    </row>
    <row r="620" spans="1:67" ht="15.75" customHeight="1" x14ac:dyDescent="0.3">
      <c r="A620" s="88"/>
      <c r="BG620" s="89"/>
      <c r="BH620" s="89"/>
      <c r="BI620" s="89"/>
      <c r="BJ620" s="89"/>
      <c r="BK620" s="89"/>
      <c r="BL620" s="89"/>
      <c r="BM620" s="89"/>
      <c r="BN620" s="89"/>
      <c r="BO620" s="89"/>
    </row>
    <row r="621" spans="1:67" ht="15.75" customHeight="1" x14ac:dyDescent="0.3">
      <c r="A621" s="88"/>
      <c r="BG621" s="89"/>
      <c r="BH621" s="89"/>
      <c r="BI621" s="89"/>
      <c r="BJ621" s="89"/>
      <c r="BK621" s="89"/>
      <c r="BL621" s="89"/>
      <c r="BM621" s="89"/>
      <c r="BN621" s="89"/>
      <c r="BO621" s="89"/>
    </row>
    <row r="622" spans="1:67" ht="15.75" customHeight="1" x14ac:dyDescent="0.3">
      <c r="A622" s="88"/>
      <c r="BG622" s="89"/>
      <c r="BH622" s="89"/>
      <c r="BI622" s="89"/>
      <c r="BJ622" s="89"/>
      <c r="BK622" s="89"/>
      <c r="BL622" s="89"/>
      <c r="BM622" s="89"/>
      <c r="BN622" s="89"/>
      <c r="BO622" s="89"/>
    </row>
    <row r="623" spans="1:67" ht="15.75" customHeight="1" x14ac:dyDescent="0.3">
      <c r="A623" s="88"/>
      <c r="BG623" s="89"/>
      <c r="BH623" s="89"/>
      <c r="BI623" s="89"/>
      <c r="BJ623" s="89"/>
      <c r="BK623" s="89"/>
      <c r="BL623" s="89"/>
      <c r="BM623" s="89"/>
      <c r="BN623" s="89"/>
      <c r="BO623" s="89"/>
    </row>
    <row r="624" spans="1:67" ht="15.75" customHeight="1" x14ac:dyDescent="0.3">
      <c r="A624" s="88"/>
      <c r="BG624" s="89"/>
      <c r="BH624" s="89"/>
      <c r="BI624" s="89"/>
      <c r="BJ624" s="89"/>
      <c r="BK624" s="89"/>
      <c r="BL624" s="89"/>
      <c r="BM624" s="89"/>
      <c r="BN624" s="89"/>
      <c r="BO624" s="89"/>
    </row>
    <row r="625" spans="1:67" ht="15.75" customHeight="1" x14ac:dyDescent="0.3">
      <c r="A625" s="88"/>
      <c r="BG625" s="89"/>
      <c r="BH625" s="89"/>
      <c r="BI625" s="89"/>
      <c r="BJ625" s="89"/>
      <c r="BK625" s="89"/>
      <c r="BL625" s="89"/>
      <c r="BM625" s="89"/>
      <c r="BN625" s="89"/>
      <c r="BO625" s="89"/>
    </row>
    <row r="626" spans="1:67" ht="15.75" customHeight="1" x14ac:dyDescent="0.3">
      <c r="A626" s="88"/>
      <c r="BG626" s="89"/>
      <c r="BH626" s="89"/>
      <c r="BI626" s="89"/>
      <c r="BJ626" s="89"/>
      <c r="BK626" s="89"/>
      <c r="BL626" s="89"/>
      <c r="BM626" s="89"/>
      <c r="BN626" s="89"/>
      <c r="BO626" s="89"/>
    </row>
    <row r="627" spans="1:67" ht="15.75" customHeight="1" x14ac:dyDescent="0.3">
      <c r="A627" s="88"/>
      <c r="BG627" s="89"/>
      <c r="BH627" s="89"/>
      <c r="BI627" s="89"/>
      <c r="BJ627" s="89"/>
      <c r="BK627" s="89"/>
      <c r="BL627" s="89"/>
      <c r="BM627" s="89"/>
      <c r="BN627" s="89"/>
      <c r="BO627" s="89"/>
    </row>
    <row r="628" spans="1:67" ht="15.75" customHeight="1" x14ac:dyDescent="0.3">
      <c r="A628" s="88"/>
      <c r="BG628" s="89"/>
      <c r="BH628" s="89"/>
      <c r="BI628" s="89"/>
      <c r="BJ628" s="89"/>
      <c r="BK628" s="89"/>
      <c r="BL628" s="89"/>
      <c r="BM628" s="89"/>
      <c r="BN628" s="89"/>
      <c r="BO628" s="89"/>
    </row>
    <row r="629" spans="1:67" ht="15.75" customHeight="1" x14ac:dyDescent="0.3">
      <c r="A629" s="88"/>
      <c r="BG629" s="89"/>
      <c r="BH629" s="89"/>
      <c r="BI629" s="89"/>
      <c r="BJ629" s="89"/>
      <c r="BK629" s="89"/>
      <c r="BL629" s="89"/>
      <c r="BM629" s="89"/>
      <c r="BN629" s="89"/>
      <c r="BO629" s="89"/>
    </row>
    <row r="630" spans="1:67" ht="15.75" customHeight="1" x14ac:dyDescent="0.3">
      <c r="A630" s="88"/>
      <c r="BG630" s="89"/>
      <c r="BH630" s="89"/>
      <c r="BI630" s="89"/>
      <c r="BJ630" s="89"/>
      <c r="BK630" s="89"/>
      <c r="BL630" s="89"/>
      <c r="BM630" s="89"/>
      <c r="BN630" s="89"/>
      <c r="BO630" s="89"/>
    </row>
    <row r="631" spans="1:67" ht="15.75" customHeight="1" x14ac:dyDescent="0.3">
      <c r="A631" s="88"/>
      <c r="BG631" s="89"/>
      <c r="BH631" s="89"/>
      <c r="BI631" s="89"/>
      <c r="BJ631" s="89"/>
      <c r="BK631" s="89"/>
      <c r="BL631" s="89"/>
      <c r="BM631" s="89"/>
      <c r="BN631" s="89"/>
      <c r="BO631" s="89"/>
    </row>
    <row r="632" spans="1:67" ht="15.75" customHeight="1" x14ac:dyDescent="0.3">
      <c r="A632" s="88"/>
      <c r="BG632" s="89"/>
      <c r="BH632" s="89"/>
      <c r="BI632" s="89"/>
      <c r="BJ632" s="89"/>
      <c r="BK632" s="89"/>
      <c r="BL632" s="89"/>
      <c r="BM632" s="89"/>
      <c r="BN632" s="89"/>
      <c r="BO632" s="89"/>
    </row>
    <row r="633" spans="1:67" ht="15.75" customHeight="1" x14ac:dyDescent="0.3">
      <c r="A633" s="88"/>
      <c r="BG633" s="89"/>
      <c r="BH633" s="89"/>
      <c r="BI633" s="89"/>
      <c r="BJ633" s="89"/>
      <c r="BK633" s="89"/>
      <c r="BL633" s="89"/>
      <c r="BM633" s="89"/>
      <c r="BN633" s="89"/>
      <c r="BO633" s="89"/>
    </row>
    <row r="634" spans="1:67" ht="15.75" customHeight="1" x14ac:dyDescent="0.3">
      <c r="A634" s="88"/>
      <c r="BG634" s="89"/>
      <c r="BH634" s="89"/>
      <c r="BI634" s="89"/>
      <c r="BJ634" s="89"/>
      <c r="BK634" s="89"/>
      <c r="BL634" s="89"/>
      <c r="BM634" s="89"/>
      <c r="BN634" s="89"/>
      <c r="BO634" s="89"/>
    </row>
    <row r="635" spans="1:67" ht="15.75" customHeight="1" x14ac:dyDescent="0.3">
      <c r="A635" s="88"/>
      <c r="BG635" s="89"/>
      <c r="BH635" s="89"/>
      <c r="BI635" s="89"/>
      <c r="BJ635" s="89"/>
      <c r="BK635" s="89"/>
      <c r="BL635" s="89"/>
      <c r="BM635" s="89"/>
      <c r="BN635" s="89"/>
      <c r="BO635" s="89"/>
    </row>
    <row r="636" spans="1:67" ht="15.75" customHeight="1" x14ac:dyDescent="0.3">
      <c r="A636" s="88"/>
      <c r="BG636" s="89"/>
      <c r="BH636" s="89"/>
      <c r="BI636" s="89"/>
      <c r="BJ636" s="89"/>
      <c r="BK636" s="89"/>
      <c r="BL636" s="89"/>
      <c r="BM636" s="89"/>
      <c r="BN636" s="89"/>
      <c r="BO636" s="89"/>
    </row>
    <row r="637" spans="1:67" ht="15.75" customHeight="1" x14ac:dyDescent="0.3">
      <c r="A637" s="88"/>
      <c r="BG637" s="89"/>
      <c r="BH637" s="89"/>
      <c r="BI637" s="89"/>
      <c r="BJ637" s="89"/>
      <c r="BK637" s="89"/>
      <c r="BL637" s="89"/>
      <c r="BM637" s="89"/>
      <c r="BN637" s="89"/>
      <c r="BO637" s="89"/>
    </row>
    <row r="638" spans="1:67" ht="15.75" customHeight="1" x14ac:dyDescent="0.3">
      <c r="A638" s="88"/>
      <c r="BG638" s="89"/>
      <c r="BH638" s="89"/>
      <c r="BI638" s="89"/>
      <c r="BJ638" s="89"/>
      <c r="BK638" s="89"/>
      <c r="BL638" s="89"/>
      <c r="BM638" s="89"/>
      <c r="BN638" s="89"/>
      <c r="BO638" s="89"/>
    </row>
    <row r="639" spans="1:67" ht="15.75" customHeight="1" x14ac:dyDescent="0.3">
      <c r="A639" s="88"/>
      <c r="BG639" s="89"/>
      <c r="BH639" s="89"/>
      <c r="BI639" s="89"/>
      <c r="BJ639" s="89"/>
      <c r="BK639" s="89"/>
      <c r="BL639" s="89"/>
      <c r="BM639" s="89"/>
      <c r="BN639" s="89"/>
      <c r="BO639" s="89"/>
    </row>
    <row r="640" spans="1:67" ht="15.75" customHeight="1" x14ac:dyDescent="0.3">
      <c r="A640" s="88"/>
      <c r="BG640" s="89"/>
      <c r="BH640" s="89"/>
      <c r="BI640" s="89"/>
      <c r="BJ640" s="89"/>
      <c r="BK640" s="89"/>
      <c r="BL640" s="89"/>
      <c r="BM640" s="89"/>
      <c r="BN640" s="89"/>
      <c r="BO640" s="89"/>
    </row>
    <row r="641" spans="1:67" ht="15.75" customHeight="1" x14ac:dyDescent="0.3">
      <c r="A641" s="88"/>
      <c r="BG641" s="89"/>
      <c r="BH641" s="89"/>
      <c r="BI641" s="89"/>
      <c r="BJ641" s="89"/>
      <c r="BK641" s="89"/>
      <c r="BL641" s="89"/>
      <c r="BM641" s="89"/>
      <c r="BN641" s="89"/>
      <c r="BO641" s="89"/>
    </row>
    <row r="642" spans="1:67" ht="15.75" customHeight="1" x14ac:dyDescent="0.3">
      <c r="A642" s="88"/>
      <c r="BG642" s="89"/>
      <c r="BH642" s="89"/>
      <c r="BI642" s="89"/>
      <c r="BJ642" s="89"/>
      <c r="BK642" s="89"/>
      <c r="BL642" s="89"/>
      <c r="BM642" s="89"/>
      <c r="BN642" s="89"/>
      <c r="BO642" s="89"/>
    </row>
    <row r="643" spans="1:67" ht="15.75" customHeight="1" x14ac:dyDescent="0.3">
      <c r="A643" s="88"/>
      <c r="BG643" s="89"/>
      <c r="BH643" s="89"/>
      <c r="BI643" s="89"/>
      <c r="BJ643" s="89"/>
      <c r="BK643" s="89"/>
      <c r="BL643" s="89"/>
      <c r="BM643" s="89"/>
      <c r="BN643" s="89"/>
      <c r="BO643" s="89"/>
    </row>
    <row r="644" spans="1:67" ht="15.75" customHeight="1" x14ac:dyDescent="0.3">
      <c r="A644" s="88"/>
      <c r="BG644" s="89"/>
      <c r="BH644" s="89"/>
      <c r="BI644" s="89"/>
      <c r="BJ644" s="89"/>
      <c r="BK644" s="89"/>
      <c r="BL644" s="89"/>
      <c r="BM644" s="89"/>
      <c r="BN644" s="89"/>
      <c r="BO644" s="89"/>
    </row>
    <row r="645" spans="1:67" ht="15.75" customHeight="1" x14ac:dyDescent="0.3">
      <c r="A645" s="88"/>
      <c r="BG645" s="89"/>
      <c r="BH645" s="89"/>
      <c r="BI645" s="89"/>
      <c r="BJ645" s="89"/>
      <c r="BK645" s="89"/>
      <c r="BL645" s="89"/>
      <c r="BM645" s="89"/>
      <c r="BN645" s="89"/>
      <c r="BO645" s="89"/>
    </row>
    <row r="646" spans="1:67" ht="15.75" customHeight="1" x14ac:dyDescent="0.3">
      <c r="A646" s="88"/>
      <c r="BG646" s="89"/>
      <c r="BH646" s="89"/>
      <c r="BI646" s="89"/>
      <c r="BJ646" s="89"/>
      <c r="BK646" s="89"/>
      <c r="BL646" s="89"/>
      <c r="BM646" s="89"/>
      <c r="BN646" s="89"/>
      <c r="BO646" s="89"/>
    </row>
    <row r="647" spans="1:67" ht="15.75" customHeight="1" x14ac:dyDescent="0.3">
      <c r="A647" s="88"/>
      <c r="BG647" s="89"/>
      <c r="BH647" s="89"/>
      <c r="BI647" s="89"/>
      <c r="BJ647" s="89"/>
      <c r="BK647" s="89"/>
      <c r="BL647" s="89"/>
      <c r="BM647" s="89"/>
      <c r="BN647" s="89"/>
      <c r="BO647" s="89"/>
    </row>
    <row r="648" spans="1:67" ht="15.75" customHeight="1" x14ac:dyDescent="0.3">
      <c r="A648" s="88"/>
      <c r="BG648" s="89"/>
      <c r="BH648" s="89"/>
      <c r="BI648" s="89"/>
      <c r="BJ648" s="89"/>
      <c r="BK648" s="89"/>
      <c r="BL648" s="89"/>
      <c r="BM648" s="89"/>
      <c r="BN648" s="89"/>
      <c r="BO648" s="89"/>
    </row>
    <row r="649" spans="1:67" ht="15.75" customHeight="1" x14ac:dyDescent="0.3">
      <c r="A649" s="88"/>
      <c r="BG649" s="89"/>
      <c r="BH649" s="89"/>
      <c r="BI649" s="89"/>
      <c r="BJ649" s="89"/>
      <c r="BK649" s="89"/>
      <c r="BL649" s="89"/>
      <c r="BM649" s="89"/>
      <c r="BN649" s="89"/>
      <c r="BO649" s="89"/>
    </row>
    <row r="650" spans="1:67" ht="15.75" customHeight="1" x14ac:dyDescent="0.3">
      <c r="A650" s="88"/>
      <c r="BG650" s="89"/>
      <c r="BH650" s="89"/>
      <c r="BI650" s="89"/>
      <c r="BJ650" s="89"/>
      <c r="BK650" s="89"/>
      <c r="BL650" s="89"/>
      <c r="BM650" s="89"/>
      <c r="BN650" s="89"/>
      <c r="BO650" s="89"/>
    </row>
    <row r="651" spans="1:67" ht="15.75" customHeight="1" x14ac:dyDescent="0.3">
      <c r="A651" s="88"/>
      <c r="BG651" s="89"/>
      <c r="BH651" s="89"/>
      <c r="BI651" s="89"/>
      <c r="BJ651" s="89"/>
      <c r="BK651" s="89"/>
      <c r="BL651" s="89"/>
      <c r="BM651" s="89"/>
      <c r="BN651" s="89"/>
      <c r="BO651" s="89"/>
    </row>
    <row r="652" spans="1:67" ht="15.75" customHeight="1" x14ac:dyDescent="0.3">
      <c r="A652" s="88"/>
      <c r="BG652" s="89"/>
      <c r="BH652" s="89"/>
      <c r="BI652" s="89"/>
      <c r="BJ652" s="89"/>
      <c r="BK652" s="89"/>
      <c r="BL652" s="89"/>
      <c r="BM652" s="89"/>
      <c r="BN652" s="89"/>
      <c r="BO652" s="89"/>
    </row>
    <row r="653" spans="1:67" ht="15.75" customHeight="1" x14ac:dyDescent="0.3">
      <c r="A653" s="88"/>
      <c r="BG653" s="89"/>
      <c r="BH653" s="89"/>
      <c r="BI653" s="89"/>
      <c r="BJ653" s="89"/>
      <c r="BK653" s="89"/>
      <c r="BL653" s="89"/>
      <c r="BM653" s="89"/>
      <c r="BN653" s="89"/>
      <c r="BO653" s="89"/>
    </row>
    <row r="654" spans="1:67" ht="15.75" customHeight="1" x14ac:dyDescent="0.3">
      <c r="A654" s="88"/>
      <c r="BG654" s="89"/>
      <c r="BH654" s="89"/>
      <c r="BI654" s="89"/>
      <c r="BJ654" s="89"/>
      <c r="BK654" s="89"/>
      <c r="BL654" s="89"/>
      <c r="BM654" s="89"/>
      <c r="BN654" s="89"/>
      <c r="BO654" s="89"/>
    </row>
    <row r="655" spans="1:67" ht="15.75" customHeight="1" x14ac:dyDescent="0.3">
      <c r="A655" s="88"/>
      <c r="BG655" s="89"/>
      <c r="BH655" s="89"/>
      <c r="BI655" s="89"/>
      <c r="BJ655" s="89"/>
      <c r="BK655" s="89"/>
      <c r="BL655" s="89"/>
      <c r="BM655" s="89"/>
      <c r="BN655" s="89"/>
      <c r="BO655" s="89"/>
    </row>
    <row r="656" spans="1:67" ht="15.75" customHeight="1" x14ac:dyDescent="0.3">
      <c r="A656" s="88"/>
      <c r="BG656" s="89"/>
      <c r="BH656" s="89"/>
      <c r="BI656" s="89"/>
      <c r="BJ656" s="89"/>
      <c r="BK656" s="89"/>
      <c r="BL656" s="89"/>
      <c r="BM656" s="89"/>
      <c r="BN656" s="89"/>
      <c r="BO656" s="89"/>
    </row>
    <row r="657" spans="1:67" ht="15.75" customHeight="1" x14ac:dyDescent="0.3">
      <c r="A657" s="88"/>
      <c r="BG657" s="89"/>
      <c r="BH657" s="89"/>
      <c r="BI657" s="89"/>
      <c r="BJ657" s="89"/>
      <c r="BK657" s="89"/>
      <c r="BL657" s="89"/>
      <c r="BM657" s="89"/>
      <c r="BN657" s="89"/>
      <c r="BO657" s="89"/>
    </row>
    <row r="658" spans="1:67" ht="15.75" customHeight="1" x14ac:dyDescent="0.3">
      <c r="A658" s="88"/>
      <c r="BG658" s="89"/>
      <c r="BH658" s="89"/>
      <c r="BI658" s="89"/>
      <c r="BJ658" s="89"/>
      <c r="BK658" s="89"/>
      <c r="BL658" s="89"/>
      <c r="BM658" s="89"/>
      <c r="BN658" s="89"/>
      <c r="BO658" s="89"/>
    </row>
    <row r="659" spans="1:67" ht="15.75" customHeight="1" x14ac:dyDescent="0.3">
      <c r="A659" s="88"/>
      <c r="BG659" s="89"/>
      <c r="BH659" s="89"/>
      <c r="BI659" s="89"/>
      <c r="BJ659" s="89"/>
      <c r="BK659" s="89"/>
      <c r="BL659" s="89"/>
      <c r="BM659" s="89"/>
      <c r="BN659" s="89"/>
      <c r="BO659" s="89"/>
    </row>
    <row r="660" spans="1:67" ht="15.75" customHeight="1" x14ac:dyDescent="0.3">
      <c r="A660" s="88"/>
      <c r="BG660" s="89"/>
      <c r="BH660" s="89"/>
      <c r="BI660" s="89"/>
      <c r="BJ660" s="89"/>
      <c r="BK660" s="89"/>
      <c r="BL660" s="89"/>
      <c r="BM660" s="89"/>
      <c r="BN660" s="89"/>
      <c r="BO660" s="89"/>
    </row>
    <row r="661" spans="1:67" ht="15.75" customHeight="1" x14ac:dyDescent="0.3">
      <c r="A661" s="88"/>
      <c r="BG661" s="89"/>
      <c r="BH661" s="89"/>
      <c r="BI661" s="89"/>
      <c r="BJ661" s="89"/>
      <c r="BK661" s="89"/>
      <c r="BL661" s="89"/>
      <c r="BM661" s="89"/>
      <c r="BN661" s="89"/>
      <c r="BO661" s="89"/>
    </row>
    <row r="662" spans="1:67" ht="15.75" customHeight="1" x14ac:dyDescent="0.3">
      <c r="A662" s="88"/>
      <c r="BG662" s="89"/>
      <c r="BH662" s="89"/>
      <c r="BI662" s="89"/>
      <c r="BJ662" s="89"/>
      <c r="BK662" s="89"/>
      <c r="BL662" s="89"/>
      <c r="BM662" s="89"/>
      <c r="BN662" s="89"/>
      <c r="BO662" s="89"/>
    </row>
    <row r="663" spans="1:67" ht="15.75" customHeight="1" x14ac:dyDescent="0.3">
      <c r="A663" s="88"/>
      <c r="BG663" s="89"/>
      <c r="BH663" s="89"/>
      <c r="BI663" s="89"/>
      <c r="BJ663" s="89"/>
      <c r="BK663" s="89"/>
      <c r="BL663" s="89"/>
      <c r="BM663" s="89"/>
      <c r="BN663" s="89"/>
      <c r="BO663" s="89"/>
    </row>
    <row r="664" spans="1:67" ht="15.75" customHeight="1" x14ac:dyDescent="0.3">
      <c r="A664" s="88"/>
      <c r="BG664" s="89"/>
      <c r="BH664" s="89"/>
      <c r="BI664" s="89"/>
      <c r="BJ664" s="89"/>
      <c r="BK664" s="89"/>
      <c r="BL664" s="89"/>
      <c r="BM664" s="89"/>
      <c r="BN664" s="89"/>
      <c r="BO664" s="89"/>
    </row>
    <row r="665" spans="1:67" ht="15.75" customHeight="1" x14ac:dyDescent="0.3">
      <c r="A665" s="88"/>
      <c r="BG665" s="89"/>
      <c r="BH665" s="89"/>
      <c r="BI665" s="89"/>
      <c r="BJ665" s="89"/>
      <c r="BK665" s="89"/>
      <c r="BL665" s="89"/>
      <c r="BM665" s="89"/>
      <c r="BN665" s="89"/>
      <c r="BO665" s="89"/>
    </row>
    <row r="666" spans="1:67" ht="15.75" customHeight="1" x14ac:dyDescent="0.3">
      <c r="A666" s="88"/>
      <c r="BG666" s="89"/>
      <c r="BH666" s="89"/>
      <c r="BI666" s="89"/>
      <c r="BJ666" s="89"/>
      <c r="BK666" s="89"/>
      <c r="BL666" s="89"/>
      <c r="BM666" s="89"/>
      <c r="BN666" s="89"/>
      <c r="BO666" s="89"/>
    </row>
    <row r="667" spans="1:67" ht="15.75" customHeight="1" x14ac:dyDescent="0.3">
      <c r="A667" s="88"/>
      <c r="BG667" s="89"/>
      <c r="BH667" s="89"/>
      <c r="BI667" s="89"/>
      <c r="BJ667" s="89"/>
      <c r="BK667" s="89"/>
      <c r="BL667" s="89"/>
      <c r="BM667" s="89"/>
      <c r="BN667" s="89"/>
      <c r="BO667" s="89"/>
    </row>
    <row r="668" spans="1:67" ht="15.75" customHeight="1" x14ac:dyDescent="0.3">
      <c r="A668" s="88"/>
      <c r="BG668" s="89"/>
      <c r="BH668" s="89"/>
      <c r="BI668" s="89"/>
      <c r="BJ668" s="89"/>
      <c r="BK668" s="89"/>
      <c r="BL668" s="89"/>
      <c r="BM668" s="89"/>
      <c r="BN668" s="89"/>
      <c r="BO668" s="89"/>
    </row>
    <row r="669" spans="1:67" ht="15.75" customHeight="1" x14ac:dyDescent="0.3">
      <c r="A669" s="88"/>
      <c r="BG669" s="89"/>
      <c r="BH669" s="89"/>
      <c r="BI669" s="89"/>
      <c r="BJ669" s="89"/>
      <c r="BK669" s="89"/>
      <c r="BL669" s="89"/>
      <c r="BM669" s="89"/>
      <c r="BN669" s="89"/>
      <c r="BO669" s="89"/>
    </row>
    <row r="670" spans="1:67" ht="15.75" customHeight="1" x14ac:dyDescent="0.3">
      <c r="A670" s="88"/>
      <c r="BG670" s="89"/>
      <c r="BH670" s="89"/>
      <c r="BI670" s="89"/>
      <c r="BJ670" s="89"/>
      <c r="BK670" s="89"/>
      <c r="BL670" s="89"/>
      <c r="BM670" s="89"/>
      <c r="BN670" s="89"/>
      <c r="BO670" s="89"/>
    </row>
    <row r="671" spans="1:67" ht="15.75" customHeight="1" x14ac:dyDescent="0.3">
      <c r="A671" s="88"/>
      <c r="BG671" s="89"/>
      <c r="BH671" s="89"/>
      <c r="BI671" s="89"/>
      <c r="BJ671" s="89"/>
      <c r="BK671" s="89"/>
      <c r="BL671" s="89"/>
      <c r="BM671" s="89"/>
      <c r="BN671" s="89"/>
      <c r="BO671" s="89"/>
    </row>
    <row r="672" spans="1:67" ht="15.75" customHeight="1" x14ac:dyDescent="0.3">
      <c r="A672" s="88"/>
      <c r="BG672" s="89"/>
      <c r="BH672" s="89"/>
      <c r="BI672" s="89"/>
      <c r="BJ672" s="89"/>
      <c r="BK672" s="89"/>
      <c r="BL672" s="89"/>
      <c r="BM672" s="89"/>
      <c r="BN672" s="89"/>
      <c r="BO672" s="89"/>
    </row>
    <row r="673" spans="1:67" ht="15.75" customHeight="1" x14ac:dyDescent="0.3">
      <c r="A673" s="88"/>
      <c r="BG673" s="89"/>
      <c r="BH673" s="89"/>
      <c r="BI673" s="89"/>
      <c r="BJ673" s="89"/>
      <c r="BK673" s="89"/>
      <c r="BL673" s="89"/>
      <c r="BM673" s="89"/>
      <c r="BN673" s="89"/>
      <c r="BO673" s="89"/>
    </row>
    <row r="674" spans="1:67" ht="15.75" customHeight="1" x14ac:dyDescent="0.3">
      <c r="A674" s="88"/>
      <c r="BG674" s="89"/>
      <c r="BH674" s="89"/>
      <c r="BI674" s="89"/>
      <c r="BJ674" s="89"/>
      <c r="BK674" s="89"/>
      <c r="BL674" s="89"/>
      <c r="BM674" s="89"/>
      <c r="BN674" s="89"/>
      <c r="BO674" s="89"/>
    </row>
    <row r="675" spans="1:67" ht="15.75" customHeight="1" x14ac:dyDescent="0.3">
      <c r="A675" s="88"/>
      <c r="BG675" s="89"/>
      <c r="BH675" s="89"/>
      <c r="BI675" s="89"/>
      <c r="BJ675" s="89"/>
      <c r="BK675" s="89"/>
      <c r="BL675" s="89"/>
      <c r="BM675" s="89"/>
      <c r="BN675" s="89"/>
      <c r="BO675" s="89"/>
    </row>
    <row r="676" spans="1:67" ht="15.75" customHeight="1" x14ac:dyDescent="0.3">
      <c r="A676" s="88"/>
      <c r="BG676" s="89"/>
      <c r="BH676" s="89"/>
      <c r="BI676" s="89"/>
      <c r="BJ676" s="89"/>
      <c r="BK676" s="89"/>
      <c r="BL676" s="89"/>
      <c r="BM676" s="89"/>
      <c r="BN676" s="89"/>
      <c r="BO676" s="89"/>
    </row>
    <row r="677" spans="1:67" ht="15.75" customHeight="1" x14ac:dyDescent="0.3">
      <c r="A677" s="88"/>
      <c r="BG677" s="89"/>
      <c r="BH677" s="89"/>
      <c r="BI677" s="89"/>
      <c r="BJ677" s="89"/>
      <c r="BK677" s="89"/>
      <c r="BL677" s="89"/>
      <c r="BM677" s="89"/>
      <c r="BN677" s="89"/>
      <c r="BO677" s="89"/>
    </row>
    <row r="678" spans="1:67" ht="15.75" customHeight="1" x14ac:dyDescent="0.3">
      <c r="A678" s="88"/>
      <c r="BG678" s="89"/>
      <c r="BH678" s="89"/>
      <c r="BI678" s="89"/>
      <c r="BJ678" s="89"/>
      <c r="BK678" s="89"/>
      <c r="BL678" s="89"/>
      <c r="BM678" s="89"/>
      <c r="BN678" s="89"/>
      <c r="BO678" s="89"/>
    </row>
    <row r="679" spans="1:67" ht="15.75" customHeight="1" x14ac:dyDescent="0.3">
      <c r="A679" s="88"/>
      <c r="BG679" s="89"/>
      <c r="BH679" s="89"/>
      <c r="BI679" s="89"/>
      <c r="BJ679" s="89"/>
      <c r="BK679" s="89"/>
      <c r="BL679" s="89"/>
      <c r="BM679" s="89"/>
      <c r="BN679" s="89"/>
      <c r="BO679" s="89"/>
    </row>
    <row r="680" spans="1:67" ht="15.75" customHeight="1" x14ac:dyDescent="0.3">
      <c r="A680" s="88"/>
      <c r="BG680" s="89"/>
      <c r="BH680" s="89"/>
      <c r="BI680" s="89"/>
      <c r="BJ680" s="89"/>
      <c r="BK680" s="89"/>
      <c r="BL680" s="89"/>
      <c r="BM680" s="89"/>
      <c r="BN680" s="89"/>
      <c r="BO680" s="89"/>
    </row>
    <row r="681" spans="1:67" ht="15.75" customHeight="1" x14ac:dyDescent="0.3">
      <c r="A681" s="88"/>
      <c r="BG681" s="89"/>
      <c r="BH681" s="89"/>
      <c r="BI681" s="89"/>
      <c r="BJ681" s="89"/>
      <c r="BK681" s="89"/>
      <c r="BL681" s="89"/>
      <c r="BM681" s="89"/>
      <c r="BN681" s="89"/>
      <c r="BO681" s="89"/>
    </row>
    <row r="682" spans="1:67" ht="15.75" customHeight="1" x14ac:dyDescent="0.3">
      <c r="A682" s="88"/>
      <c r="BG682" s="89"/>
      <c r="BH682" s="89"/>
      <c r="BI682" s="89"/>
      <c r="BJ682" s="89"/>
      <c r="BK682" s="89"/>
      <c r="BL682" s="89"/>
      <c r="BM682" s="89"/>
      <c r="BN682" s="89"/>
      <c r="BO682" s="89"/>
    </row>
    <row r="683" spans="1:67" ht="15.75" customHeight="1" x14ac:dyDescent="0.3">
      <c r="A683" s="88"/>
      <c r="BG683" s="89"/>
      <c r="BH683" s="89"/>
      <c r="BI683" s="89"/>
      <c r="BJ683" s="89"/>
      <c r="BK683" s="89"/>
      <c r="BL683" s="89"/>
      <c r="BM683" s="89"/>
      <c r="BN683" s="89"/>
      <c r="BO683" s="89"/>
    </row>
    <row r="684" spans="1:67" ht="15.75" customHeight="1" x14ac:dyDescent="0.3">
      <c r="A684" s="88"/>
      <c r="BG684" s="89"/>
      <c r="BH684" s="89"/>
      <c r="BI684" s="89"/>
      <c r="BJ684" s="89"/>
      <c r="BK684" s="89"/>
      <c r="BL684" s="89"/>
      <c r="BM684" s="89"/>
      <c r="BN684" s="89"/>
      <c r="BO684" s="89"/>
    </row>
    <row r="685" spans="1:67" ht="15.75" customHeight="1" x14ac:dyDescent="0.3">
      <c r="A685" s="88"/>
      <c r="BG685" s="89"/>
      <c r="BH685" s="89"/>
      <c r="BI685" s="89"/>
      <c r="BJ685" s="89"/>
      <c r="BK685" s="89"/>
      <c r="BL685" s="89"/>
      <c r="BM685" s="89"/>
      <c r="BN685" s="89"/>
      <c r="BO685" s="89"/>
    </row>
    <row r="686" spans="1:67" ht="15.75" customHeight="1" x14ac:dyDescent="0.3">
      <c r="A686" s="88"/>
      <c r="BG686" s="89"/>
      <c r="BH686" s="89"/>
      <c r="BI686" s="89"/>
      <c r="BJ686" s="89"/>
      <c r="BK686" s="89"/>
      <c r="BL686" s="89"/>
      <c r="BM686" s="89"/>
      <c r="BN686" s="89"/>
      <c r="BO686" s="89"/>
    </row>
    <row r="687" spans="1:67" ht="15.75" customHeight="1" x14ac:dyDescent="0.3">
      <c r="A687" s="88"/>
      <c r="BG687" s="89"/>
      <c r="BH687" s="89"/>
      <c r="BI687" s="89"/>
      <c r="BJ687" s="89"/>
      <c r="BK687" s="89"/>
      <c r="BL687" s="89"/>
      <c r="BM687" s="89"/>
      <c r="BN687" s="89"/>
      <c r="BO687" s="89"/>
    </row>
    <row r="688" spans="1:67" ht="15.75" customHeight="1" x14ac:dyDescent="0.3">
      <c r="A688" s="88"/>
      <c r="BG688" s="89"/>
      <c r="BH688" s="89"/>
      <c r="BI688" s="89"/>
      <c r="BJ688" s="89"/>
      <c r="BK688" s="89"/>
      <c r="BL688" s="89"/>
      <c r="BM688" s="89"/>
      <c r="BN688" s="89"/>
      <c r="BO688" s="89"/>
    </row>
    <row r="689" spans="1:67" ht="15.75" customHeight="1" x14ac:dyDescent="0.3">
      <c r="A689" s="88"/>
      <c r="BG689" s="89"/>
      <c r="BH689" s="89"/>
      <c r="BI689" s="89"/>
      <c r="BJ689" s="89"/>
      <c r="BK689" s="89"/>
      <c r="BL689" s="89"/>
      <c r="BM689" s="89"/>
      <c r="BN689" s="89"/>
      <c r="BO689" s="89"/>
    </row>
    <row r="690" spans="1:67" ht="15.75" customHeight="1" x14ac:dyDescent="0.3">
      <c r="A690" s="88"/>
      <c r="BG690" s="89"/>
      <c r="BH690" s="89"/>
      <c r="BI690" s="89"/>
      <c r="BJ690" s="89"/>
      <c r="BK690" s="89"/>
      <c r="BL690" s="89"/>
      <c r="BM690" s="89"/>
      <c r="BN690" s="89"/>
      <c r="BO690" s="89"/>
    </row>
    <row r="691" spans="1:67" ht="15.75" customHeight="1" x14ac:dyDescent="0.3">
      <c r="A691" s="88"/>
      <c r="BG691" s="89"/>
      <c r="BH691" s="89"/>
      <c r="BI691" s="89"/>
      <c r="BJ691" s="89"/>
      <c r="BK691" s="89"/>
      <c r="BL691" s="89"/>
      <c r="BM691" s="89"/>
      <c r="BN691" s="89"/>
      <c r="BO691" s="89"/>
    </row>
    <row r="692" spans="1:67" ht="15.75" customHeight="1" x14ac:dyDescent="0.3">
      <c r="A692" s="88"/>
      <c r="BG692" s="89"/>
      <c r="BH692" s="89"/>
      <c r="BI692" s="89"/>
      <c r="BJ692" s="89"/>
      <c r="BK692" s="89"/>
      <c r="BL692" s="89"/>
      <c r="BM692" s="89"/>
      <c r="BN692" s="89"/>
      <c r="BO692" s="89"/>
    </row>
    <row r="693" spans="1:67" ht="15.75" customHeight="1" x14ac:dyDescent="0.3">
      <c r="A693" s="88"/>
      <c r="BG693" s="89"/>
      <c r="BH693" s="89"/>
      <c r="BI693" s="89"/>
      <c r="BJ693" s="89"/>
      <c r="BK693" s="89"/>
      <c r="BL693" s="89"/>
      <c r="BM693" s="89"/>
      <c r="BN693" s="89"/>
      <c r="BO693" s="89"/>
    </row>
    <row r="694" spans="1:67" ht="15.75" customHeight="1" x14ac:dyDescent="0.3">
      <c r="A694" s="88"/>
      <c r="BG694" s="89"/>
      <c r="BH694" s="89"/>
      <c r="BI694" s="89"/>
      <c r="BJ694" s="89"/>
      <c r="BK694" s="89"/>
      <c r="BL694" s="89"/>
      <c r="BM694" s="89"/>
      <c r="BN694" s="89"/>
      <c r="BO694" s="89"/>
    </row>
    <row r="695" spans="1:67" ht="15.75" customHeight="1" x14ac:dyDescent="0.3">
      <c r="A695" s="88"/>
      <c r="BG695" s="89"/>
      <c r="BH695" s="89"/>
      <c r="BI695" s="89"/>
      <c r="BJ695" s="89"/>
      <c r="BK695" s="89"/>
      <c r="BL695" s="89"/>
      <c r="BM695" s="89"/>
      <c r="BN695" s="89"/>
      <c r="BO695" s="89"/>
    </row>
    <row r="696" spans="1:67" ht="15.75" customHeight="1" x14ac:dyDescent="0.3">
      <c r="A696" s="88"/>
      <c r="BG696" s="89"/>
      <c r="BH696" s="89"/>
      <c r="BI696" s="89"/>
      <c r="BJ696" s="89"/>
      <c r="BK696" s="89"/>
      <c r="BL696" s="89"/>
      <c r="BM696" s="89"/>
      <c r="BN696" s="89"/>
      <c r="BO696" s="89"/>
    </row>
    <row r="697" spans="1:67" ht="15.75" customHeight="1" x14ac:dyDescent="0.3">
      <c r="A697" s="88"/>
      <c r="BG697" s="89"/>
      <c r="BH697" s="89"/>
      <c r="BI697" s="89"/>
      <c r="BJ697" s="89"/>
      <c r="BK697" s="89"/>
      <c r="BL697" s="89"/>
      <c r="BM697" s="89"/>
      <c r="BN697" s="89"/>
      <c r="BO697" s="89"/>
    </row>
    <row r="698" spans="1:67" ht="15.75" customHeight="1" x14ac:dyDescent="0.3">
      <c r="A698" s="88"/>
      <c r="BG698" s="89"/>
      <c r="BH698" s="89"/>
      <c r="BI698" s="89"/>
      <c r="BJ698" s="89"/>
      <c r="BK698" s="89"/>
      <c r="BL698" s="89"/>
      <c r="BM698" s="89"/>
      <c r="BN698" s="89"/>
      <c r="BO698" s="89"/>
    </row>
    <row r="699" spans="1:67" ht="15.75" customHeight="1" x14ac:dyDescent="0.3">
      <c r="A699" s="88"/>
      <c r="BG699" s="89"/>
      <c r="BH699" s="89"/>
      <c r="BI699" s="89"/>
      <c r="BJ699" s="89"/>
      <c r="BK699" s="89"/>
      <c r="BL699" s="89"/>
      <c r="BM699" s="89"/>
      <c r="BN699" s="89"/>
      <c r="BO699" s="89"/>
    </row>
    <row r="700" spans="1:67" ht="15.75" customHeight="1" x14ac:dyDescent="0.3">
      <c r="A700" s="88"/>
      <c r="BG700" s="89"/>
      <c r="BH700" s="89"/>
      <c r="BI700" s="89"/>
      <c r="BJ700" s="89"/>
      <c r="BK700" s="89"/>
      <c r="BL700" s="89"/>
      <c r="BM700" s="89"/>
      <c r="BN700" s="89"/>
      <c r="BO700" s="89"/>
    </row>
    <row r="701" spans="1:67" ht="15.75" customHeight="1" x14ac:dyDescent="0.3">
      <c r="A701" s="88"/>
      <c r="BG701" s="89"/>
      <c r="BH701" s="89"/>
      <c r="BI701" s="89"/>
      <c r="BJ701" s="89"/>
      <c r="BK701" s="89"/>
      <c r="BL701" s="89"/>
      <c r="BM701" s="89"/>
      <c r="BN701" s="89"/>
      <c r="BO701" s="89"/>
    </row>
    <row r="702" spans="1:67" ht="15.75" customHeight="1" x14ac:dyDescent="0.3">
      <c r="A702" s="88"/>
      <c r="BG702" s="89"/>
      <c r="BH702" s="89"/>
      <c r="BI702" s="89"/>
      <c r="BJ702" s="89"/>
      <c r="BK702" s="89"/>
      <c r="BL702" s="89"/>
      <c r="BM702" s="89"/>
      <c r="BN702" s="89"/>
      <c r="BO702" s="89"/>
    </row>
    <row r="703" spans="1:67" ht="15.75" customHeight="1" x14ac:dyDescent="0.3">
      <c r="A703" s="88"/>
      <c r="BG703" s="89"/>
      <c r="BH703" s="89"/>
      <c r="BI703" s="89"/>
      <c r="BJ703" s="89"/>
      <c r="BK703" s="89"/>
      <c r="BL703" s="89"/>
      <c r="BM703" s="89"/>
      <c r="BN703" s="89"/>
      <c r="BO703" s="89"/>
    </row>
    <row r="704" spans="1:67" ht="15.75" customHeight="1" x14ac:dyDescent="0.3">
      <c r="A704" s="88"/>
      <c r="BG704" s="89"/>
      <c r="BH704" s="89"/>
      <c r="BI704" s="89"/>
      <c r="BJ704" s="89"/>
      <c r="BK704" s="89"/>
      <c r="BL704" s="89"/>
      <c r="BM704" s="89"/>
      <c r="BN704" s="89"/>
      <c r="BO704" s="89"/>
    </row>
    <row r="705" spans="1:67" ht="15.75" customHeight="1" x14ac:dyDescent="0.3">
      <c r="A705" s="88"/>
      <c r="BG705" s="89"/>
      <c r="BH705" s="89"/>
      <c r="BI705" s="89"/>
      <c r="BJ705" s="89"/>
      <c r="BK705" s="89"/>
      <c r="BL705" s="89"/>
      <c r="BM705" s="89"/>
      <c r="BN705" s="89"/>
      <c r="BO705" s="89"/>
    </row>
    <row r="706" spans="1:67" ht="15.75" customHeight="1" x14ac:dyDescent="0.3">
      <c r="A706" s="88"/>
      <c r="BG706" s="89"/>
      <c r="BH706" s="89"/>
      <c r="BI706" s="89"/>
      <c r="BJ706" s="89"/>
      <c r="BK706" s="89"/>
      <c r="BL706" s="89"/>
      <c r="BM706" s="89"/>
      <c r="BN706" s="89"/>
      <c r="BO706" s="89"/>
    </row>
    <row r="707" spans="1:67" ht="15.75" customHeight="1" x14ac:dyDescent="0.3">
      <c r="A707" s="88"/>
      <c r="BG707" s="89"/>
      <c r="BH707" s="89"/>
      <c r="BI707" s="89"/>
      <c r="BJ707" s="89"/>
      <c r="BK707" s="89"/>
      <c r="BL707" s="89"/>
      <c r="BM707" s="89"/>
      <c r="BN707" s="89"/>
      <c r="BO707" s="89"/>
    </row>
    <row r="708" spans="1:67" ht="15.75" customHeight="1" x14ac:dyDescent="0.3">
      <c r="A708" s="88"/>
      <c r="BG708" s="89"/>
      <c r="BH708" s="89"/>
      <c r="BI708" s="89"/>
      <c r="BJ708" s="89"/>
      <c r="BK708" s="89"/>
      <c r="BL708" s="89"/>
      <c r="BM708" s="89"/>
      <c r="BN708" s="89"/>
      <c r="BO708" s="89"/>
    </row>
    <row r="709" spans="1:67" ht="15.75" customHeight="1" x14ac:dyDescent="0.3">
      <c r="A709" s="88"/>
      <c r="BG709" s="89"/>
      <c r="BH709" s="89"/>
      <c r="BI709" s="89"/>
      <c r="BJ709" s="89"/>
      <c r="BK709" s="89"/>
      <c r="BL709" s="89"/>
      <c r="BM709" s="89"/>
      <c r="BN709" s="89"/>
      <c r="BO709" s="89"/>
    </row>
    <row r="710" spans="1:67" ht="15.75" customHeight="1" x14ac:dyDescent="0.3">
      <c r="A710" s="88"/>
      <c r="BG710" s="89"/>
      <c r="BH710" s="89"/>
      <c r="BI710" s="89"/>
      <c r="BJ710" s="89"/>
      <c r="BK710" s="89"/>
      <c r="BL710" s="89"/>
      <c r="BM710" s="89"/>
      <c r="BN710" s="89"/>
      <c r="BO710" s="89"/>
    </row>
    <row r="711" spans="1:67" ht="15.75" customHeight="1" x14ac:dyDescent="0.3">
      <c r="A711" s="88"/>
      <c r="BG711" s="89"/>
      <c r="BH711" s="89"/>
      <c r="BI711" s="89"/>
      <c r="BJ711" s="89"/>
      <c r="BK711" s="89"/>
      <c r="BL711" s="89"/>
      <c r="BM711" s="89"/>
      <c r="BN711" s="89"/>
      <c r="BO711" s="89"/>
    </row>
    <row r="712" spans="1:67" ht="15.75" customHeight="1" x14ac:dyDescent="0.3">
      <c r="A712" s="88"/>
      <c r="BG712" s="89"/>
      <c r="BH712" s="89"/>
      <c r="BI712" s="89"/>
      <c r="BJ712" s="89"/>
      <c r="BK712" s="89"/>
      <c r="BL712" s="89"/>
      <c r="BM712" s="89"/>
      <c r="BN712" s="89"/>
      <c r="BO712" s="89"/>
    </row>
    <row r="713" spans="1:67" ht="15.75" customHeight="1" x14ac:dyDescent="0.3">
      <c r="A713" s="88"/>
      <c r="BG713" s="89"/>
      <c r="BH713" s="89"/>
      <c r="BI713" s="89"/>
      <c r="BJ713" s="89"/>
      <c r="BK713" s="89"/>
      <c r="BL713" s="89"/>
      <c r="BM713" s="89"/>
      <c r="BN713" s="89"/>
      <c r="BO713" s="89"/>
    </row>
    <row r="714" spans="1:67" ht="15.75" customHeight="1" x14ac:dyDescent="0.3">
      <c r="A714" s="88"/>
      <c r="BG714" s="89"/>
      <c r="BH714" s="89"/>
      <c r="BI714" s="89"/>
      <c r="BJ714" s="89"/>
      <c r="BK714" s="89"/>
      <c r="BL714" s="89"/>
      <c r="BM714" s="89"/>
      <c r="BN714" s="89"/>
      <c r="BO714" s="89"/>
    </row>
    <row r="715" spans="1:67" ht="15.75" customHeight="1" x14ac:dyDescent="0.3">
      <c r="A715" s="88"/>
      <c r="BG715" s="89"/>
      <c r="BH715" s="89"/>
      <c r="BI715" s="89"/>
      <c r="BJ715" s="89"/>
      <c r="BK715" s="89"/>
      <c r="BL715" s="89"/>
      <c r="BM715" s="89"/>
      <c r="BN715" s="89"/>
      <c r="BO715" s="89"/>
    </row>
    <row r="716" spans="1:67" ht="15.75" customHeight="1" x14ac:dyDescent="0.3">
      <c r="A716" s="88"/>
      <c r="BG716" s="89"/>
      <c r="BH716" s="89"/>
      <c r="BI716" s="89"/>
      <c r="BJ716" s="89"/>
      <c r="BK716" s="89"/>
      <c r="BL716" s="89"/>
      <c r="BM716" s="89"/>
      <c r="BN716" s="89"/>
      <c r="BO716" s="89"/>
    </row>
    <row r="717" spans="1:67" ht="15.75" customHeight="1" x14ac:dyDescent="0.3">
      <c r="A717" s="88"/>
      <c r="BG717" s="89"/>
      <c r="BH717" s="89"/>
      <c r="BI717" s="89"/>
      <c r="BJ717" s="89"/>
      <c r="BK717" s="89"/>
      <c r="BL717" s="89"/>
      <c r="BM717" s="89"/>
      <c r="BN717" s="89"/>
      <c r="BO717" s="89"/>
    </row>
    <row r="718" spans="1:67" ht="15.75" customHeight="1" x14ac:dyDescent="0.3">
      <c r="A718" s="88"/>
      <c r="BG718" s="89"/>
      <c r="BH718" s="89"/>
      <c r="BI718" s="89"/>
      <c r="BJ718" s="89"/>
      <c r="BK718" s="89"/>
      <c r="BL718" s="89"/>
      <c r="BM718" s="89"/>
      <c r="BN718" s="89"/>
      <c r="BO718" s="89"/>
    </row>
    <row r="719" spans="1:67" ht="15.75" customHeight="1" x14ac:dyDescent="0.3">
      <c r="A719" s="88"/>
      <c r="BG719" s="89"/>
      <c r="BH719" s="89"/>
      <c r="BI719" s="89"/>
      <c r="BJ719" s="89"/>
      <c r="BK719" s="89"/>
      <c r="BL719" s="89"/>
      <c r="BM719" s="89"/>
      <c r="BN719" s="89"/>
      <c r="BO719" s="89"/>
    </row>
    <row r="720" spans="1:67" ht="15.75" customHeight="1" x14ac:dyDescent="0.3">
      <c r="A720" s="88"/>
      <c r="BG720" s="89"/>
      <c r="BH720" s="89"/>
      <c r="BI720" s="89"/>
      <c r="BJ720" s="89"/>
      <c r="BK720" s="89"/>
      <c r="BL720" s="89"/>
      <c r="BM720" s="89"/>
      <c r="BN720" s="89"/>
      <c r="BO720" s="89"/>
    </row>
    <row r="721" spans="1:67" ht="15.75" customHeight="1" x14ac:dyDescent="0.3">
      <c r="A721" s="88"/>
      <c r="BG721" s="89"/>
      <c r="BH721" s="89"/>
      <c r="BI721" s="89"/>
      <c r="BJ721" s="89"/>
      <c r="BK721" s="89"/>
      <c r="BL721" s="89"/>
      <c r="BM721" s="89"/>
      <c r="BN721" s="89"/>
      <c r="BO721" s="89"/>
    </row>
    <row r="722" spans="1:67" ht="15.75" customHeight="1" x14ac:dyDescent="0.3">
      <c r="A722" s="88"/>
      <c r="BG722" s="89"/>
      <c r="BH722" s="89"/>
      <c r="BI722" s="89"/>
      <c r="BJ722" s="89"/>
      <c r="BK722" s="89"/>
      <c r="BL722" s="89"/>
      <c r="BM722" s="89"/>
      <c r="BN722" s="89"/>
      <c r="BO722" s="89"/>
    </row>
    <row r="723" spans="1:67" ht="15.75" customHeight="1" x14ac:dyDescent="0.3">
      <c r="A723" s="88"/>
      <c r="BG723" s="89"/>
      <c r="BH723" s="89"/>
      <c r="BI723" s="89"/>
      <c r="BJ723" s="89"/>
      <c r="BK723" s="89"/>
      <c r="BL723" s="89"/>
      <c r="BM723" s="89"/>
      <c r="BN723" s="89"/>
      <c r="BO723" s="89"/>
    </row>
    <row r="724" spans="1:67" ht="15.75" customHeight="1" x14ac:dyDescent="0.3">
      <c r="A724" s="88"/>
      <c r="BG724" s="89"/>
      <c r="BH724" s="89"/>
      <c r="BI724" s="89"/>
      <c r="BJ724" s="89"/>
      <c r="BK724" s="89"/>
      <c r="BL724" s="89"/>
      <c r="BM724" s="89"/>
      <c r="BN724" s="89"/>
      <c r="BO724" s="89"/>
    </row>
    <row r="725" spans="1:67" ht="15.75" customHeight="1" x14ac:dyDescent="0.3">
      <c r="A725" s="88"/>
      <c r="BG725" s="89"/>
      <c r="BH725" s="89"/>
      <c r="BI725" s="89"/>
      <c r="BJ725" s="89"/>
      <c r="BK725" s="89"/>
      <c r="BL725" s="89"/>
      <c r="BM725" s="89"/>
      <c r="BN725" s="89"/>
      <c r="BO725" s="89"/>
    </row>
    <row r="726" spans="1:67" ht="15.75" customHeight="1" x14ac:dyDescent="0.3">
      <c r="A726" s="88"/>
      <c r="BG726" s="89"/>
      <c r="BH726" s="89"/>
      <c r="BI726" s="89"/>
      <c r="BJ726" s="89"/>
      <c r="BK726" s="89"/>
      <c r="BL726" s="89"/>
      <c r="BM726" s="89"/>
      <c r="BN726" s="89"/>
      <c r="BO726" s="89"/>
    </row>
    <row r="727" spans="1:67" ht="15.75" customHeight="1" x14ac:dyDescent="0.3">
      <c r="A727" s="88"/>
      <c r="BG727" s="89"/>
      <c r="BH727" s="89"/>
      <c r="BI727" s="89"/>
      <c r="BJ727" s="89"/>
      <c r="BK727" s="89"/>
      <c r="BL727" s="89"/>
      <c r="BM727" s="89"/>
      <c r="BN727" s="89"/>
      <c r="BO727" s="89"/>
    </row>
    <row r="728" spans="1:67" ht="15.75" customHeight="1" x14ac:dyDescent="0.3">
      <c r="A728" s="88"/>
      <c r="BG728" s="89"/>
      <c r="BH728" s="89"/>
      <c r="BI728" s="89"/>
      <c r="BJ728" s="89"/>
      <c r="BK728" s="89"/>
      <c r="BL728" s="89"/>
      <c r="BM728" s="89"/>
      <c r="BN728" s="89"/>
      <c r="BO728" s="89"/>
    </row>
    <row r="729" spans="1:67" ht="15.75" customHeight="1" x14ac:dyDescent="0.3">
      <c r="A729" s="88"/>
      <c r="BG729" s="89"/>
      <c r="BH729" s="89"/>
      <c r="BI729" s="89"/>
      <c r="BJ729" s="89"/>
      <c r="BK729" s="89"/>
      <c r="BL729" s="89"/>
      <c r="BM729" s="89"/>
      <c r="BN729" s="89"/>
      <c r="BO729" s="89"/>
    </row>
    <row r="730" spans="1:67" ht="15.75" customHeight="1" x14ac:dyDescent="0.3">
      <c r="A730" s="88"/>
      <c r="BG730" s="89"/>
      <c r="BH730" s="89"/>
      <c r="BI730" s="89"/>
      <c r="BJ730" s="89"/>
      <c r="BK730" s="89"/>
      <c r="BL730" s="89"/>
      <c r="BM730" s="89"/>
      <c r="BN730" s="89"/>
      <c r="BO730" s="89"/>
    </row>
    <row r="731" spans="1:67" ht="15.75" customHeight="1" x14ac:dyDescent="0.3">
      <c r="A731" s="88"/>
      <c r="BG731" s="89"/>
      <c r="BH731" s="89"/>
      <c r="BI731" s="89"/>
      <c r="BJ731" s="89"/>
      <c r="BK731" s="89"/>
      <c r="BL731" s="89"/>
      <c r="BM731" s="89"/>
      <c r="BN731" s="89"/>
      <c r="BO731" s="89"/>
    </row>
    <row r="732" spans="1:67" ht="15.75" customHeight="1" x14ac:dyDescent="0.3">
      <c r="A732" s="88"/>
      <c r="BG732" s="89"/>
      <c r="BH732" s="89"/>
      <c r="BI732" s="89"/>
      <c r="BJ732" s="89"/>
      <c r="BK732" s="89"/>
      <c r="BL732" s="89"/>
      <c r="BM732" s="89"/>
      <c r="BN732" s="89"/>
      <c r="BO732" s="89"/>
    </row>
    <row r="733" spans="1:67" ht="15.75" customHeight="1" x14ac:dyDescent="0.3">
      <c r="A733" s="88"/>
      <c r="BG733" s="89"/>
      <c r="BH733" s="89"/>
      <c r="BI733" s="89"/>
      <c r="BJ733" s="89"/>
      <c r="BK733" s="89"/>
      <c r="BL733" s="89"/>
      <c r="BM733" s="89"/>
      <c r="BN733" s="89"/>
      <c r="BO733" s="89"/>
    </row>
    <row r="734" spans="1:67" ht="15.75" customHeight="1" x14ac:dyDescent="0.3">
      <c r="A734" s="88"/>
      <c r="BG734" s="89"/>
      <c r="BH734" s="89"/>
      <c r="BI734" s="89"/>
      <c r="BJ734" s="89"/>
      <c r="BK734" s="89"/>
      <c r="BL734" s="89"/>
      <c r="BM734" s="89"/>
      <c r="BN734" s="89"/>
      <c r="BO734" s="89"/>
    </row>
    <row r="735" spans="1:67" ht="15.75" customHeight="1" x14ac:dyDescent="0.3">
      <c r="A735" s="88"/>
      <c r="BG735" s="89"/>
      <c r="BH735" s="89"/>
      <c r="BI735" s="89"/>
      <c r="BJ735" s="89"/>
      <c r="BK735" s="89"/>
      <c r="BL735" s="89"/>
      <c r="BM735" s="89"/>
      <c r="BN735" s="89"/>
      <c r="BO735" s="89"/>
    </row>
    <row r="736" spans="1:67" ht="15.75" customHeight="1" x14ac:dyDescent="0.3">
      <c r="A736" s="88"/>
      <c r="BG736" s="89"/>
      <c r="BH736" s="89"/>
      <c r="BI736" s="89"/>
      <c r="BJ736" s="89"/>
      <c r="BK736" s="89"/>
      <c r="BL736" s="89"/>
      <c r="BM736" s="89"/>
      <c r="BN736" s="89"/>
      <c r="BO736" s="89"/>
    </row>
    <row r="737" spans="1:67" ht="15.75" customHeight="1" x14ac:dyDescent="0.3">
      <c r="A737" s="88"/>
      <c r="BG737" s="89"/>
      <c r="BH737" s="89"/>
      <c r="BI737" s="89"/>
      <c r="BJ737" s="89"/>
      <c r="BK737" s="89"/>
      <c r="BL737" s="89"/>
      <c r="BM737" s="89"/>
      <c r="BN737" s="89"/>
      <c r="BO737" s="89"/>
    </row>
    <row r="738" spans="1:67" ht="15.75" customHeight="1" x14ac:dyDescent="0.3">
      <c r="A738" s="88"/>
      <c r="BG738" s="89"/>
      <c r="BH738" s="89"/>
      <c r="BI738" s="89"/>
      <c r="BJ738" s="89"/>
      <c r="BK738" s="89"/>
      <c r="BL738" s="89"/>
      <c r="BM738" s="89"/>
      <c r="BN738" s="89"/>
      <c r="BO738" s="89"/>
    </row>
    <row r="739" spans="1:67" ht="15.75" customHeight="1" x14ac:dyDescent="0.3">
      <c r="A739" s="88"/>
      <c r="BG739" s="89"/>
      <c r="BH739" s="89"/>
      <c r="BI739" s="89"/>
      <c r="BJ739" s="89"/>
      <c r="BK739" s="89"/>
      <c r="BL739" s="89"/>
      <c r="BM739" s="89"/>
      <c r="BN739" s="89"/>
      <c r="BO739" s="89"/>
    </row>
    <row r="740" spans="1:67" ht="15.75" customHeight="1" x14ac:dyDescent="0.3">
      <c r="A740" s="88"/>
      <c r="BG740" s="89"/>
      <c r="BH740" s="89"/>
      <c r="BI740" s="89"/>
      <c r="BJ740" s="89"/>
      <c r="BK740" s="89"/>
      <c r="BL740" s="89"/>
      <c r="BM740" s="89"/>
      <c r="BN740" s="89"/>
      <c r="BO740" s="89"/>
    </row>
    <row r="741" spans="1:67" ht="15.75" customHeight="1" x14ac:dyDescent="0.3">
      <c r="A741" s="88"/>
      <c r="BG741" s="89"/>
      <c r="BH741" s="89"/>
      <c r="BI741" s="89"/>
      <c r="BJ741" s="89"/>
      <c r="BK741" s="89"/>
      <c r="BL741" s="89"/>
      <c r="BM741" s="89"/>
      <c r="BN741" s="89"/>
      <c r="BO741" s="89"/>
    </row>
    <row r="742" spans="1:67" ht="15.75" customHeight="1" x14ac:dyDescent="0.3">
      <c r="A742" s="88"/>
      <c r="BG742" s="89"/>
      <c r="BH742" s="89"/>
      <c r="BI742" s="89"/>
      <c r="BJ742" s="89"/>
      <c r="BK742" s="89"/>
      <c r="BL742" s="89"/>
      <c r="BM742" s="89"/>
      <c r="BN742" s="89"/>
      <c r="BO742" s="89"/>
    </row>
    <row r="743" spans="1:67" ht="15.75" customHeight="1" x14ac:dyDescent="0.3">
      <c r="A743" s="88"/>
      <c r="BG743" s="89"/>
      <c r="BH743" s="89"/>
      <c r="BI743" s="89"/>
      <c r="BJ743" s="89"/>
      <c r="BK743" s="89"/>
      <c r="BL743" s="89"/>
      <c r="BM743" s="89"/>
      <c r="BN743" s="89"/>
      <c r="BO743" s="89"/>
    </row>
    <row r="744" spans="1:67" ht="15.75" customHeight="1" x14ac:dyDescent="0.3">
      <c r="A744" s="88"/>
      <c r="BG744" s="89"/>
      <c r="BH744" s="89"/>
      <c r="BI744" s="89"/>
      <c r="BJ744" s="89"/>
      <c r="BK744" s="89"/>
      <c r="BL744" s="89"/>
      <c r="BM744" s="89"/>
      <c r="BN744" s="89"/>
      <c r="BO744" s="89"/>
    </row>
    <row r="745" spans="1:67" ht="15.75" customHeight="1" x14ac:dyDescent="0.3">
      <c r="A745" s="88"/>
      <c r="BG745" s="89"/>
      <c r="BH745" s="89"/>
      <c r="BI745" s="89"/>
      <c r="BJ745" s="89"/>
      <c r="BK745" s="89"/>
      <c r="BL745" s="89"/>
      <c r="BM745" s="89"/>
      <c r="BN745" s="89"/>
      <c r="BO745" s="89"/>
    </row>
    <row r="746" spans="1:67" ht="15.75" customHeight="1" x14ac:dyDescent="0.3">
      <c r="A746" s="88"/>
      <c r="BG746" s="89"/>
      <c r="BH746" s="89"/>
      <c r="BI746" s="89"/>
      <c r="BJ746" s="89"/>
      <c r="BK746" s="89"/>
      <c r="BL746" s="89"/>
      <c r="BM746" s="89"/>
      <c r="BN746" s="89"/>
      <c r="BO746" s="89"/>
    </row>
    <row r="747" spans="1:67" ht="15.75" customHeight="1" x14ac:dyDescent="0.3">
      <c r="A747" s="88"/>
      <c r="BG747" s="89"/>
      <c r="BH747" s="89"/>
      <c r="BI747" s="89"/>
      <c r="BJ747" s="89"/>
      <c r="BK747" s="89"/>
      <c r="BL747" s="89"/>
      <c r="BM747" s="89"/>
      <c r="BN747" s="89"/>
      <c r="BO747" s="89"/>
    </row>
    <row r="748" spans="1:67" ht="15.75" customHeight="1" x14ac:dyDescent="0.3">
      <c r="A748" s="88"/>
      <c r="BG748" s="89"/>
      <c r="BH748" s="89"/>
      <c r="BI748" s="89"/>
      <c r="BJ748" s="89"/>
      <c r="BK748" s="89"/>
      <c r="BL748" s="89"/>
      <c r="BM748" s="89"/>
      <c r="BN748" s="89"/>
      <c r="BO748" s="89"/>
    </row>
    <row r="749" spans="1:67" ht="15.75" customHeight="1" x14ac:dyDescent="0.3">
      <c r="A749" s="88"/>
      <c r="BG749" s="89"/>
      <c r="BH749" s="89"/>
      <c r="BI749" s="89"/>
      <c r="BJ749" s="89"/>
      <c r="BK749" s="89"/>
      <c r="BL749" s="89"/>
      <c r="BM749" s="89"/>
      <c r="BN749" s="89"/>
      <c r="BO749" s="89"/>
    </row>
    <row r="750" spans="1:67" ht="15.75" customHeight="1" x14ac:dyDescent="0.3">
      <c r="A750" s="88"/>
      <c r="BG750" s="89"/>
      <c r="BH750" s="89"/>
      <c r="BI750" s="89"/>
      <c r="BJ750" s="89"/>
      <c r="BK750" s="89"/>
      <c r="BL750" s="89"/>
      <c r="BM750" s="89"/>
      <c r="BN750" s="89"/>
      <c r="BO750" s="89"/>
    </row>
    <row r="751" spans="1:67" ht="15.75" customHeight="1" x14ac:dyDescent="0.3">
      <c r="A751" s="88"/>
      <c r="BG751" s="89"/>
      <c r="BH751" s="89"/>
      <c r="BI751" s="89"/>
      <c r="BJ751" s="89"/>
      <c r="BK751" s="89"/>
      <c r="BL751" s="89"/>
      <c r="BM751" s="89"/>
      <c r="BN751" s="89"/>
      <c r="BO751" s="89"/>
    </row>
    <row r="752" spans="1:67" ht="15.75" customHeight="1" x14ac:dyDescent="0.3">
      <c r="A752" s="88"/>
      <c r="BG752" s="89"/>
      <c r="BH752" s="89"/>
      <c r="BI752" s="89"/>
      <c r="BJ752" s="89"/>
      <c r="BK752" s="89"/>
      <c r="BL752" s="89"/>
      <c r="BM752" s="89"/>
      <c r="BN752" s="89"/>
      <c r="BO752" s="89"/>
    </row>
    <row r="753" spans="1:67" ht="15.75" customHeight="1" x14ac:dyDescent="0.3">
      <c r="A753" s="88"/>
      <c r="BG753" s="89"/>
      <c r="BH753" s="89"/>
      <c r="BI753" s="89"/>
      <c r="BJ753" s="89"/>
      <c r="BK753" s="89"/>
      <c r="BL753" s="89"/>
      <c r="BM753" s="89"/>
      <c r="BN753" s="89"/>
      <c r="BO753" s="89"/>
    </row>
    <row r="754" spans="1:67" ht="15.75" customHeight="1" x14ac:dyDescent="0.3">
      <c r="A754" s="88"/>
      <c r="BG754" s="89"/>
      <c r="BH754" s="89"/>
      <c r="BI754" s="89"/>
      <c r="BJ754" s="89"/>
      <c r="BK754" s="89"/>
      <c r="BL754" s="89"/>
      <c r="BM754" s="89"/>
      <c r="BN754" s="89"/>
      <c r="BO754" s="89"/>
    </row>
    <row r="755" spans="1:67" ht="15.75" customHeight="1" x14ac:dyDescent="0.3">
      <c r="A755" s="88"/>
      <c r="BG755" s="89"/>
      <c r="BH755" s="89"/>
      <c r="BI755" s="89"/>
      <c r="BJ755" s="89"/>
      <c r="BK755" s="89"/>
      <c r="BL755" s="89"/>
      <c r="BM755" s="89"/>
      <c r="BN755" s="89"/>
      <c r="BO755" s="89"/>
    </row>
    <row r="756" spans="1:67" ht="15.75" customHeight="1" x14ac:dyDescent="0.3">
      <c r="A756" s="88"/>
      <c r="BG756" s="89"/>
      <c r="BH756" s="89"/>
      <c r="BI756" s="89"/>
      <c r="BJ756" s="89"/>
      <c r="BK756" s="89"/>
      <c r="BL756" s="89"/>
      <c r="BM756" s="89"/>
      <c r="BN756" s="89"/>
      <c r="BO756" s="89"/>
    </row>
    <row r="757" spans="1:67" ht="15.75" customHeight="1" x14ac:dyDescent="0.3">
      <c r="A757" s="88"/>
      <c r="BG757" s="89"/>
      <c r="BH757" s="89"/>
      <c r="BI757" s="89"/>
      <c r="BJ757" s="89"/>
      <c r="BK757" s="89"/>
      <c r="BL757" s="89"/>
      <c r="BM757" s="89"/>
      <c r="BN757" s="89"/>
      <c r="BO757" s="89"/>
    </row>
    <row r="758" spans="1:67" ht="15.75" customHeight="1" x14ac:dyDescent="0.3">
      <c r="A758" s="88"/>
      <c r="BG758" s="89"/>
      <c r="BH758" s="89"/>
      <c r="BI758" s="89"/>
      <c r="BJ758" s="89"/>
      <c r="BK758" s="89"/>
      <c r="BL758" s="89"/>
      <c r="BM758" s="89"/>
      <c r="BN758" s="89"/>
      <c r="BO758" s="89"/>
    </row>
    <row r="759" spans="1:67" ht="15.75" customHeight="1" x14ac:dyDescent="0.3">
      <c r="A759" s="88"/>
      <c r="BG759" s="89"/>
      <c r="BH759" s="89"/>
      <c r="BI759" s="89"/>
      <c r="BJ759" s="89"/>
      <c r="BK759" s="89"/>
      <c r="BL759" s="89"/>
      <c r="BM759" s="89"/>
      <c r="BN759" s="89"/>
      <c r="BO759" s="89"/>
    </row>
    <row r="760" spans="1:67" ht="15.75" customHeight="1" x14ac:dyDescent="0.3">
      <c r="A760" s="88"/>
      <c r="BG760" s="89"/>
      <c r="BH760" s="89"/>
      <c r="BI760" s="89"/>
      <c r="BJ760" s="89"/>
      <c r="BK760" s="89"/>
      <c r="BL760" s="89"/>
      <c r="BM760" s="89"/>
      <c r="BN760" s="89"/>
      <c r="BO760" s="89"/>
    </row>
    <row r="761" spans="1:67" ht="15.75" customHeight="1" x14ac:dyDescent="0.3">
      <c r="A761" s="88"/>
      <c r="BG761" s="89"/>
      <c r="BH761" s="89"/>
      <c r="BI761" s="89"/>
      <c r="BJ761" s="89"/>
      <c r="BK761" s="89"/>
      <c r="BL761" s="89"/>
      <c r="BM761" s="89"/>
      <c r="BN761" s="89"/>
      <c r="BO761" s="89"/>
    </row>
    <row r="762" spans="1:67" ht="15.75" customHeight="1" x14ac:dyDescent="0.3">
      <c r="A762" s="88"/>
      <c r="BG762" s="89"/>
      <c r="BH762" s="89"/>
      <c r="BI762" s="89"/>
      <c r="BJ762" s="89"/>
      <c r="BK762" s="89"/>
      <c r="BL762" s="89"/>
      <c r="BM762" s="89"/>
      <c r="BN762" s="89"/>
      <c r="BO762" s="89"/>
    </row>
    <row r="763" spans="1:67" ht="15.75" customHeight="1" x14ac:dyDescent="0.3">
      <c r="A763" s="88"/>
      <c r="BG763" s="89"/>
      <c r="BH763" s="89"/>
      <c r="BI763" s="89"/>
      <c r="BJ763" s="89"/>
      <c r="BK763" s="89"/>
      <c r="BL763" s="89"/>
      <c r="BM763" s="89"/>
      <c r="BN763" s="89"/>
      <c r="BO763" s="89"/>
    </row>
    <row r="764" spans="1:67" ht="15.75" customHeight="1" x14ac:dyDescent="0.3">
      <c r="A764" s="88"/>
      <c r="BG764" s="89"/>
      <c r="BH764" s="89"/>
      <c r="BI764" s="89"/>
      <c r="BJ764" s="89"/>
      <c r="BK764" s="89"/>
      <c r="BL764" s="89"/>
      <c r="BM764" s="89"/>
      <c r="BN764" s="89"/>
      <c r="BO764" s="89"/>
    </row>
    <row r="765" spans="1:67" ht="15.75" customHeight="1" x14ac:dyDescent="0.3">
      <c r="A765" s="88"/>
      <c r="BG765" s="89"/>
      <c r="BH765" s="89"/>
      <c r="BI765" s="89"/>
      <c r="BJ765" s="89"/>
      <c r="BK765" s="89"/>
      <c r="BL765" s="89"/>
      <c r="BM765" s="89"/>
      <c r="BN765" s="89"/>
      <c r="BO765" s="89"/>
    </row>
    <row r="766" spans="1:67" ht="15.75" customHeight="1" x14ac:dyDescent="0.3">
      <c r="A766" s="88"/>
      <c r="BG766" s="89"/>
      <c r="BH766" s="89"/>
      <c r="BI766" s="89"/>
      <c r="BJ766" s="89"/>
      <c r="BK766" s="89"/>
      <c r="BL766" s="89"/>
      <c r="BM766" s="89"/>
      <c r="BN766" s="89"/>
      <c r="BO766" s="89"/>
    </row>
    <row r="767" spans="1:67" ht="15.75" customHeight="1" x14ac:dyDescent="0.3">
      <c r="A767" s="88"/>
      <c r="BG767" s="89"/>
      <c r="BH767" s="89"/>
      <c r="BI767" s="89"/>
      <c r="BJ767" s="89"/>
      <c r="BK767" s="89"/>
      <c r="BL767" s="89"/>
      <c r="BM767" s="89"/>
      <c r="BN767" s="89"/>
      <c r="BO767" s="89"/>
    </row>
    <row r="768" spans="1:67" ht="15.75" customHeight="1" x14ac:dyDescent="0.3">
      <c r="A768" s="88"/>
      <c r="BG768" s="89"/>
      <c r="BH768" s="89"/>
      <c r="BI768" s="89"/>
      <c r="BJ768" s="89"/>
      <c r="BK768" s="89"/>
      <c r="BL768" s="89"/>
      <c r="BM768" s="89"/>
      <c r="BN768" s="89"/>
      <c r="BO768" s="89"/>
    </row>
    <row r="769" spans="1:67" ht="15.75" customHeight="1" x14ac:dyDescent="0.3">
      <c r="A769" s="88"/>
      <c r="BG769" s="89"/>
      <c r="BH769" s="89"/>
      <c r="BI769" s="89"/>
      <c r="BJ769" s="89"/>
      <c r="BK769" s="89"/>
      <c r="BL769" s="89"/>
      <c r="BM769" s="89"/>
      <c r="BN769" s="89"/>
      <c r="BO769" s="89"/>
    </row>
    <row r="770" spans="1:67" ht="15.75" customHeight="1" x14ac:dyDescent="0.3">
      <c r="A770" s="88"/>
      <c r="BG770" s="89"/>
      <c r="BH770" s="89"/>
      <c r="BI770" s="89"/>
      <c r="BJ770" s="89"/>
      <c r="BK770" s="89"/>
      <c r="BL770" s="89"/>
      <c r="BM770" s="89"/>
      <c r="BN770" s="89"/>
      <c r="BO770" s="89"/>
    </row>
    <row r="771" spans="1:67" ht="15.75" customHeight="1" x14ac:dyDescent="0.3">
      <c r="A771" s="88"/>
      <c r="BG771" s="89"/>
      <c r="BH771" s="89"/>
      <c r="BI771" s="89"/>
      <c r="BJ771" s="89"/>
      <c r="BK771" s="89"/>
      <c r="BL771" s="89"/>
      <c r="BM771" s="89"/>
      <c r="BN771" s="89"/>
      <c r="BO771" s="89"/>
    </row>
    <row r="772" spans="1:67" ht="15.75" customHeight="1" x14ac:dyDescent="0.3">
      <c r="A772" s="88"/>
      <c r="BG772" s="89"/>
      <c r="BH772" s="89"/>
      <c r="BI772" s="89"/>
      <c r="BJ772" s="89"/>
      <c r="BK772" s="89"/>
      <c r="BL772" s="89"/>
      <c r="BM772" s="89"/>
      <c r="BN772" s="89"/>
      <c r="BO772" s="89"/>
    </row>
    <row r="773" spans="1:67" ht="15.75" customHeight="1" x14ac:dyDescent="0.3">
      <c r="A773" s="88"/>
      <c r="BG773" s="89"/>
      <c r="BH773" s="89"/>
      <c r="BI773" s="89"/>
      <c r="BJ773" s="89"/>
      <c r="BK773" s="89"/>
      <c r="BL773" s="89"/>
      <c r="BM773" s="89"/>
      <c r="BN773" s="89"/>
      <c r="BO773" s="89"/>
    </row>
    <row r="774" spans="1:67" ht="15.75" customHeight="1" x14ac:dyDescent="0.3">
      <c r="A774" s="88"/>
      <c r="BG774" s="89"/>
      <c r="BH774" s="89"/>
      <c r="BI774" s="89"/>
      <c r="BJ774" s="89"/>
      <c r="BK774" s="89"/>
      <c r="BL774" s="89"/>
      <c r="BM774" s="89"/>
      <c r="BN774" s="89"/>
      <c r="BO774" s="89"/>
    </row>
    <row r="775" spans="1:67" ht="15.75" customHeight="1" x14ac:dyDescent="0.3">
      <c r="A775" s="88"/>
      <c r="BG775" s="89"/>
      <c r="BH775" s="89"/>
      <c r="BI775" s="89"/>
      <c r="BJ775" s="89"/>
      <c r="BK775" s="89"/>
      <c r="BL775" s="89"/>
      <c r="BM775" s="89"/>
      <c r="BN775" s="89"/>
      <c r="BO775" s="89"/>
    </row>
    <row r="776" spans="1:67" ht="15.75" customHeight="1" x14ac:dyDescent="0.3">
      <c r="A776" s="88"/>
      <c r="BG776" s="89"/>
      <c r="BH776" s="89"/>
      <c r="BI776" s="89"/>
      <c r="BJ776" s="89"/>
      <c r="BK776" s="89"/>
      <c r="BL776" s="89"/>
      <c r="BM776" s="89"/>
      <c r="BN776" s="89"/>
      <c r="BO776" s="89"/>
    </row>
    <row r="777" spans="1:67" ht="15.75" customHeight="1" x14ac:dyDescent="0.3">
      <c r="A777" s="88"/>
      <c r="BG777" s="89"/>
      <c r="BH777" s="89"/>
      <c r="BI777" s="89"/>
      <c r="BJ777" s="89"/>
      <c r="BK777" s="89"/>
      <c r="BL777" s="89"/>
      <c r="BM777" s="89"/>
      <c r="BN777" s="89"/>
      <c r="BO777" s="89"/>
    </row>
    <row r="778" spans="1:67" ht="15.75" customHeight="1" x14ac:dyDescent="0.3">
      <c r="A778" s="88"/>
      <c r="BG778" s="89"/>
      <c r="BH778" s="89"/>
      <c r="BI778" s="89"/>
      <c r="BJ778" s="89"/>
      <c r="BK778" s="89"/>
      <c r="BL778" s="89"/>
      <c r="BM778" s="89"/>
      <c r="BN778" s="89"/>
      <c r="BO778" s="89"/>
    </row>
    <row r="779" spans="1:67" ht="15.75" customHeight="1" x14ac:dyDescent="0.3">
      <c r="A779" s="88"/>
      <c r="BG779" s="89"/>
      <c r="BH779" s="89"/>
      <c r="BI779" s="89"/>
      <c r="BJ779" s="89"/>
      <c r="BK779" s="89"/>
      <c r="BL779" s="89"/>
      <c r="BM779" s="89"/>
      <c r="BN779" s="89"/>
      <c r="BO779" s="89"/>
    </row>
    <row r="780" spans="1:67" ht="15.75" customHeight="1" x14ac:dyDescent="0.3">
      <c r="A780" s="88"/>
      <c r="BG780" s="89"/>
      <c r="BH780" s="89"/>
      <c r="BI780" s="89"/>
      <c r="BJ780" s="89"/>
      <c r="BK780" s="89"/>
      <c r="BL780" s="89"/>
      <c r="BM780" s="89"/>
      <c r="BN780" s="89"/>
      <c r="BO780" s="89"/>
    </row>
    <row r="781" spans="1:67" ht="15.75" customHeight="1" x14ac:dyDescent="0.3">
      <c r="A781" s="88"/>
      <c r="BG781" s="89"/>
      <c r="BH781" s="89"/>
      <c r="BI781" s="89"/>
      <c r="BJ781" s="89"/>
      <c r="BK781" s="89"/>
      <c r="BL781" s="89"/>
      <c r="BM781" s="89"/>
      <c r="BN781" s="89"/>
      <c r="BO781" s="89"/>
    </row>
    <row r="782" spans="1:67" ht="15.75" customHeight="1" x14ac:dyDescent="0.3">
      <c r="A782" s="88"/>
      <c r="BG782" s="89"/>
      <c r="BH782" s="89"/>
      <c r="BI782" s="89"/>
      <c r="BJ782" s="89"/>
      <c r="BK782" s="89"/>
      <c r="BL782" s="89"/>
      <c r="BM782" s="89"/>
      <c r="BN782" s="89"/>
      <c r="BO782" s="89"/>
    </row>
    <row r="783" spans="1:67" ht="15.75" customHeight="1" x14ac:dyDescent="0.3">
      <c r="A783" s="88"/>
      <c r="BG783" s="89"/>
      <c r="BH783" s="89"/>
      <c r="BI783" s="89"/>
      <c r="BJ783" s="89"/>
      <c r="BK783" s="89"/>
      <c r="BL783" s="89"/>
      <c r="BM783" s="89"/>
      <c r="BN783" s="89"/>
      <c r="BO783" s="89"/>
    </row>
    <row r="784" spans="1:67" ht="15.75" customHeight="1" x14ac:dyDescent="0.3">
      <c r="A784" s="88"/>
      <c r="BG784" s="89"/>
      <c r="BH784" s="89"/>
      <c r="BI784" s="89"/>
      <c r="BJ784" s="89"/>
      <c r="BK784" s="89"/>
      <c r="BL784" s="89"/>
      <c r="BM784" s="89"/>
      <c r="BN784" s="89"/>
      <c r="BO784" s="89"/>
    </row>
    <row r="785" spans="1:67" ht="15.75" customHeight="1" x14ac:dyDescent="0.3">
      <c r="A785" s="88"/>
      <c r="BG785" s="89"/>
      <c r="BH785" s="89"/>
      <c r="BI785" s="89"/>
      <c r="BJ785" s="89"/>
      <c r="BK785" s="89"/>
      <c r="BL785" s="89"/>
      <c r="BM785" s="89"/>
      <c r="BN785" s="89"/>
      <c r="BO785" s="89"/>
    </row>
    <row r="786" spans="1:67" ht="15.75" customHeight="1" x14ac:dyDescent="0.3">
      <c r="A786" s="88"/>
      <c r="BG786" s="89"/>
      <c r="BH786" s="89"/>
      <c r="BI786" s="89"/>
      <c r="BJ786" s="89"/>
      <c r="BK786" s="89"/>
      <c r="BL786" s="89"/>
      <c r="BM786" s="89"/>
      <c r="BN786" s="89"/>
      <c r="BO786" s="89"/>
    </row>
    <row r="787" spans="1:67" ht="15.75" customHeight="1" x14ac:dyDescent="0.3">
      <c r="A787" s="88"/>
      <c r="BG787" s="89"/>
      <c r="BH787" s="89"/>
      <c r="BI787" s="89"/>
      <c r="BJ787" s="89"/>
      <c r="BK787" s="89"/>
      <c r="BL787" s="89"/>
      <c r="BM787" s="89"/>
      <c r="BN787" s="89"/>
      <c r="BO787" s="89"/>
    </row>
    <row r="788" spans="1:67" ht="15.75" customHeight="1" x14ac:dyDescent="0.3">
      <c r="A788" s="88"/>
      <c r="BG788" s="89"/>
      <c r="BH788" s="89"/>
      <c r="BI788" s="89"/>
      <c r="BJ788" s="89"/>
      <c r="BK788" s="89"/>
      <c r="BL788" s="89"/>
      <c r="BM788" s="89"/>
      <c r="BN788" s="89"/>
      <c r="BO788" s="89"/>
    </row>
    <row r="789" spans="1:67" ht="15.75" customHeight="1" x14ac:dyDescent="0.3">
      <c r="A789" s="88"/>
      <c r="BG789" s="89"/>
      <c r="BH789" s="89"/>
      <c r="BI789" s="89"/>
      <c r="BJ789" s="89"/>
      <c r="BK789" s="89"/>
      <c r="BL789" s="89"/>
      <c r="BM789" s="89"/>
      <c r="BN789" s="89"/>
      <c r="BO789" s="89"/>
    </row>
    <row r="790" spans="1:67" ht="15.75" customHeight="1" x14ac:dyDescent="0.3">
      <c r="A790" s="88"/>
      <c r="BG790" s="89"/>
      <c r="BH790" s="89"/>
      <c r="BI790" s="89"/>
      <c r="BJ790" s="89"/>
      <c r="BK790" s="89"/>
      <c r="BL790" s="89"/>
      <c r="BM790" s="89"/>
      <c r="BN790" s="89"/>
      <c r="BO790" s="89"/>
    </row>
    <row r="791" spans="1:67" ht="15.75" customHeight="1" x14ac:dyDescent="0.3">
      <c r="A791" s="88"/>
      <c r="BG791" s="89"/>
      <c r="BH791" s="89"/>
      <c r="BI791" s="89"/>
      <c r="BJ791" s="89"/>
      <c r="BK791" s="89"/>
      <c r="BL791" s="89"/>
      <c r="BM791" s="89"/>
      <c r="BN791" s="89"/>
      <c r="BO791" s="89"/>
    </row>
    <row r="792" spans="1:67" ht="15.75" customHeight="1" x14ac:dyDescent="0.3">
      <c r="A792" s="88"/>
      <c r="BG792" s="89"/>
      <c r="BH792" s="89"/>
      <c r="BI792" s="89"/>
      <c r="BJ792" s="89"/>
      <c r="BK792" s="89"/>
      <c r="BL792" s="89"/>
      <c r="BM792" s="89"/>
      <c r="BN792" s="89"/>
      <c r="BO792" s="89"/>
    </row>
    <row r="793" spans="1:67" ht="15.75" customHeight="1" x14ac:dyDescent="0.3">
      <c r="A793" s="88"/>
      <c r="BG793" s="89"/>
      <c r="BH793" s="89"/>
      <c r="BI793" s="89"/>
      <c r="BJ793" s="89"/>
      <c r="BK793" s="89"/>
      <c r="BL793" s="89"/>
      <c r="BM793" s="89"/>
      <c r="BN793" s="89"/>
      <c r="BO793" s="89"/>
    </row>
    <row r="794" spans="1:67" ht="15.75" customHeight="1" x14ac:dyDescent="0.3">
      <c r="A794" s="88"/>
      <c r="BG794" s="89"/>
      <c r="BH794" s="89"/>
      <c r="BI794" s="89"/>
      <c r="BJ794" s="89"/>
      <c r="BK794" s="89"/>
      <c r="BL794" s="89"/>
      <c r="BM794" s="89"/>
      <c r="BN794" s="89"/>
      <c r="BO794" s="89"/>
    </row>
    <row r="795" spans="1:67" ht="15.75" customHeight="1" x14ac:dyDescent="0.3">
      <c r="A795" s="88"/>
      <c r="BG795" s="89"/>
      <c r="BH795" s="89"/>
      <c r="BI795" s="89"/>
      <c r="BJ795" s="89"/>
      <c r="BK795" s="89"/>
      <c r="BL795" s="89"/>
      <c r="BM795" s="89"/>
      <c r="BN795" s="89"/>
      <c r="BO795" s="89"/>
    </row>
    <row r="796" spans="1:67" ht="15.75" customHeight="1" x14ac:dyDescent="0.3">
      <c r="A796" s="88"/>
      <c r="BG796" s="89"/>
      <c r="BH796" s="89"/>
      <c r="BI796" s="89"/>
      <c r="BJ796" s="89"/>
      <c r="BK796" s="89"/>
      <c r="BL796" s="89"/>
      <c r="BM796" s="89"/>
      <c r="BN796" s="89"/>
      <c r="BO796" s="89"/>
    </row>
    <row r="797" spans="1:67" ht="15.75" customHeight="1" x14ac:dyDescent="0.3">
      <c r="A797" s="88"/>
      <c r="BG797" s="89"/>
      <c r="BH797" s="89"/>
      <c r="BI797" s="89"/>
      <c r="BJ797" s="89"/>
      <c r="BK797" s="89"/>
      <c r="BL797" s="89"/>
      <c r="BM797" s="89"/>
      <c r="BN797" s="89"/>
      <c r="BO797" s="89"/>
    </row>
    <row r="798" spans="1:67" ht="15.75" customHeight="1" x14ac:dyDescent="0.3">
      <c r="A798" s="88"/>
      <c r="BG798" s="89"/>
      <c r="BH798" s="89"/>
      <c r="BI798" s="89"/>
      <c r="BJ798" s="89"/>
      <c r="BK798" s="89"/>
      <c r="BL798" s="89"/>
      <c r="BM798" s="89"/>
      <c r="BN798" s="89"/>
      <c r="BO798" s="89"/>
    </row>
    <row r="799" spans="1:67" ht="15.75" customHeight="1" x14ac:dyDescent="0.3">
      <c r="A799" s="88"/>
      <c r="BG799" s="89"/>
      <c r="BH799" s="89"/>
      <c r="BI799" s="89"/>
      <c r="BJ799" s="89"/>
      <c r="BK799" s="89"/>
      <c r="BL799" s="89"/>
      <c r="BM799" s="89"/>
      <c r="BN799" s="89"/>
      <c r="BO799" s="89"/>
    </row>
    <row r="800" spans="1:67" ht="15.75" customHeight="1" x14ac:dyDescent="0.3">
      <c r="A800" s="88"/>
      <c r="BG800" s="89"/>
      <c r="BH800" s="89"/>
      <c r="BI800" s="89"/>
      <c r="BJ800" s="89"/>
      <c r="BK800" s="89"/>
      <c r="BL800" s="89"/>
      <c r="BM800" s="89"/>
      <c r="BN800" s="89"/>
      <c r="BO800" s="89"/>
    </row>
    <row r="801" spans="1:67" ht="15.75" customHeight="1" x14ac:dyDescent="0.3">
      <c r="A801" s="88"/>
      <c r="BG801" s="89"/>
      <c r="BH801" s="89"/>
      <c r="BI801" s="89"/>
      <c r="BJ801" s="89"/>
      <c r="BK801" s="89"/>
      <c r="BL801" s="89"/>
      <c r="BM801" s="89"/>
      <c r="BN801" s="89"/>
      <c r="BO801" s="89"/>
    </row>
    <row r="802" spans="1:67" ht="15.75" customHeight="1" x14ac:dyDescent="0.3">
      <c r="A802" s="88"/>
      <c r="BG802" s="89"/>
      <c r="BH802" s="89"/>
      <c r="BI802" s="89"/>
      <c r="BJ802" s="89"/>
      <c r="BK802" s="89"/>
      <c r="BL802" s="89"/>
      <c r="BM802" s="89"/>
      <c r="BN802" s="89"/>
      <c r="BO802" s="89"/>
    </row>
    <row r="803" spans="1:67" ht="15.75" customHeight="1" x14ac:dyDescent="0.3">
      <c r="A803" s="88"/>
      <c r="BG803" s="89"/>
      <c r="BH803" s="89"/>
      <c r="BI803" s="89"/>
      <c r="BJ803" s="89"/>
      <c r="BK803" s="89"/>
      <c r="BL803" s="89"/>
      <c r="BM803" s="89"/>
      <c r="BN803" s="89"/>
      <c r="BO803" s="89"/>
    </row>
    <row r="804" spans="1:67" ht="15.75" customHeight="1" x14ac:dyDescent="0.3">
      <c r="A804" s="88"/>
      <c r="BG804" s="89"/>
      <c r="BH804" s="89"/>
      <c r="BI804" s="89"/>
      <c r="BJ804" s="89"/>
      <c r="BK804" s="89"/>
      <c r="BL804" s="89"/>
      <c r="BM804" s="89"/>
      <c r="BN804" s="89"/>
      <c r="BO804" s="89"/>
    </row>
    <row r="805" spans="1:67" ht="15.75" customHeight="1" x14ac:dyDescent="0.3">
      <c r="A805" s="88"/>
      <c r="BG805" s="89"/>
      <c r="BH805" s="89"/>
      <c r="BI805" s="89"/>
      <c r="BJ805" s="89"/>
      <c r="BK805" s="89"/>
      <c r="BL805" s="89"/>
      <c r="BM805" s="89"/>
      <c r="BN805" s="89"/>
      <c r="BO805" s="89"/>
    </row>
    <row r="806" spans="1:67" ht="15.75" customHeight="1" x14ac:dyDescent="0.3">
      <c r="A806" s="88"/>
      <c r="BG806" s="89"/>
      <c r="BH806" s="89"/>
      <c r="BI806" s="89"/>
      <c r="BJ806" s="89"/>
      <c r="BK806" s="89"/>
      <c r="BL806" s="89"/>
      <c r="BM806" s="89"/>
      <c r="BN806" s="89"/>
      <c r="BO806" s="89"/>
    </row>
    <row r="807" spans="1:67" ht="15.75" customHeight="1" x14ac:dyDescent="0.3">
      <c r="A807" s="88"/>
      <c r="BG807" s="89"/>
      <c r="BH807" s="89"/>
      <c r="BI807" s="89"/>
      <c r="BJ807" s="89"/>
      <c r="BK807" s="89"/>
      <c r="BL807" s="89"/>
      <c r="BM807" s="89"/>
      <c r="BN807" s="89"/>
      <c r="BO807" s="89"/>
    </row>
    <row r="808" spans="1:67" ht="15.75" customHeight="1" x14ac:dyDescent="0.3">
      <c r="A808" s="88"/>
      <c r="BG808" s="89"/>
      <c r="BH808" s="89"/>
      <c r="BI808" s="89"/>
      <c r="BJ808" s="89"/>
      <c r="BK808" s="89"/>
      <c r="BL808" s="89"/>
      <c r="BM808" s="89"/>
      <c r="BN808" s="89"/>
      <c r="BO808" s="89"/>
    </row>
    <row r="809" spans="1:67" ht="15.75" customHeight="1" x14ac:dyDescent="0.3">
      <c r="A809" s="88"/>
      <c r="BG809" s="89"/>
      <c r="BH809" s="89"/>
      <c r="BI809" s="89"/>
      <c r="BJ809" s="89"/>
      <c r="BK809" s="89"/>
      <c r="BL809" s="89"/>
      <c r="BM809" s="89"/>
      <c r="BN809" s="89"/>
      <c r="BO809" s="89"/>
    </row>
    <row r="810" spans="1:67" ht="15.75" customHeight="1" x14ac:dyDescent="0.3">
      <c r="A810" s="88"/>
      <c r="BG810" s="89"/>
      <c r="BH810" s="89"/>
      <c r="BI810" s="89"/>
      <c r="BJ810" s="89"/>
      <c r="BK810" s="89"/>
      <c r="BL810" s="89"/>
      <c r="BM810" s="89"/>
      <c r="BN810" s="89"/>
      <c r="BO810" s="89"/>
    </row>
    <row r="811" spans="1:67" ht="15.75" customHeight="1" x14ac:dyDescent="0.3">
      <c r="A811" s="88"/>
      <c r="BG811" s="89"/>
      <c r="BH811" s="89"/>
      <c r="BI811" s="89"/>
      <c r="BJ811" s="89"/>
      <c r="BK811" s="89"/>
      <c r="BL811" s="89"/>
      <c r="BM811" s="89"/>
      <c r="BN811" s="89"/>
      <c r="BO811" s="89"/>
    </row>
    <row r="812" spans="1:67" ht="15.75" customHeight="1" x14ac:dyDescent="0.3">
      <c r="A812" s="88"/>
      <c r="BG812" s="89"/>
      <c r="BH812" s="89"/>
      <c r="BI812" s="89"/>
      <c r="BJ812" s="89"/>
      <c r="BK812" s="89"/>
      <c r="BL812" s="89"/>
      <c r="BM812" s="89"/>
      <c r="BN812" s="89"/>
      <c r="BO812" s="89"/>
    </row>
    <row r="813" spans="1:67" ht="15.75" customHeight="1" x14ac:dyDescent="0.3">
      <c r="A813" s="88"/>
      <c r="BG813" s="89"/>
      <c r="BH813" s="89"/>
      <c r="BI813" s="89"/>
      <c r="BJ813" s="89"/>
      <c r="BK813" s="89"/>
      <c r="BL813" s="89"/>
      <c r="BM813" s="89"/>
      <c r="BN813" s="89"/>
      <c r="BO813" s="89"/>
    </row>
    <row r="814" spans="1:67" ht="15.75" customHeight="1" x14ac:dyDescent="0.3">
      <c r="A814" s="88"/>
      <c r="BG814" s="89"/>
      <c r="BH814" s="89"/>
      <c r="BI814" s="89"/>
      <c r="BJ814" s="89"/>
      <c r="BK814" s="89"/>
      <c r="BL814" s="89"/>
      <c r="BM814" s="89"/>
      <c r="BN814" s="89"/>
      <c r="BO814" s="89"/>
    </row>
    <row r="815" spans="1:67" ht="15.75" customHeight="1" x14ac:dyDescent="0.3">
      <c r="A815" s="88"/>
      <c r="BG815" s="89"/>
      <c r="BH815" s="89"/>
      <c r="BI815" s="89"/>
      <c r="BJ815" s="89"/>
      <c r="BK815" s="89"/>
      <c r="BL815" s="89"/>
      <c r="BM815" s="89"/>
      <c r="BN815" s="89"/>
      <c r="BO815" s="89"/>
    </row>
    <row r="816" spans="1:67" ht="15.75" customHeight="1" x14ac:dyDescent="0.3">
      <c r="A816" s="88"/>
      <c r="BG816" s="89"/>
      <c r="BH816" s="89"/>
      <c r="BI816" s="89"/>
      <c r="BJ816" s="89"/>
      <c r="BK816" s="89"/>
      <c r="BL816" s="89"/>
      <c r="BM816" s="89"/>
      <c r="BN816" s="89"/>
      <c r="BO816" s="89"/>
    </row>
    <row r="817" spans="1:67" ht="15.75" customHeight="1" x14ac:dyDescent="0.3">
      <c r="A817" s="88"/>
      <c r="BG817" s="89"/>
      <c r="BH817" s="89"/>
      <c r="BI817" s="89"/>
      <c r="BJ817" s="89"/>
      <c r="BK817" s="89"/>
      <c r="BL817" s="89"/>
      <c r="BM817" s="89"/>
      <c r="BN817" s="89"/>
      <c r="BO817" s="89"/>
    </row>
    <row r="818" spans="1:67" ht="15.75" customHeight="1" x14ac:dyDescent="0.3">
      <c r="A818" s="88"/>
      <c r="BG818" s="89"/>
      <c r="BH818" s="89"/>
      <c r="BI818" s="89"/>
      <c r="BJ818" s="89"/>
      <c r="BK818" s="89"/>
      <c r="BL818" s="89"/>
      <c r="BM818" s="89"/>
      <c r="BN818" s="89"/>
      <c r="BO818" s="89"/>
    </row>
    <row r="819" spans="1:67" ht="15.75" customHeight="1" x14ac:dyDescent="0.3">
      <c r="A819" s="88"/>
      <c r="BG819" s="89"/>
      <c r="BH819" s="89"/>
      <c r="BI819" s="89"/>
      <c r="BJ819" s="89"/>
      <c r="BK819" s="89"/>
      <c r="BL819" s="89"/>
      <c r="BM819" s="89"/>
      <c r="BN819" s="89"/>
      <c r="BO819" s="89"/>
    </row>
    <row r="820" spans="1:67" ht="15.75" customHeight="1" x14ac:dyDescent="0.3">
      <c r="A820" s="88"/>
      <c r="BG820" s="89"/>
      <c r="BH820" s="89"/>
      <c r="BI820" s="89"/>
      <c r="BJ820" s="89"/>
      <c r="BK820" s="89"/>
      <c r="BL820" s="89"/>
      <c r="BM820" s="89"/>
      <c r="BN820" s="89"/>
      <c r="BO820" s="89"/>
    </row>
    <row r="821" spans="1:67" ht="15.75" customHeight="1" x14ac:dyDescent="0.3">
      <c r="A821" s="88"/>
      <c r="BG821" s="89"/>
      <c r="BH821" s="89"/>
      <c r="BI821" s="89"/>
      <c r="BJ821" s="89"/>
      <c r="BK821" s="89"/>
      <c r="BL821" s="89"/>
      <c r="BM821" s="89"/>
      <c r="BN821" s="89"/>
      <c r="BO821" s="89"/>
    </row>
    <row r="822" spans="1:67" ht="15.75" customHeight="1" x14ac:dyDescent="0.3">
      <c r="A822" s="88"/>
      <c r="BG822" s="89"/>
      <c r="BH822" s="89"/>
      <c r="BI822" s="89"/>
      <c r="BJ822" s="89"/>
      <c r="BK822" s="89"/>
      <c r="BL822" s="89"/>
      <c r="BM822" s="89"/>
      <c r="BN822" s="89"/>
      <c r="BO822" s="89"/>
    </row>
    <row r="823" spans="1:67" ht="15.75" customHeight="1" x14ac:dyDescent="0.3">
      <c r="A823" s="88"/>
      <c r="BG823" s="89"/>
      <c r="BH823" s="89"/>
      <c r="BI823" s="89"/>
      <c r="BJ823" s="89"/>
      <c r="BK823" s="89"/>
      <c r="BL823" s="89"/>
      <c r="BM823" s="89"/>
      <c r="BN823" s="89"/>
      <c r="BO823" s="89"/>
    </row>
    <row r="824" spans="1:67" ht="15.75" customHeight="1" x14ac:dyDescent="0.3">
      <c r="A824" s="88"/>
      <c r="BG824" s="89"/>
      <c r="BH824" s="89"/>
      <c r="BI824" s="89"/>
      <c r="BJ824" s="89"/>
      <c r="BK824" s="89"/>
      <c r="BL824" s="89"/>
      <c r="BM824" s="89"/>
      <c r="BN824" s="89"/>
      <c r="BO824" s="89"/>
    </row>
    <row r="825" spans="1:67" ht="15.75" customHeight="1" x14ac:dyDescent="0.3">
      <c r="A825" s="88"/>
      <c r="BG825" s="89"/>
      <c r="BH825" s="89"/>
      <c r="BI825" s="89"/>
      <c r="BJ825" s="89"/>
      <c r="BK825" s="89"/>
      <c r="BL825" s="89"/>
      <c r="BM825" s="89"/>
      <c r="BN825" s="89"/>
      <c r="BO825" s="89"/>
    </row>
    <row r="826" spans="1:67" ht="15.75" customHeight="1" x14ac:dyDescent="0.3">
      <c r="A826" s="88"/>
      <c r="BG826" s="89"/>
      <c r="BH826" s="89"/>
      <c r="BI826" s="89"/>
      <c r="BJ826" s="89"/>
      <c r="BK826" s="89"/>
      <c r="BL826" s="89"/>
      <c r="BM826" s="89"/>
      <c r="BN826" s="89"/>
      <c r="BO826" s="89"/>
    </row>
    <row r="827" spans="1:67" ht="15.75" customHeight="1" x14ac:dyDescent="0.3">
      <c r="A827" s="88"/>
      <c r="BG827" s="89"/>
      <c r="BH827" s="89"/>
      <c r="BI827" s="89"/>
      <c r="BJ827" s="89"/>
      <c r="BK827" s="89"/>
      <c r="BL827" s="89"/>
      <c r="BM827" s="89"/>
      <c r="BN827" s="89"/>
      <c r="BO827" s="89"/>
    </row>
    <row r="828" spans="1:67" ht="15.75" customHeight="1" x14ac:dyDescent="0.3">
      <c r="A828" s="88"/>
      <c r="BG828" s="89"/>
      <c r="BH828" s="89"/>
      <c r="BI828" s="89"/>
      <c r="BJ828" s="89"/>
      <c r="BK828" s="89"/>
      <c r="BL828" s="89"/>
      <c r="BM828" s="89"/>
      <c r="BN828" s="89"/>
      <c r="BO828" s="89"/>
    </row>
    <row r="829" spans="1:67" ht="15.75" customHeight="1" x14ac:dyDescent="0.3">
      <c r="A829" s="88"/>
      <c r="BG829" s="89"/>
      <c r="BH829" s="89"/>
      <c r="BI829" s="89"/>
      <c r="BJ829" s="89"/>
      <c r="BK829" s="89"/>
      <c r="BL829" s="89"/>
      <c r="BM829" s="89"/>
      <c r="BN829" s="89"/>
      <c r="BO829" s="89"/>
    </row>
    <row r="830" spans="1:67" ht="15.75" customHeight="1" x14ac:dyDescent="0.3">
      <c r="A830" s="88"/>
      <c r="BG830" s="89"/>
      <c r="BH830" s="89"/>
      <c r="BI830" s="89"/>
      <c r="BJ830" s="89"/>
      <c r="BK830" s="89"/>
      <c r="BL830" s="89"/>
      <c r="BM830" s="89"/>
      <c r="BN830" s="89"/>
      <c r="BO830" s="89"/>
    </row>
    <row r="831" spans="1:67" ht="15.75" customHeight="1" x14ac:dyDescent="0.3">
      <c r="A831" s="88"/>
      <c r="BG831" s="89"/>
      <c r="BH831" s="89"/>
      <c r="BI831" s="89"/>
      <c r="BJ831" s="89"/>
      <c r="BK831" s="89"/>
      <c r="BL831" s="89"/>
      <c r="BM831" s="89"/>
      <c r="BN831" s="89"/>
      <c r="BO831" s="89"/>
    </row>
    <row r="832" spans="1:67" ht="15.75" customHeight="1" x14ac:dyDescent="0.3">
      <c r="A832" s="88"/>
      <c r="BG832" s="89"/>
      <c r="BH832" s="89"/>
      <c r="BI832" s="89"/>
      <c r="BJ832" s="89"/>
      <c r="BK832" s="89"/>
      <c r="BL832" s="89"/>
      <c r="BM832" s="89"/>
      <c r="BN832" s="89"/>
      <c r="BO832" s="89"/>
    </row>
    <row r="833" spans="1:67" ht="15.75" customHeight="1" x14ac:dyDescent="0.3">
      <c r="A833" s="88"/>
      <c r="BG833" s="89"/>
      <c r="BH833" s="89"/>
      <c r="BI833" s="89"/>
      <c r="BJ833" s="89"/>
      <c r="BK833" s="89"/>
      <c r="BL833" s="89"/>
      <c r="BM833" s="89"/>
      <c r="BN833" s="89"/>
      <c r="BO833" s="89"/>
    </row>
    <row r="834" spans="1:67" ht="15.75" customHeight="1" x14ac:dyDescent="0.3">
      <c r="A834" s="88"/>
      <c r="BG834" s="89"/>
      <c r="BH834" s="89"/>
      <c r="BI834" s="89"/>
      <c r="BJ834" s="89"/>
      <c r="BK834" s="89"/>
      <c r="BL834" s="89"/>
      <c r="BM834" s="89"/>
      <c r="BN834" s="89"/>
      <c r="BO834" s="89"/>
    </row>
    <row r="835" spans="1:67" ht="15.75" customHeight="1" x14ac:dyDescent="0.3">
      <c r="A835" s="88"/>
      <c r="BG835" s="89"/>
      <c r="BH835" s="89"/>
      <c r="BI835" s="89"/>
      <c r="BJ835" s="89"/>
      <c r="BK835" s="89"/>
      <c r="BL835" s="89"/>
      <c r="BM835" s="89"/>
      <c r="BN835" s="89"/>
      <c r="BO835" s="89"/>
    </row>
    <row r="836" spans="1:67" ht="15.75" customHeight="1" x14ac:dyDescent="0.3">
      <c r="A836" s="88"/>
      <c r="BG836" s="89"/>
      <c r="BH836" s="89"/>
      <c r="BI836" s="89"/>
      <c r="BJ836" s="89"/>
      <c r="BK836" s="89"/>
      <c r="BL836" s="89"/>
      <c r="BM836" s="89"/>
      <c r="BN836" s="89"/>
      <c r="BO836" s="89"/>
    </row>
    <row r="837" spans="1:67" ht="15.75" customHeight="1" x14ac:dyDescent="0.3">
      <c r="A837" s="88"/>
      <c r="BG837" s="89"/>
      <c r="BH837" s="89"/>
      <c r="BI837" s="89"/>
      <c r="BJ837" s="89"/>
      <c r="BK837" s="89"/>
      <c r="BL837" s="89"/>
      <c r="BM837" s="89"/>
      <c r="BN837" s="89"/>
      <c r="BO837" s="89"/>
    </row>
    <row r="838" spans="1:67" ht="15.75" customHeight="1" x14ac:dyDescent="0.3">
      <c r="A838" s="88"/>
      <c r="BG838" s="89"/>
      <c r="BH838" s="89"/>
      <c r="BI838" s="89"/>
      <c r="BJ838" s="89"/>
      <c r="BK838" s="89"/>
      <c r="BL838" s="89"/>
      <c r="BM838" s="89"/>
      <c r="BN838" s="89"/>
      <c r="BO838" s="89"/>
    </row>
    <row r="839" spans="1:67" ht="15.75" customHeight="1" x14ac:dyDescent="0.3">
      <c r="A839" s="88"/>
      <c r="BG839" s="89"/>
      <c r="BH839" s="89"/>
      <c r="BI839" s="89"/>
      <c r="BJ839" s="89"/>
      <c r="BK839" s="89"/>
      <c r="BL839" s="89"/>
      <c r="BM839" s="89"/>
      <c r="BN839" s="89"/>
      <c r="BO839" s="89"/>
    </row>
    <row r="840" spans="1:67" ht="15.75" customHeight="1" x14ac:dyDescent="0.3">
      <c r="A840" s="88"/>
      <c r="BG840" s="89"/>
      <c r="BH840" s="89"/>
      <c r="BI840" s="89"/>
      <c r="BJ840" s="89"/>
      <c r="BK840" s="89"/>
      <c r="BL840" s="89"/>
      <c r="BM840" s="89"/>
      <c r="BN840" s="89"/>
      <c r="BO840" s="89"/>
    </row>
    <row r="841" spans="1:67" ht="15.75" customHeight="1" x14ac:dyDescent="0.3">
      <c r="A841" s="88"/>
      <c r="BG841" s="89"/>
      <c r="BH841" s="89"/>
      <c r="BI841" s="89"/>
      <c r="BJ841" s="89"/>
      <c r="BK841" s="89"/>
      <c r="BL841" s="89"/>
      <c r="BM841" s="89"/>
      <c r="BN841" s="89"/>
      <c r="BO841" s="89"/>
    </row>
    <row r="842" spans="1:67" ht="15.75" customHeight="1" x14ac:dyDescent="0.3">
      <c r="A842" s="88"/>
      <c r="BG842" s="89"/>
      <c r="BH842" s="89"/>
      <c r="BI842" s="89"/>
      <c r="BJ842" s="89"/>
      <c r="BK842" s="89"/>
      <c r="BL842" s="89"/>
      <c r="BM842" s="89"/>
      <c r="BN842" s="89"/>
      <c r="BO842" s="89"/>
    </row>
    <row r="843" spans="1:67" ht="15.75" customHeight="1" x14ac:dyDescent="0.3">
      <c r="A843" s="88"/>
      <c r="BG843" s="89"/>
      <c r="BH843" s="89"/>
      <c r="BI843" s="89"/>
      <c r="BJ843" s="89"/>
      <c r="BK843" s="89"/>
      <c r="BL843" s="89"/>
      <c r="BM843" s="89"/>
      <c r="BN843" s="89"/>
      <c r="BO843" s="89"/>
    </row>
    <row r="844" spans="1:67" ht="15.75" customHeight="1" x14ac:dyDescent="0.3">
      <c r="A844" s="88"/>
      <c r="BG844" s="89"/>
      <c r="BH844" s="89"/>
      <c r="BI844" s="89"/>
      <c r="BJ844" s="89"/>
      <c r="BK844" s="89"/>
      <c r="BL844" s="89"/>
      <c r="BM844" s="89"/>
      <c r="BN844" s="89"/>
      <c r="BO844" s="89"/>
    </row>
    <row r="845" spans="1:67" ht="15.75" customHeight="1" x14ac:dyDescent="0.3">
      <c r="A845" s="88"/>
      <c r="BG845" s="89"/>
      <c r="BH845" s="89"/>
      <c r="BI845" s="89"/>
      <c r="BJ845" s="89"/>
      <c r="BK845" s="89"/>
      <c r="BL845" s="89"/>
      <c r="BM845" s="89"/>
      <c r="BN845" s="89"/>
      <c r="BO845" s="89"/>
    </row>
    <row r="846" spans="1:67" ht="15.75" customHeight="1" x14ac:dyDescent="0.3">
      <c r="A846" s="88"/>
      <c r="BG846" s="89"/>
      <c r="BH846" s="89"/>
      <c r="BI846" s="89"/>
      <c r="BJ846" s="89"/>
      <c r="BK846" s="89"/>
      <c r="BL846" s="89"/>
      <c r="BM846" s="89"/>
      <c r="BN846" s="89"/>
      <c r="BO846" s="89"/>
    </row>
  </sheetData>
  <mergeCells count="142">
    <mergeCell ref="S1:AV3"/>
    <mergeCell ref="G6:L6"/>
    <mergeCell ref="M6:R6"/>
    <mergeCell ref="S6:W6"/>
    <mergeCell ref="X6:AB6"/>
    <mergeCell ref="AC6:AG6"/>
    <mergeCell ref="AR6:AV6"/>
    <mergeCell ref="AH7:AL7"/>
    <mergeCell ref="AM7:AQ7"/>
    <mergeCell ref="AR7:AV7"/>
    <mergeCell ref="AW7:BA7"/>
    <mergeCell ref="BB7:BF7"/>
    <mergeCell ref="BG7:BK7"/>
    <mergeCell ref="C6:F6"/>
    <mergeCell ref="C7:F7"/>
    <mergeCell ref="G7:L7"/>
    <mergeCell ref="M7:R7"/>
    <mergeCell ref="S7:W7"/>
    <mergeCell ref="X7:AB7"/>
    <mergeCell ref="AC7:AG7"/>
    <mergeCell ref="AH6:AL6"/>
    <mergeCell ref="AM6:AQ6"/>
    <mergeCell ref="AW6:BA6"/>
    <mergeCell ref="BB6:BF6"/>
    <mergeCell ref="BG6:BK6"/>
    <mergeCell ref="AM8:AQ8"/>
    <mergeCell ref="AR8:AV8"/>
    <mergeCell ref="AW8:BA8"/>
    <mergeCell ref="BB8:BF8"/>
    <mergeCell ref="BG8:BK8"/>
    <mergeCell ref="BP9:BU9"/>
    <mergeCell ref="G8:L8"/>
    <mergeCell ref="M8:R8"/>
    <mergeCell ref="S8:W8"/>
    <mergeCell ref="X8:AB8"/>
    <mergeCell ref="AC8:AG8"/>
    <mergeCell ref="AH8:AL8"/>
    <mergeCell ref="O9:W9"/>
    <mergeCell ref="C8:F8"/>
    <mergeCell ref="B10:C11"/>
    <mergeCell ref="D10:H11"/>
    <mergeCell ref="I10:M11"/>
    <mergeCell ref="N10:N11"/>
    <mergeCell ref="O10:O11"/>
    <mergeCell ref="P10:W11"/>
    <mergeCell ref="X10:AB11"/>
    <mergeCell ref="AC10:AL11"/>
    <mergeCell ref="AW10:AZ11"/>
    <mergeCell ref="BA10:BC11"/>
    <mergeCell ref="BD10:BF11"/>
    <mergeCell ref="BG10:BO11"/>
    <mergeCell ref="BP10:BU10"/>
    <mergeCell ref="AC13:AL13"/>
    <mergeCell ref="AM13:AV13"/>
    <mergeCell ref="AW13:AZ13"/>
    <mergeCell ref="BA13:BC13"/>
    <mergeCell ref="BD13:BF13"/>
    <mergeCell ref="BG13:BO13"/>
    <mergeCell ref="AM10:AV11"/>
    <mergeCell ref="B12:BO12"/>
    <mergeCell ref="B13:C13"/>
    <mergeCell ref="D13:H13"/>
    <mergeCell ref="I13:M13"/>
    <mergeCell ref="P13:W13"/>
    <mergeCell ref="X13:AB13"/>
    <mergeCell ref="AW14:AZ14"/>
    <mergeCell ref="BA14:BC14"/>
    <mergeCell ref="BD14:BF14"/>
    <mergeCell ref="BG14:BO14"/>
    <mergeCell ref="B14:C14"/>
    <mergeCell ref="D14:H14"/>
    <mergeCell ref="I14:M14"/>
    <mergeCell ref="P14:W14"/>
    <mergeCell ref="X14:AB14"/>
    <mergeCell ref="AC14:AL14"/>
    <mergeCell ref="AM14:AV14"/>
    <mergeCell ref="AW18:AZ18"/>
    <mergeCell ref="BA18:BC18"/>
    <mergeCell ref="BD18:BF18"/>
    <mergeCell ref="BG18:BO18"/>
    <mergeCell ref="B18:C18"/>
    <mergeCell ref="D18:H18"/>
    <mergeCell ref="I18:M18"/>
    <mergeCell ref="P18:W18"/>
    <mergeCell ref="X18:AB18"/>
    <mergeCell ref="AC18:AL18"/>
    <mergeCell ref="AM18:AV18"/>
    <mergeCell ref="AW19:AZ19"/>
    <mergeCell ref="BA19:BC19"/>
    <mergeCell ref="BD19:BF19"/>
    <mergeCell ref="BG19:BO19"/>
    <mergeCell ref="B19:C19"/>
    <mergeCell ref="D19:H19"/>
    <mergeCell ref="I19:M19"/>
    <mergeCell ref="P19:W19"/>
    <mergeCell ref="X19:AB19"/>
    <mergeCell ref="AC19:AL19"/>
    <mergeCell ref="AM19:AV19"/>
    <mergeCell ref="AW15:AZ15"/>
    <mergeCell ref="BA15:BC15"/>
    <mergeCell ref="BD15:BF15"/>
    <mergeCell ref="BG15:BO15"/>
    <mergeCell ref="B15:C15"/>
    <mergeCell ref="D15:H15"/>
    <mergeCell ref="I15:M15"/>
    <mergeCell ref="P15:W15"/>
    <mergeCell ref="X15:AB15"/>
    <mergeCell ref="AC15:AL15"/>
    <mergeCell ref="AM15:AV15"/>
    <mergeCell ref="AW16:AZ16"/>
    <mergeCell ref="BA16:BC16"/>
    <mergeCell ref="BD16:BF16"/>
    <mergeCell ref="BG16:BO16"/>
    <mergeCell ref="B16:C16"/>
    <mergeCell ref="D16:H16"/>
    <mergeCell ref="I16:M16"/>
    <mergeCell ref="P16:W16"/>
    <mergeCell ref="X16:AB16"/>
    <mergeCell ref="AC16:AL16"/>
    <mergeCell ref="AM16:AV16"/>
    <mergeCell ref="AW17:AZ17"/>
    <mergeCell ref="BA17:BC17"/>
    <mergeCell ref="BD17:BF17"/>
    <mergeCell ref="BG17:BO17"/>
    <mergeCell ref="B17:C17"/>
    <mergeCell ref="D17:H17"/>
    <mergeCell ref="I17:M17"/>
    <mergeCell ref="P17:W17"/>
    <mergeCell ref="X17:AB17"/>
    <mergeCell ref="AC17:AL17"/>
    <mergeCell ref="AM17:AV17"/>
    <mergeCell ref="AW20:AZ20"/>
    <mergeCell ref="BA20:BC20"/>
    <mergeCell ref="BD20:BF20"/>
    <mergeCell ref="BG20:BO20"/>
    <mergeCell ref="B20:C20"/>
    <mergeCell ref="D20:H20"/>
    <mergeCell ref="I20:M20"/>
    <mergeCell ref="P20:W20"/>
    <mergeCell ref="X20:AB20"/>
    <mergeCell ref="AC20:AL20"/>
    <mergeCell ref="AM20:AV20"/>
  </mergeCells>
  <conditionalFormatting sqref="A5:BO8 BP5:CB20 CC6:CE20 B10:BO11 A12:A20 N13:N20">
    <cfRule type="cellIs" dxfId="6" priority="1" operator="equal">
      <formula>"x"</formula>
    </cfRule>
    <cfRule type="expression" dxfId="5" priority="2">
      <formula>"Not Used"</formula>
    </cfRule>
    <cfRule type="cellIs" dxfId="4" priority="3" operator="equal">
      <formula>"Cancelled"</formula>
    </cfRule>
  </conditionalFormatting>
  <conditionalFormatting sqref="A1:CE20">
    <cfRule type="cellIs" dxfId="3" priority="5" operator="equal">
      <formula>"OK"</formula>
    </cfRule>
    <cfRule type="cellIs" dxfId="2" priority="6" operator="equal">
      <formula>"NG"</formula>
    </cfRule>
    <cfRule type="cellIs" dxfId="1" priority="7" operator="equal">
      <formula>"Pending"</formula>
    </cfRule>
  </conditionalFormatting>
  <conditionalFormatting sqref="BA13:CE20 AW13:AW20">
    <cfRule type="expression" dxfId="0" priority="4" stopIfTrue="1">
      <formula>#REF!="X"</formula>
    </cfRule>
  </conditionalFormatting>
  <dataValidations count="4">
    <dataValidation type="custom" allowBlank="1" showDropDown="1" showErrorMessage="1" sqref="BA13:BA20" xr:uid="{00000000-0002-0000-7900-000000000000}">
      <formula1>OR(NOT(ISERROR(DATEVALUE(BA13))), AND(ISNUMBER(BA13), LEFT(CELL("format", BA13))="D"))</formula1>
    </dataValidation>
    <dataValidation type="list" allowBlank="1" showErrorMessage="1" sqref="O13:P20 X13:X20" xr:uid="{00000000-0002-0000-7900-000004000000}">
      <formula1>"O - All,O- a part,X,NA,Q&amp;A"</formula1>
    </dataValidation>
    <dataValidation type="list" allowBlank="1" showErrorMessage="1" sqref="AW13:AW20" xr:uid="{00000000-0002-0000-7900-000005000000}">
      <formula1>"OK,NG,N/A,Pending,Cancelled"</formula1>
    </dataValidation>
    <dataValidation type="list" allowBlank="1" showErrorMessage="1" sqref="N13:N20" xr:uid="{00000000-0002-0000-7900-000006000000}">
      <formula1>"1. Accessible and Viewable,2. Editable and Actionable,3. Deletable and Approval"</formula1>
    </dataValidation>
  </dataValidations>
  <pageMargins left="0.25" right="0.25" top="0.75" bottom="0.75" header="0" footer="0"/>
  <pageSetup paperSize="9" fitToHeight="0" orientation="landscape"/>
  <drawing r:id="rId1"/>
  <extLst>
    <ext xmlns:x14="http://schemas.microsoft.com/office/spreadsheetml/2009/9/main" uri="{CCE6A557-97BC-4b89-ADB6-D9C93CAAB3DF}">
      <x14:dataValidations xmlns:xm="http://schemas.microsoft.com/office/excel/2006/main" count="3">
        <x14:dataValidation type="list" allowBlank="1" showErrorMessage="1" xr:uid="{00000000-0002-0000-7900-000001000000}">
          <x14:formula1>
            <xm:f>#REF!</xm:f>
          </x14:formula1>
          <xm:sqref>S6</xm:sqref>
        </x14:dataValidation>
        <x14:dataValidation type="list" allowBlank="1" showErrorMessage="1" xr:uid="{00000000-0002-0000-7900-000002000000}">
          <x14:formula1>
            <xm:f>#REF!</xm:f>
          </x14:formula1>
          <xm:sqref>S8</xm:sqref>
        </x14:dataValidation>
        <x14:dataValidation type="list" allowBlank="1" showErrorMessage="1" xr:uid="{00000000-0002-0000-7900-000003000000}">
          <x14:formula1>
            <xm:f>#REF!</xm:f>
          </x14:formula1>
          <xm:sqref>BP13:BU20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0.1.Master Screen</vt:lpstr>
      <vt:lpstr>MOB-010 点検実施 (Inspection Execut</vt:lpstr>
      <vt:lpstr>MOB-010 指摘事項 (Add issue)</vt:lpstr>
      <vt:lpstr>MOB-012 Report Summary</vt:lpstr>
      <vt:lpstr>IT Testcase_UIUX</vt:lpstr>
      <vt:lpstr>IT Testcase_Role Metric</vt:lpstr>
      <vt:lpstr>'IT Testcase_Role Metric'!Z_AE2F63CC_E07F_4747_8278_8F85456B20EF_.wvu.PrintArea</vt:lpstr>
      <vt:lpstr>'IT Testcase_UIUX'!Z_AE2F63CC_E07F_4747_8278_8F85456B20EF_.wvu.PrintArea</vt:lpstr>
      <vt:lpstr>'MOB-010 指摘事項 (Add issue)'!Z_AE2F63CC_E07F_4747_8278_8F85456B20EF_.wvu.PrintArea</vt:lpstr>
      <vt:lpstr>'MOB-010 点検実施 (Inspection Execut'!Z_AE2F63CC_E07F_4747_8278_8F85456B20EF_.wvu.PrintArea</vt:lpstr>
      <vt:lpstr>'MOB-012 Report Summary'!Z_AE2F63CC_E07F_4747_8278_8F85456B20EF_.wvu.PrintArea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5540</dc:creator>
  <cp:lastModifiedBy>Van Truong</cp:lastModifiedBy>
  <dcterms:created xsi:type="dcterms:W3CDTF">2026-05-28T13:48:13Z</dcterms:created>
  <dcterms:modified xsi:type="dcterms:W3CDTF">2026-06-02T14:39:59Z</dcterms:modified>
</cp:coreProperties>
</file>